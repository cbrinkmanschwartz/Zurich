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Events" sheetId="2" state="visible" r:id="rId2"/>
    <sheet xmlns:r="http://schemas.openxmlformats.org/officeDocument/2006/relationships" name="Leads" sheetId="3" state="visible" r:id="rId3"/>
    <sheet xmlns:r="http://schemas.openxmlformats.org/officeDocument/2006/relationships" name="Legend" sheetId="4" state="visible" r:id="rId4"/>
    <sheet xmlns:r="http://schemas.openxmlformats.org/officeDocument/2006/relationships" name="Lookups" sheetId="5" state="visible" r:id="rId5"/>
  </sheets>
  <definedNames>
    <definedName name="_xlnm._FilterDatabase" localSheetId="1" hidden="1">'Events'!$A$1:$AI$72</definedName>
    <definedName name="_xlnm._FilterDatabase" localSheetId="2" hidden="1">'Leads'!$A$1:$K$28</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2"/>
    </font>
    <font>
      <name val="Arial"/>
      <charset val="1"/>
      <family val="0"/>
      <b val="1"/>
      <sz val="10"/>
    </font>
    <font>
      <name val="Arial"/>
      <charset val="1"/>
      <family val="0"/>
      <sz val="10"/>
    </font>
    <font>
      <name val="Arial"/>
      <charset val="1"/>
      <family val="0"/>
      <b val="1"/>
      <color rgb="FFFFFFFF"/>
      <sz val="10"/>
    </font>
    <font>
      <name val="Arial"/>
      <family val="2"/>
      <sz val="10"/>
    </font>
    <font>
      <name val="Arial"/>
      <charset val="1"/>
      <family val="0"/>
      <b val="1"/>
      <color rgb="FFC00000"/>
      <sz val="10"/>
    </font>
  </fonts>
  <fills count="8">
    <fill>
      <patternFill/>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49"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6" fillId="6" borderId="1" applyAlignment="1" pivotButton="0" quotePrefix="0" xfId="0">
      <alignment horizontal="general" vertical="top" wrapText="1"/>
    </xf>
    <xf numFmtId="0" fontId="6" fillId="7" borderId="1" applyAlignment="1" pivotButton="0" quotePrefix="0" xfId="0">
      <alignment horizontal="general" vertical="top" wrapText="1"/>
    </xf>
    <xf numFmtId="49" fontId="0" fillId="0" borderId="0" applyAlignment="1" pivotButton="0" quotePrefix="0" xfId="0">
      <alignment horizontal="general" vertical="bottom"/>
    </xf>
    <xf numFmtId="0" fontId="4" fillId="0" borderId="0" applyAlignment="1" pivotButton="0" quotePrefix="0" xfId="0">
      <alignment horizontal="general" vertical="top"/>
    </xf>
    <xf numFmtId="0" fontId="6" fillId="0" borderId="0" applyAlignment="1" pivotButton="0" quotePrefix="0" xfId="0">
      <alignment horizontal="general" vertical="top" wrapText="1"/>
    </xf>
    <xf numFmtId="0" fontId="5" fillId="0" borderId="0" applyAlignment="1" pivotButton="0" quotePrefix="0" xfId="0">
      <alignment horizontal="general" vertical="top"/>
    </xf>
    <xf numFmtId="0" fontId="9" fillId="0" borderId="0" applyAlignment="1" pivotButton="0" quotePrefix="0" xfId="0">
      <alignment horizontal="general" vertical="top" wrapText="1"/>
    </xf>
    <xf numFmtId="49"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49"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6" fillId="6" borderId="1" applyAlignment="1" pivotButton="0" quotePrefix="0" xfId="0">
      <alignment horizontal="general" vertical="top" wrapText="1"/>
    </xf>
    <xf numFmtId="0" fontId="6" fillId="7" borderId="1" applyAlignment="1" pivotButton="0" quotePrefix="0" xfId="0">
      <alignment horizontal="general" vertical="top" wrapText="1"/>
    </xf>
    <xf numFmtId="49" fontId="0" fillId="0" borderId="0" applyAlignment="1" pivotButton="0" quotePrefix="0" xfId="0">
      <alignment horizontal="general" vertical="bottom"/>
    </xf>
    <xf numFmtId="0" fontId="4" fillId="0" borderId="0" applyAlignment="1" pivotButton="0" quotePrefix="0" xfId="0">
      <alignment horizontal="general" vertical="top"/>
    </xf>
    <xf numFmtId="0" fontId="6" fillId="0" borderId="0" applyAlignment="1" pivotButton="0" quotePrefix="0" xfId="0">
      <alignment horizontal="general" vertical="top" wrapText="1"/>
    </xf>
    <xf numFmtId="0" fontId="5" fillId="0" borderId="0" applyAlignment="1" pivotButton="0" quotePrefix="0" xfId="0">
      <alignment horizontal="general" vertical="top"/>
    </xf>
    <xf numFmtId="0" fontId="9" fillId="0" borderId="0" applyAlignment="1" pivotButton="0" quotePrefix="0" xfId="0">
      <alignment horizontal="general" vertical="top" wrapText="1"/>
    </xf>
    <xf numFmtId="49"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A1" authorId="0" shapeId="0">
      <text>
        <t>Unique, never reused. HO42-0001 etc.</t>
      </text>
    </comment>
    <comment ref="B1" authorId="0" shapeId="0">
      <text>
        <t>Groups letters about the SAME incident (e.g. all Penzance Mar-1795 letters = one episode). Count requests by episode, not by letter.</t>
      </text>
    </comment>
    <comment ref="C1" authorId="0" shapeId="0">
      <text>
        <t>Dropdown - see Legend.</t>
      </text>
    </comment>
    <comment ref="D1" authorId="0" shapeId="0">
      <text>
        <t>Y if the quote ties corps/barracks/troops explicitly to suppressing riots/insurrection.</t>
      </text>
    </comment>
    <comment ref="G1" authorId="0" shapeId="0">
      <text>
        <t>Page/image number inside the TNA PDF. TNA PDFs come from old microfilm made BEFORE re-foliation, so PDF page and folio stamp can disagree - record both.</t>
      </text>
    </comment>
    <comment ref="H1" authorId="0" shapeId="0">
      <text>
        <t>Folio number as stamped on the document.</t>
      </text>
    </comment>
    <comment ref="I1" authorId="0" shapeId="0">
      <text>
        <t>Which numbering the Folio column uses. Existing rows were logged as "stamp where visible, else PDF page" - so marked Unclear until checked.</t>
      </text>
    </comment>
    <comment ref="J1" authorId="0" shapeId="0">
      <text>
        <t>Dropbox link once uploaded.</t>
      </text>
    </comment>
    <comment ref="K1" authorId="0" shapeId="0">
      <text>
        <t>Funnel step (JV): if in doubt, scan it.</t>
      </text>
    </comment>
    <comment ref="O1" authorId="0" shapeId="0">
      <text>
        <t>YYYY-MM-DD, typed as TEXT (Excel cannot store pre-1900 dates). Use the date of the letter itself; first date if a range.</t>
      </text>
    </comment>
    <comment ref="P1" authorId="0" shapeId="0">
      <text>
        <t>Formula from Date (ISO).</t>
      </text>
    </comment>
    <comment ref="R1" authorId="0" shapeId="0">
      <text>
        <t>Town/parish name for geocoding.</t>
      </text>
    </comment>
    <comment ref="S1" authorId="0" shapeId="0">
      <text>
        <t>Historic county.</t>
      </text>
    </comment>
    <comment ref="U1" authorId="0" shapeId="0">
      <text>
        <t>Dropdown.</t>
      </text>
    </comment>
    <comment ref="V1" authorId="0" shapeId="0">
      <text>
        <t>Who the letter/request went to (Home Sec, Ld Lieutenant, local commander...). Matters for the selection question: which requests reach Whitehall at all.</t>
      </text>
    </comment>
    <comment ref="W1" authorId="0" shapeId="0">
      <text>
        <t>Formula from Date (ISO) via Lookups sheet. Context only - not necessarily the addressee.</t>
      </text>
    </comment>
    <comment ref="X1" authorId="0" shapeId="0">
      <text>
        <t>Dropdown. Requests and barracks rows.</t>
      </text>
    </comment>
    <comment ref="Y1" authorId="0" shapeId="0">
      <text>
        <t>Actual = disorder under way; Pre-emptive = threatened/anticipated; Contingent = asks what is available if needed; Report only = informs HO of action taken, no ask.</t>
      </text>
    </comment>
    <comment ref="Z1" authorId="0" shapeId="0">
      <text>
        <t>Y if the writer says constables/civil power cannot cope or are unreliable.</t>
      </text>
    </comment>
    <comment ref="AB1" authorId="0" shapeId="0">
      <text>
        <t>As stated in the letter.</t>
      </text>
    </comment>
    <comment ref="AD1" authorId="0" shapeId="0">
      <text>
        <t>Dropdown. Original free-text outcome kept in Notes.</t>
      </text>
    </comment>
    <comment ref="AH1" authorId="0" shapeId="0">
      <text>
        <t>Where the response is recorded: HO 42 docket/endorsement, HO 43 entry book, other.</t>
      </text>
    </comment>
  </commentList>
</comments>
</file>

<file path=xl/comments/comment2.xml><?xml version="1.0" encoding="utf-8"?>
<comments xmlns="http://schemas.openxmlformats.org/spreadsheetml/2006/main">
  <authors>
    <author>Unknown Author</author>
  </authors>
  <commentList>
    <comment ref="B1" authorId="0" shapeId="0">
      <text>
        <t>Same vocabulary as Events.</t>
      </text>
    </comment>
    <comment ref="E1" authorId="0" shapeId="0">
      <text>
        <t>Text YYYY-MM-DD; partial dates allowed (1798-05).</t>
      </text>
    </comment>
    <comment ref="G1" authorId="0" shapeId="0">
      <text>
        <t>Exactly as the secondary source gives it - not yet checked.</t>
      </text>
    </comment>
    <comment ref="I1" authorId="0" shapeId="0">
      <text>
        <t>N until someone reads the document itself.</t>
      </text>
    </comment>
    <comment ref="J1" authorId="0" shapeId="0">
      <text>
        <t>High = request for troops, England, 1790s.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9" min="1" max="1"/>
    <col width="10" customWidth="1" style="19" min="2" max="2"/>
    <col width="22" customWidth="1" style="19" min="3" max="3"/>
  </cols>
  <sheetData>
    <row r="1" ht="15" customHeight="1" s="20">
      <c r="A1" s="21" t="inlineStr">
        <is>
          <t>HO 42 extraction log - summary</t>
        </is>
      </c>
    </row>
    <row r="3" ht="15" customHeight="1" s="20">
      <c r="A3" s="22" t="inlineStr">
        <is>
          <t>Count by event type</t>
        </is>
      </c>
    </row>
    <row r="4" ht="15" customHeight="1" s="20">
      <c r="A4" s="22" t="inlineStr">
        <is>
          <t>Event type</t>
        </is>
      </c>
      <c r="B4" s="22" t="inlineStr">
        <is>
          <t>Rows</t>
        </is>
      </c>
    </row>
    <row r="5" ht="15" customHeight="1" s="20">
      <c r="A5" s="23" t="inlineStr">
        <is>
          <t>Request for troops</t>
        </is>
      </c>
      <c r="B5" s="23">
        <f>COUNTIF(Events!$C$2:$C$1000,A5)</f>
        <v/>
      </c>
    </row>
    <row r="6" ht="15" customHeight="1" s="20">
      <c r="A6" s="23" t="inlineStr">
        <is>
          <t>Corps founded</t>
        </is>
      </c>
      <c r="B6" s="23">
        <f>COUNTIF(Events!$C$2:$C$1000,A6)</f>
        <v/>
      </c>
    </row>
    <row r="7" ht="15" customHeight="1" s="20">
      <c r="A7" s="23" t="inlineStr">
        <is>
          <t>Corps armed/expanded</t>
        </is>
      </c>
      <c r="B7" s="23">
        <f>COUNTIF(Events!$C$2:$C$1000,A7)</f>
        <v/>
      </c>
    </row>
    <row r="8" ht="15" customHeight="1" s="20">
      <c r="A8" s="23" t="inlineStr">
        <is>
          <t>Barracks</t>
        </is>
      </c>
      <c r="B8" s="23">
        <f>COUNTIF(Events!$C$2:$C$1000,A8)</f>
        <v/>
      </c>
    </row>
    <row r="9" ht="15" customHeight="1" s="20">
      <c r="A9" s="23" t="inlineStr">
        <is>
          <t>Corps forming (context)</t>
        </is>
      </c>
      <c r="B9" s="23">
        <f>COUNTIF(Events!$C$2:$C$1000,A9)</f>
        <v/>
      </c>
    </row>
    <row r="10" ht="15" customHeight="1" s="20">
      <c r="A10" s="23" t="inlineStr">
        <is>
          <t>Other</t>
        </is>
      </c>
      <c r="B10" s="23">
        <f>COUNTIF(Events!$C$2:$C$1000,A10)</f>
        <v/>
      </c>
    </row>
    <row r="11" ht="15" customHeight="1" s="20">
      <c r="A11" s="22" t="inlineStr">
        <is>
          <t>TOTAL</t>
        </is>
      </c>
      <c r="B11" s="22">
        <f>SUM(B5:B10)</f>
        <v/>
      </c>
    </row>
    <row r="13" ht="15" customHeight="1" s="20">
      <c r="A13" s="22" t="inlineStr">
        <is>
          <t>Requests for troops by kind</t>
        </is>
      </c>
    </row>
    <row r="14" ht="15" customHeight="1" s="20">
      <c r="A14" s="22" t="inlineStr">
        <is>
          <t>Request kind</t>
        </is>
      </c>
      <c r="B14" s="22" t="inlineStr">
        <is>
          <t>Rows</t>
        </is>
      </c>
    </row>
    <row r="15" ht="15" customHeight="1" s="20">
      <c r="A15" s="23" t="inlineStr">
        <is>
          <t>Actual</t>
        </is>
      </c>
      <c r="B15" s="23">
        <f>COUNTIFS(Events!$C$2:$C$1000,"Request for troops",Events!$Y$2:$Y$1000,A15)</f>
        <v/>
      </c>
    </row>
    <row r="16" ht="15" customHeight="1" s="20">
      <c r="A16" s="23" t="inlineStr">
        <is>
          <t>Pre-emptive</t>
        </is>
      </c>
      <c r="B16" s="23">
        <f>COUNTIFS(Events!$C$2:$C$1000,"Request for troops",Events!$Y$2:$Y$1000,A16)</f>
        <v/>
      </c>
    </row>
    <row r="17" ht="15" customHeight="1" s="20">
      <c r="A17" s="23" t="inlineStr">
        <is>
          <t>Contingent</t>
        </is>
      </c>
      <c r="B17" s="23">
        <f>COUNTIFS(Events!$C$2:$C$1000,"Request for troops",Events!$Y$2:$Y$1000,A17)</f>
        <v/>
      </c>
    </row>
    <row r="18" ht="15" customHeight="1" s="20">
      <c r="A18" s="23" t="inlineStr">
        <is>
          <t>Report only</t>
        </is>
      </c>
      <c r="B18" s="23">
        <f>COUNTIFS(Events!$C$2:$C$1000,"Request for troops",Events!$Y$2:$Y$1000,A18)</f>
        <v/>
      </c>
    </row>
    <row r="19" ht="15" customHeight="1" s="20">
      <c r="A19" s="22" t="inlineStr">
        <is>
          <t>TOTAL</t>
        </is>
      </c>
      <c r="B19" s="22">
        <f>SUM(B15:B18)</f>
        <v/>
      </c>
    </row>
    <row r="21" ht="15" customHeight="1" s="20">
      <c r="A21" s="22" t="inlineStr">
        <is>
          <t>By year</t>
        </is>
      </c>
    </row>
    <row r="22" ht="15" customHeight="1" s="20">
      <c r="A22" s="22" t="inlineStr">
        <is>
          <t>Year</t>
        </is>
      </c>
      <c r="B22" s="22" t="inlineStr">
        <is>
          <t>Rows</t>
        </is>
      </c>
    </row>
    <row r="23" ht="15" customHeight="1" s="20">
      <c r="A23" s="23" t="n">
        <v>1789</v>
      </c>
      <c r="B23" s="23">
        <f>COUNTIF(Events!$P$2:$P$1000,A23)</f>
        <v/>
      </c>
    </row>
    <row r="24" ht="15" customHeight="1" s="20">
      <c r="A24" s="23" t="n">
        <v>1790</v>
      </c>
      <c r="B24" s="23">
        <f>COUNTIF(Events!$P$2:$P$1000,A24)</f>
        <v/>
      </c>
    </row>
    <row r="25" ht="15" customHeight="1" s="20">
      <c r="A25" s="23" t="n">
        <v>1791</v>
      </c>
      <c r="B25" s="23">
        <f>COUNTIF(Events!$P$2:$P$1000,A25)</f>
        <v/>
      </c>
    </row>
    <row r="26" ht="15" customHeight="1" s="20">
      <c r="A26" s="23" t="n">
        <v>1792</v>
      </c>
      <c r="B26" s="23">
        <f>COUNTIF(Events!$P$2:$P$1000,A26)</f>
        <v/>
      </c>
    </row>
    <row r="27" ht="15" customHeight="1" s="20">
      <c r="A27" s="23" t="n">
        <v>1793</v>
      </c>
      <c r="B27" s="23">
        <f>COUNTIF(Events!$P$2:$P$1000,A27)</f>
        <v/>
      </c>
    </row>
    <row r="28" ht="15" customHeight="1" s="20">
      <c r="A28" s="23" t="n">
        <v>1794</v>
      </c>
      <c r="B28" s="23">
        <f>COUNTIF(Events!$P$2:$P$1000,A28)</f>
        <v/>
      </c>
    </row>
    <row r="29" ht="15" customHeight="1" s="20">
      <c r="A29" s="23" t="n">
        <v>1795</v>
      </c>
      <c r="B29" s="23">
        <f>COUNTIF(Events!$P$2:$P$1000,A29)</f>
        <v/>
      </c>
    </row>
    <row r="30" ht="15" customHeight="1" s="20">
      <c r="A30" s="23" t="n">
        <v>1796</v>
      </c>
      <c r="B30" s="23">
        <f>COUNTIF(Events!$P$2:$P$1000,A30)</f>
        <v/>
      </c>
    </row>
    <row r="31" ht="15" customHeight="1" s="20">
      <c r="A31" s="23" t="n">
        <v>1797</v>
      </c>
      <c r="B31" s="23">
        <f>COUNTIF(Events!$P$2:$P$1000,A31)</f>
        <v/>
      </c>
    </row>
    <row r="32" ht="15" customHeight="1" s="20">
      <c r="A32" s="23" t="n">
        <v>1798</v>
      </c>
      <c r="B32" s="23">
        <f>COUNTIF(Events!$P$2:$P$1000,A32)</f>
        <v/>
      </c>
    </row>
    <row r="33" ht="15" customHeight="1" s="20">
      <c r="A33" s="23" t="n">
        <v>1799</v>
      </c>
      <c r="B33" s="23">
        <f>COUNTIF(Events!$P$2:$P$1000,A33)</f>
        <v/>
      </c>
    </row>
    <row r="34" ht="15" customHeight="1" s="20">
      <c r="A34" s="23" t="n">
        <v>1800</v>
      </c>
      <c r="B34" s="23">
        <f>COUNTIF(Events!$P$2:$P$1000,A34)</f>
        <v/>
      </c>
    </row>
    <row r="35" ht="15" customHeight="1" s="20">
      <c r="A35" s="23" t="n">
        <v>1801</v>
      </c>
      <c r="B35" s="23">
        <f>COUNTIF(Events!$P$2:$P$1000,A35)</f>
        <v/>
      </c>
    </row>
    <row r="36" ht="15" customHeight="1" s="20">
      <c r="A36" s="22" t="inlineStr">
        <is>
          <t>TOTAL</t>
        </is>
      </c>
      <c r="B36" s="22">
        <f>SUM(B23:B35)</f>
        <v/>
      </c>
    </row>
    <row r="38" ht="15" customHeight="1" s="20">
      <c r="A38" s="22" t="inlineStr">
        <is>
          <t>Distinct episodes (all rows)</t>
        </is>
      </c>
      <c r="B38" s="23">
        <f>SUMPRODUCT((Events!$B$2:$B$1000&lt;&gt;"")/COUNTIF(Events!$B$2:$B$1000,Events!$B$2:$B$1000&amp;""))</f>
        <v/>
      </c>
    </row>
    <row r="39" ht="15" customHeight="1" s="20">
      <c r="A39" s="22" t="inlineStr">
        <is>
          <t>Rows still to check (Folio basis = Unclear)</t>
        </is>
      </c>
      <c r="B39" s="23">
        <f>COUNTIF(Events!$I$2:$I$1000,"Unclear - check")</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I1000"/>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9" min="1" max="2"/>
    <col width="20" customWidth="1" style="19" min="3" max="3"/>
    <col width="9" customWidth="1" style="19" min="4" max="4"/>
    <col width="11" customWidth="1" style="19" min="5" max="5"/>
    <col width="18" customWidth="1" style="19" min="6" max="6"/>
    <col width="9" customWidth="1" style="19" min="7" max="7"/>
    <col width="16" customWidth="1" style="19" min="8" max="8"/>
    <col width="13" customWidth="1" style="19" min="9" max="9"/>
    <col width="16" customWidth="1" style="19" min="10" max="10"/>
    <col width="15" customWidth="1" style="19" min="11" max="12"/>
    <col width="55" customWidth="1" style="19" min="13" max="13"/>
    <col width="15" customWidth="1" style="19" min="14" max="14"/>
    <col width="11" customWidth="1" style="19" min="15" max="15"/>
    <col width="6" customWidth="1" style="19" min="16" max="16"/>
    <col width="22" customWidth="1" style="19" min="17" max="17"/>
    <col width="16" customWidth="1" style="19" min="18" max="18"/>
    <col width="15" customWidth="1" style="19" min="19" max="19"/>
    <col width="26" customWidth="1" style="19" min="20" max="20"/>
    <col width="17" customWidth="1" style="19" min="21" max="21"/>
    <col width="18" customWidth="1" style="19" min="22" max="22"/>
    <col width="12" customWidth="1" style="19" min="23" max="23"/>
    <col width="17" customWidth="1" style="19" min="24" max="24"/>
    <col width="15" customWidth="1" style="19" min="25" max="25"/>
    <col width="11" customWidth="1" style="19" min="26" max="26"/>
    <col width="24" customWidth="1" style="19" min="27" max="27"/>
    <col width="13" customWidth="1" style="19" min="28" max="28"/>
    <col width="36" customWidth="1" style="19" min="29" max="29"/>
    <col width="13" customWidth="1" style="19" min="30" max="31"/>
    <col width="14" customWidth="1" style="19" min="32" max="32"/>
    <col width="16" customWidth="1" style="19" min="33" max="33"/>
    <col width="14" customWidth="1" style="19" min="34" max="34"/>
    <col width="45" customWidth="1" style="19" min="35" max="35"/>
  </cols>
  <sheetData>
    <row r="1" ht="42" customHeight="1" s="20">
      <c r="A1" s="24" t="inlineStr">
        <is>
          <t>Row ID</t>
        </is>
      </c>
      <c r="B1" s="24" t="inlineStr">
        <is>
          <t>Episode ID</t>
        </is>
      </c>
      <c r="C1" s="24" t="inlineStr">
        <is>
          <t>Event type</t>
        </is>
      </c>
      <c r="D1" s="24" t="inlineStr">
        <is>
          <t>Key quote?</t>
        </is>
      </c>
      <c r="E1" s="24" t="inlineStr">
        <is>
          <t>Call number</t>
        </is>
      </c>
      <c r="F1" s="24" t="inlineStr">
        <is>
          <t>File</t>
        </is>
      </c>
      <c r="G1" s="24" t="inlineStr">
        <is>
          <t>PDF page no.</t>
        </is>
      </c>
      <c r="H1" s="24" t="inlineStr">
        <is>
          <t>Folio</t>
        </is>
      </c>
      <c r="I1" s="24" t="inlineStr">
        <is>
          <t>Folio basis</t>
        </is>
      </c>
      <c r="J1" s="24" t="inlineStr">
        <is>
          <t>Link to PDF/Photos</t>
        </is>
      </c>
      <c r="K1" s="24" t="inlineStr">
        <is>
          <t>Image status</t>
        </is>
      </c>
      <c r="L1" s="24" t="inlineStr">
        <is>
          <t>Transcription status</t>
        </is>
      </c>
      <c r="M1" s="24" t="inlineStr">
        <is>
          <t>Transcribed text (key quote)</t>
        </is>
      </c>
      <c r="N1" s="24" t="inlineStr">
        <is>
          <t>Date (as written)</t>
        </is>
      </c>
      <c r="O1" s="24" t="inlineStr">
        <is>
          <t>Date (ISO)</t>
        </is>
      </c>
      <c r="P1" s="24" t="inlineStr">
        <is>
          <t>Year</t>
        </is>
      </c>
      <c r="Q1" s="24" t="inlineStr">
        <is>
          <t>Location (as written)</t>
        </is>
      </c>
      <c r="R1" s="24" t="inlineStr">
        <is>
          <t>Place (normalised)</t>
        </is>
      </c>
      <c r="S1" s="24" t="inlineStr">
        <is>
          <t>County</t>
        </is>
      </c>
      <c r="T1" s="24" t="inlineStr">
        <is>
          <t>Writer</t>
        </is>
      </c>
      <c r="U1" s="24" t="inlineStr">
        <is>
          <t>Writer role</t>
        </is>
      </c>
      <c r="V1" s="24" t="inlineStr">
        <is>
          <t>Addressed to</t>
        </is>
      </c>
      <c r="W1" s="24" t="inlineStr">
        <is>
          <t>Home Secretary in office</t>
        </is>
      </c>
      <c r="X1" s="24" t="inlineStr">
        <is>
          <t>Disturbance type</t>
        </is>
      </c>
      <c r="Y1" s="24" t="inlineStr">
        <is>
          <t>Request kind</t>
        </is>
      </c>
      <c r="Z1" s="24" t="inlineStr">
        <is>
          <t>Civil power inadequate?</t>
        </is>
      </c>
      <c r="AA1" s="24" t="inlineStr">
        <is>
          <t>Force requested (type &amp; size)</t>
        </is>
      </c>
      <c r="AB1" s="24" t="inlineStr">
        <is>
          <t>Military already nearby?</t>
        </is>
      </c>
      <c r="AC1" s="24" t="inlineStr">
        <is>
          <t>Response text (if given)</t>
        </is>
      </c>
      <c r="AD1" s="24" t="inlineStr">
        <is>
          <t>Outcome</t>
        </is>
      </c>
      <c r="AE1" s="24" t="inlineStr">
        <is>
          <t>Response date</t>
        </is>
      </c>
      <c r="AF1" s="24" t="inlineStr">
        <is>
          <t>Response location</t>
        </is>
      </c>
      <c r="AG1" s="24" t="inlineStr">
        <is>
          <t>Response writer</t>
        </is>
      </c>
      <c r="AH1" s="24" t="inlineStr">
        <is>
          <t>Response source</t>
        </is>
      </c>
      <c r="AI1" s="24" t="inlineStr">
        <is>
          <t>Notes / flag</t>
        </is>
      </c>
    </row>
    <row r="2" ht="45.75" customHeight="1" s="20">
      <c r="A2" s="25" t="inlineStr">
        <is>
          <t>HO42-0001</t>
        </is>
      </c>
      <c r="B2" s="25" t="inlineStr">
        <is>
          <t>E01</t>
        </is>
      </c>
      <c r="C2" s="26" t="inlineStr">
        <is>
          <t>Request for troops</t>
        </is>
      </c>
      <c r="D2" s="25" t="inlineStr">
        <is>
          <t>N</t>
        </is>
      </c>
      <c r="E2" s="25" t="inlineStr">
        <is>
          <t>HO 42/16</t>
        </is>
      </c>
      <c r="F2" s="25" t="inlineStr">
        <is>
          <t>HO-42-16_01.pdf</t>
        </is>
      </c>
      <c r="G2" s="25" t="n"/>
      <c r="H2" s="25" t="inlineStr">
        <is>
          <t>ff.58, 60, 61</t>
        </is>
      </c>
      <c r="I2" s="25" t="inlineStr">
        <is>
          <t>Unclear - check</t>
        </is>
      </c>
      <c r="J2" s="25" t="n"/>
      <c r="K2" s="25" t="inlineStr">
        <is>
          <t>Digitised (TNA PDF)</t>
        </is>
      </c>
      <c r="L2" s="25" t="inlineStr">
        <is>
          <t>Key quote only</t>
        </is>
      </c>
      <c r="M2" s="25" t="inlineStr">
        <is>
          <t>"...should arise any Necessity for the Interference of the Military, it would be expedient for me to know the nearest Place to this Spot where Troops are now station'd... from the War Office, with the Name of the commanding Officer."</t>
        </is>
      </c>
      <c r="N2" s="25" t="inlineStr">
        <is>
          <t>17 Mar 1790</t>
        </is>
      </c>
      <c r="O2" s="27" t="inlineStr">
        <is>
          <t>1790-03-17</t>
        </is>
      </c>
      <c r="P2" s="25">
        <f>IF(O2="","",VALUE(LEFT(O2,4)))</f>
        <v/>
      </c>
      <c r="Q2" s="25" t="inlineStr">
        <is>
          <t>Keynsham (nr Bristol)</t>
        </is>
      </c>
      <c r="R2" s="25" t="inlineStr">
        <is>
          <t>Keynsham</t>
        </is>
      </c>
      <c r="S2" s="25" t="inlineStr">
        <is>
          <t>Somerset</t>
        </is>
      </c>
      <c r="T2" s="25" t="inlineStr">
        <is>
          <t>Thomas Ireland, magistrate</t>
        </is>
      </c>
      <c r="U2" s="25" t="inlineStr">
        <is>
          <t>Magistrate / JP</t>
        </is>
      </c>
      <c r="V2" s="25" t="n"/>
      <c r="W2" s="25">
        <f>IF(O2="","",INDEX(Lookups!$B$2:$B$20,MATCH(O2,Lookups!$A$2:$A$20,1)))</f>
        <v/>
      </c>
      <c r="X2" s="25" t="inlineStr">
        <is>
          <t>Anti-machinery</t>
        </is>
      </c>
      <c r="Y2" s="25" t="inlineStr">
        <is>
          <t>Contingent</t>
        </is>
      </c>
      <c r="Z2" s="25" t="inlineStr">
        <is>
          <t>N</t>
        </is>
      </c>
      <c r="AA2" s="25" t="inlineStr">
        <is>
          <t>None yet - asks location of nearest troops + CO name</t>
        </is>
      </c>
      <c r="AB2" s="25" t="inlineStr">
        <is>
          <t>Unclear</t>
        </is>
      </c>
      <c r="AC2" s="25" t="n"/>
      <c r="AD2" s="25" t="inlineStr">
        <is>
          <t>Not needed</t>
        </is>
      </c>
      <c r="AE2" s="25" t="n"/>
      <c r="AF2" s="25" t="n"/>
      <c r="AG2" s="25" t="n"/>
      <c r="AH2" s="25" t="n"/>
      <c r="AI2" s="25" t="inlineStr">
        <is>
          <t>Anti-machinery/colliers riot vs newly introduced woollen manufactory machines; contingent request for nearest garrison; Ireland preferred civil power. | Outcome (orig.): Not called (dispersed by Riot Act)</t>
        </is>
      </c>
    </row>
    <row r="3" ht="57" customHeight="1" s="20">
      <c r="A3" s="25" t="inlineStr">
        <is>
          <t>HO42-0002</t>
        </is>
      </c>
      <c r="B3" s="25" t="inlineStr">
        <is>
          <t>E02</t>
        </is>
      </c>
      <c r="C3" s="26" t="inlineStr">
        <is>
          <t>Request for troops</t>
        </is>
      </c>
      <c r="D3" s="25" t="inlineStr">
        <is>
          <t>N</t>
        </is>
      </c>
      <c r="E3" s="25" t="inlineStr">
        <is>
          <t>HO 42/16</t>
        </is>
      </c>
      <c r="F3" s="25" t="inlineStr">
        <is>
          <t>HO-42-16_05.pdf</t>
        </is>
      </c>
      <c r="G3" s="25" t="n"/>
      <c r="H3" s="25" t="inlineStr">
        <is>
          <t>ff.317-319</t>
        </is>
      </c>
      <c r="I3" s="25" t="inlineStr">
        <is>
          <t>Unclear - check</t>
        </is>
      </c>
      <c r="J3" s="25" t="n"/>
      <c r="K3" s="25" t="inlineStr">
        <is>
          <t>Digitised (TNA PDF)</t>
        </is>
      </c>
      <c r="L3" s="25" t="inlineStr">
        <is>
          <t>Key quote only</t>
        </is>
      </c>
      <c r="M3" s="25" t="inlineStr">
        <is>
          <t>"...we cannot depend or expect much support from our Constables... to request such support for our Persons &amp; property as the nature of the case requires." / Mulgrave: "the object... is to have some military force quartered in the Town at the time of the Election."</t>
        </is>
      </c>
      <c r="N3" s="25" t="inlineStr">
        <is>
          <t>1 Sep 1790 (fwd 6 Sep)</t>
        </is>
      </c>
      <c r="O3" s="27" t="inlineStr">
        <is>
          <t>1790-09-01</t>
        </is>
      </c>
      <c r="P3" s="25">
        <f>IF(O3="","",VALUE(LEFT(O3,4)))</f>
        <v/>
      </c>
      <c r="Q3" s="25" t="inlineStr">
        <is>
          <t>Scarborough</t>
        </is>
      </c>
      <c r="R3" s="25" t="inlineStr">
        <is>
          <t>Scarborough</t>
        </is>
      </c>
      <c r="S3" s="25" t="inlineStr">
        <is>
          <t>Yorkshire (N. Riding)</t>
        </is>
      </c>
      <c r="T3" s="25" t="inlineStr">
        <is>
          <t>Jno Harrison &amp; Jno Woodall, bailiffs; fwd by Henry Phipps (Ld Mulgrave)</t>
        </is>
      </c>
      <c r="U3" s="25" t="inlineStr">
        <is>
          <t>Mayor / corporation</t>
        </is>
      </c>
      <c r="V3" s="25" t="inlineStr">
        <is>
          <t>Ld Mulgrave, fwd to Grenville</t>
        </is>
      </c>
      <c r="W3" s="25">
        <f>IF(O3="","",INDEX(Lookups!$B$2:$B$20,MATCH(O3,Lookups!$A$2:$A$20,1)))</f>
        <v/>
      </c>
      <c r="X3" s="25" t="inlineStr">
        <is>
          <t>Election</t>
        </is>
      </c>
      <c r="Y3" s="25" t="inlineStr">
        <is>
          <t>Pre-emptive</t>
        </is>
      </c>
      <c r="Z3" s="25" t="inlineStr">
        <is>
          <t>Y</t>
        </is>
      </c>
      <c r="AA3" s="25" t="inlineStr">
        <is>
          <t>Military force quartered in town during election</t>
        </is>
      </c>
      <c r="AB3" s="25" t="inlineStr">
        <is>
          <t>Unclear</t>
        </is>
      </c>
      <c r="AC3" s="25" t="n"/>
      <c r="AD3" s="25" t="inlineStr">
        <is>
          <t>Forwarded</t>
        </is>
      </c>
      <c r="AE3" s="25" t="n"/>
      <c r="AF3" s="25" t="n"/>
      <c r="AG3" s="25" t="n"/>
      <c r="AH3" s="25" t="n"/>
      <c r="AI3" s="25" t="inlineStr">
        <is>
          <t>Corporation vs freemen threatening to seize control by force at the election; constables unreliable. | Outcome (orig.): Forwarded to Grenville; outcome not in file</t>
        </is>
      </c>
    </row>
    <row r="4" ht="57" customHeight="1" s="20">
      <c r="A4" s="25" t="inlineStr">
        <is>
          <t>HO42-0003</t>
        </is>
      </c>
      <c r="B4" s="25" t="inlineStr">
        <is>
          <t>E03</t>
        </is>
      </c>
      <c r="C4" s="26" t="inlineStr">
        <is>
          <t>Request for troops</t>
        </is>
      </c>
      <c r="D4" s="25" t="inlineStr">
        <is>
          <t>N</t>
        </is>
      </c>
      <c r="E4" s="25" t="inlineStr">
        <is>
          <t>HO 42/34</t>
        </is>
      </c>
      <c r="F4" s="25" t="inlineStr">
        <is>
          <t>HO-42-34_01.pdf</t>
        </is>
      </c>
      <c r="G4" s="25" t="n"/>
      <c r="H4" s="25" t="inlineStr">
        <is>
          <t>ff.55-56</t>
        </is>
      </c>
      <c r="I4" s="25" t="inlineStr">
        <is>
          <t>Unclear - check</t>
        </is>
      </c>
      <c r="J4" s="25" t="n"/>
      <c r="K4" s="25" t="inlineStr">
        <is>
          <t>Digitised (TNA PDF)</t>
        </is>
      </c>
      <c r="L4" s="25" t="inlineStr">
        <is>
          <t>Key quote only</t>
        </is>
      </c>
      <c r="M4" s="25" t="inlineStr">
        <is>
          <t>"...pull down the mill &amp; destroy the corn &amp; flour therein, situated in the parish of Lamberhurst, belonging to Messrs Webb &amp; Fowle..."</t>
        </is>
      </c>
      <c r="N4" s="25" t="inlineStr">
        <is>
          <t>23 Jan 1795</t>
        </is>
      </c>
      <c r="O4" s="27" t="inlineStr">
        <is>
          <t>1795-01-23</t>
        </is>
      </c>
      <c r="P4" s="25">
        <f>IF(O4="","",VALUE(LEFT(O4,4)))</f>
        <v/>
      </c>
      <c r="Q4" s="25" t="inlineStr">
        <is>
          <t>Lamberhurst</t>
        </is>
      </c>
      <c r="R4" s="25" t="inlineStr">
        <is>
          <t>Lamberhurst</t>
        </is>
      </c>
      <c r="S4" s="25" t="inlineStr">
        <is>
          <t>Kent</t>
        </is>
      </c>
      <c r="T4" s="25" t="inlineStr">
        <is>
          <t>Charles Jaques, magistrate (for Fowle, mill-owner)</t>
        </is>
      </c>
      <c r="U4" s="25" t="inlineStr">
        <is>
          <t>Magistrate / JP</t>
        </is>
      </c>
      <c r="V4" s="25" t="n"/>
      <c r="W4" s="25">
        <f>IF(O4="","",INDEX(Lookups!$B$2:$B$20,MATCH(O4,Lookups!$A$2:$A$20,1)))</f>
        <v/>
      </c>
      <c r="X4" s="25" t="inlineStr">
        <is>
          <t>Food / provisions</t>
        </is>
      </c>
      <c r="Y4" s="25" t="inlineStr">
        <is>
          <t>Pre-emptive</t>
        </is>
      </c>
      <c r="Z4" s="25" t="inlineStr">
        <is>
          <t>Unclear</t>
        </is>
      </c>
      <c r="AA4" s="25" t="inlineStr">
        <is>
          <t>Not specified</t>
        </is>
      </c>
      <c r="AB4" s="25" t="inlineStr">
        <is>
          <t>Unclear</t>
        </is>
      </c>
      <c r="AC4" s="25" t="inlineStr">
        <is>
          <t>Docket: "Copy of this sent to Ld Amherst Jany 24 with his Grace's opinion that a small number of troops shd be ordered to Lamberhurst to aid the magistrates if necessary."</t>
        </is>
      </c>
      <c r="AD4" s="25" t="inlineStr">
        <is>
          <t>Approved</t>
        </is>
      </c>
      <c r="AE4" s="25" t="inlineStr">
        <is>
          <t>24 Jan 1795</t>
        </is>
      </c>
      <c r="AF4" s="25" t="inlineStr">
        <is>
          <t>Whitehall</t>
        </is>
      </c>
      <c r="AG4" s="25" t="inlineStr">
        <is>
          <t>Portland -&gt; Amherst</t>
        </is>
      </c>
      <c r="AH4" s="25" t="inlineStr">
        <is>
          <t>HO 42 docket</t>
        </is>
      </c>
      <c r="AI4" s="25" t="inlineStr">
        <is>
          <t>Flour-mill riot; GRANTED (small number of troops ordered). Clean request+response pair. | Outcome (orig.): Approved</t>
        </is>
      </c>
    </row>
    <row r="5" ht="45.75" customHeight="1" s="20">
      <c r="A5" s="25" t="inlineStr">
        <is>
          <t>HO42-0004</t>
        </is>
      </c>
      <c r="B5" s="25" t="inlineStr">
        <is>
          <t>E04</t>
        </is>
      </c>
      <c r="C5" s="28" t="inlineStr">
        <is>
          <t>Corps founded</t>
        </is>
      </c>
      <c r="D5" s="25" t="inlineStr">
        <is>
          <t>Y</t>
        </is>
      </c>
      <c r="E5" s="25" t="inlineStr">
        <is>
          <t>HO 42/34</t>
        </is>
      </c>
      <c r="F5" s="25" t="inlineStr">
        <is>
          <t>HO-42-34_02.pdf</t>
        </is>
      </c>
      <c r="G5" s="25" t="n"/>
      <c r="H5" s="25" t="inlineStr">
        <is>
          <t>ff.117-118, 122-123</t>
        </is>
      </c>
      <c r="I5" s="25" t="inlineStr">
        <is>
          <t>Unclear - check</t>
        </is>
      </c>
      <c r="J5" s="25" t="n"/>
      <c r="K5" s="25" t="inlineStr">
        <is>
          <t>Digitised (TNA PDF)</t>
        </is>
      </c>
      <c r="L5" s="25" t="inlineStr">
        <is>
          <t>Key quote; full text held</t>
        </is>
      </c>
      <c r="M5" s="25" t="inlineStr">
        <is>
          <t>"...expedient to augment the domestic Force of this Country, as well to resist any hostile Attempts... as to suppress any Insurrections... the Object of their arming is, to aid the civil Magistracy."</t>
        </is>
      </c>
      <c r="N5" s="25" t="inlineStr">
        <is>
          <t>28 Jan 1795 (fwd 21 &amp; 26 Feb)</t>
        </is>
      </c>
      <c r="O5" s="27" t="inlineStr">
        <is>
          <t>1795-01-28</t>
        </is>
      </c>
      <c r="P5" s="25">
        <f>IF(O5="","",VALUE(LEFT(O5,4)))</f>
        <v/>
      </c>
      <c r="Q5" s="25" t="inlineStr">
        <is>
          <t>Newcastle upon Tyne</t>
        </is>
      </c>
      <c r="R5" s="25" t="inlineStr">
        <is>
          <t>Newcastle upon Tyne</t>
        </is>
      </c>
      <c r="S5" s="25" t="inlineStr">
        <is>
          <t>Northumberland</t>
        </is>
      </c>
      <c r="T5" s="25" t="inlineStr">
        <is>
          <t>Mayor Francis Johnson; fwd Duke of Northumberland (Ld Lieut)</t>
        </is>
      </c>
      <c r="U5" s="25" t="inlineStr">
        <is>
          <t>Mayor / corporation</t>
        </is>
      </c>
      <c r="V5" s="25" t="inlineStr">
        <is>
          <t>Duke of Northumberland (Ld Lieut), fwd to HO</t>
        </is>
      </c>
      <c r="W5" s="25">
        <f>IF(O5="","",INDEX(Lookups!$B$2:$B$20,MATCH(O5,Lookups!$A$2:$A$20,1)))</f>
        <v/>
      </c>
      <c r="X5" s="25" t="inlineStr">
        <is>
          <t>Preventive / general</t>
        </is>
      </c>
      <c r="Y5" s="25" t="n"/>
      <c r="Z5" s="25" t="n"/>
      <c r="AA5" s="25" t="n"/>
      <c r="AB5" s="25" t="n"/>
      <c r="AC5" s="25" t="inlineStr">
        <is>
          <t>His Majesty accepted the offer to form a Volunteer Corps of Infantry for the internal defence of the town; Northumberland protests the loose, self-governing terms.</t>
        </is>
      </c>
      <c r="AD5" s="25" t="inlineStr">
        <is>
          <t>Approved</t>
        </is>
      </c>
      <c r="AE5" s="25" t="inlineStr">
        <is>
          <t>26 Feb 1795</t>
        </is>
      </c>
      <c r="AF5" s="25" t="n"/>
      <c r="AG5" s="25" t="inlineStr">
        <is>
          <t>King via Portland</t>
        </is>
      </c>
      <c r="AH5" s="25" t="inlineStr">
        <is>
          <t>Other</t>
        </is>
      </c>
      <c r="AI5" s="25" t="inlineStr">
        <is>
          <t>KEY QUOTE. Volunteer infantry corps; full text held. Lord-Lieutenant ambivalence on record. | Outcome (orig.): Approved</t>
        </is>
      </c>
    </row>
    <row r="6" ht="57" customHeight="1" s="20">
      <c r="A6" s="25" t="inlineStr">
        <is>
          <t>HO42-0005</t>
        </is>
      </c>
      <c r="B6" s="25" t="inlineStr">
        <is>
          <t>E05</t>
        </is>
      </c>
      <c r="C6" s="28" t="inlineStr">
        <is>
          <t>Corps armed/expanded</t>
        </is>
      </c>
      <c r="D6" s="25" t="inlineStr">
        <is>
          <t>N</t>
        </is>
      </c>
      <c r="E6" s="25" t="inlineStr">
        <is>
          <t>HO 42/34</t>
        </is>
      </c>
      <c r="F6" s="25" t="inlineStr">
        <is>
          <t>HO-42-34_03.pdf</t>
        </is>
      </c>
      <c r="G6" s="25" t="n"/>
      <c r="H6" s="25" t="inlineStr">
        <is>
          <t>ff.186-188</t>
        </is>
      </c>
      <c r="I6" s="25" t="inlineStr">
        <is>
          <t>Unclear - check</t>
        </is>
      </c>
      <c r="J6" s="25" t="n"/>
      <c r="K6" s="25" t="inlineStr">
        <is>
          <t>Digitised (TNA PDF)</t>
        </is>
      </c>
      <c r="L6" s="25" t="inlineStr">
        <is>
          <t>Key quote only</t>
        </is>
      </c>
      <c r="M6" s="25" t="inlineStr">
        <is>
          <t>"...I request the favor of Government arming me with forty stand of Small Arms with necessary Accoutrements... &amp; a couple of barrels of ball Cartridges... I cannot but again repeat my former application for a couple of field pieces to be attached to this Company..."</t>
        </is>
      </c>
      <c r="N6" s="25" t="inlineStr">
        <is>
          <t>11 Mar 1795</t>
        </is>
      </c>
      <c r="O6" s="27" t="inlineStr">
        <is>
          <t>1795-03-11</t>
        </is>
      </c>
      <c r="P6" s="25">
        <f>IF(O6="","",VALUE(LEFT(O6,4)))</f>
        <v/>
      </c>
      <c r="Q6" s="25" t="inlineStr">
        <is>
          <t>Penzance</t>
        </is>
      </c>
      <c r="R6" s="25" t="inlineStr">
        <is>
          <t>Penzance</t>
        </is>
      </c>
      <c r="S6" s="25" t="inlineStr">
        <is>
          <t>Cornwall</t>
        </is>
      </c>
      <c r="T6" s="25" t="inlineStr">
        <is>
          <t>Capt Tremenheere, Penzance Volunteer Company</t>
        </is>
      </c>
      <c r="U6" s="25" t="inlineStr">
        <is>
          <t>Volunteer / militia officer</t>
        </is>
      </c>
      <c r="V6" s="25" t="n"/>
      <c r="W6" s="25">
        <f>IF(O6="","",INDEX(Lookups!$B$2:$B$20,MATCH(O6,Lookups!$A$2:$A$20,1)))</f>
        <v/>
      </c>
      <c r="X6" s="25" t="inlineStr">
        <is>
          <t>Other / unclear</t>
        </is>
      </c>
      <c r="Y6" s="25" t="n"/>
      <c r="Z6" s="25" t="n"/>
      <c r="AA6" s="25" t="n"/>
      <c r="AB6" s="25" t="inlineStr">
        <is>
          <t>Volunteers only</t>
        </is>
      </c>
      <c r="AC6" s="25" t="n"/>
      <c r="AD6" s="25" t="n"/>
      <c r="AE6" s="25" t="n"/>
      <c r="AF6" s="25" t="n"/>
      <c r="AG6" s="25" t="n"/>
      <c r="AH6" s="25" t="n"/>
      <c r="AI6" s="25" t="inlineStr">
        <is>
          <t>Miners' rising dispersed by bayonet/Riot Act; corps deployed with improvised cannon; 20-30 enrolling as 'Penzance Artillery Men'. | CHECK: Disturbance type: 1795 Cornish miners' risings were largely over grain prices - confirm from letters and recode.</t>
        </is>
      </c>
    </row>
    <row r="7" ht="45.75" customHeight="1" s="20">
      <c r="A7" s="25" t="inlineStr">
        <is>
          <t>HO42-0006</t>
        </is>
      </c>
      <c r="B7" s="25" t="inlineStr">
        <is>
          <t>E05</t>
        </is>
      </c>
      <c r="C7" s="28" t="inlineStr">
        <is>
          <t>Corps armed/expanded</t>
        </is>
      </c>
      <c r="D7" s="25" t="inlineStr">
        <is>
          <t>N</t>
        </is>
      </c>
      <c r="E7" s="25" t="inlineStr">
        <is>
          <t>HO 42/34</t>
        </is>
      </c>
      <c r="F7" s="25" t="inlineStr">
        <is>
          <t>HO-42-34_03.pdf</t>
        </is>
      </c>
      <c r="G7" s="25" t="n"/>
      <c r="H7" s="25" t="inlineStr">
        <is>
          <t>ff.199-200</t>
        </is>
      </c>
      <c r="I7" s="25" t="inlineStr">
        <is>
          <t>Unclear - check</t>
        </is>
      </c>
      <c r="J7" s="25" t="n"/>
      <c r="K7" s="25" t="inlineStr">
        <is>
          <t>Digitised (TNA PDF)</t>
        </is>
      </c>
      <c r="L7" s="25" t="inlineStr">
        <is>
          <t>Key quote only</t>
        </is>
      </c>
      <c r="M7" s="25" t="inlineStr">
        <is>
          <t>"There being no other Military force at this place but the Volunteer Company, I have thought proper to keep them in constant readiness, which produces an Expence which there is no fund to supply. I therefore request your Grace's directions herein."</t>
        </is>
      </c>
      <c r="N7" s="25" t="inlineStr">
        <is>
          <t>14 Mar 1795</t>
        </is>
      </c>
      <c r="O7" s="27" t="inlineStr">
        <is>
          <t>1795-03-14</t>
        </is>
      </c>
      <c r="P7" s="25">
        <f>IF(O7="","",VALUE(LEFT(O7,4)))</f>
        <v/>
      </c>
      <c r="Q7" s="25" t="inlineStr">
        <is>
          <t>Penzance</t>
        </is>
      </c>
      <c r="R7" s="25" t="inlineStr">
        <is>
          <t>Penzance</t>
        </is>
      </c>
      <c r="S7" s="25" t="inlineStr">
        <is>
          <t>Cornwall</t>
        </is>
      </c>
      <c r="T7" s="25" t="inlineStr">
        <is>
          <t>Capt Tremenheere</t>
        </is>
      </c>
      <c r="U7" s="25" t="inlineStr">
        <is>
          <t>Volunteer / militia officer</t>
        </is>
      </c>
      <c r="V7" s="25" t="n"/>
      <c r="W7" s="25">
        <f>IF(O7="","",INDEX(Lookups!$B$2:$B$20,MATCH(O7,Lookups!$A$2:$A$20,1)))</f>
        <v/>
      </c>
      <c r="X7" s="25" t="inlineStr">
        <is>
          <t>Other / unclear</t>
        </is>
      </c>
      <c r="Y7" s="25" t="n"/>
      <c r="Z7" s="25" t="n"/>
      <c r="AA7" s="25" t="n"/>
      <c r="AB7" s="25" t="inlineStr">
        <is>
          <t>Volunteers only</t>
        </is>
      </c>
      <c r="AC7" s="25" t="n"/>
      <c r="AD7" s="25" t="n"/>
      <c r="AE7" s="25" t="n"/>
      <c r="AF7" s="25" t="n"/>
      <c r="AG7" s="25" t="n"/>
      <c r="AH7" s="25" t="n"/>
      <c r="AI7" s="25" t="inlineStr">
        <is>
          <t>Funding/authority request tied to keeping the corps mobilised.</t>
        </is>
      </c>
    </row>
    <row r="8" ht="34.5" customHeight="1" s="20">
      <c r="A8" s="25" t="inlineStr">
        <is>
          <t>HO42-0007</t>
        </is>
      </c>
      <c r="B8" s="25" t="inlineStr">
        <is>
          <t>E05</t>
        </is>
      </c>
      <c r="C8" s="28" t="inlineStr">
        <is>
          <t>Corps armed/expanded</t>
        </is>
      </c>
      <c r="D8" s="25" t="inlineStr">
        <is>
          <t>N</t>
        </is>
      </c>
      <c r="E8" s="25" t="inlineStr">
        <is>
          <t>HO 42/34</t>
        </is>
      </c>
      <c r="F8" s="25" t="inlineStr">
        <is>
          <t>HO-42-34_03.pdf</t>
        </is>
      </c>
      <c r="G8" s="25" t="n"/>
      <c r="H8" s="25" t="inlineStr">
        <is>
          <t>f.201</t>
        </is>
      </c>
      <c r="I8" s="25" t="inlineStr">
        <is>
          <t>Unclear - check</t>
        </is>
      </c>
      <c r="J8" s="25" t="n"/>
      <c r="K8" s="25" t="inlineStr">
        <is>
          <t>Digitised (TNA PDF)</t>
        </is>
      </c>
      <c r="L8" s="25" t="inlineStr">
        <is>
          <t>Key quote only</t>
        </is>
      </c>
      <c r="M8" s="25" t="inlineStr">
        <is>
          <t>"...humbly beg leave to support the application made to Government by Captain Tremenheere for two field pieces to be attached to his Company."</t>
        </is>
      </c>
      <c r="N8" s="25" t="inlineStr">
        <is>
          <t>14 Mar 1795</t>
        </is>
      </c>
      <c r="O8" s="27" t="inlineStr">
        <is>
          <t>1795-03-14</t>
        </is>
      </c>
      <c r="P8" s="25">
        <f>IF(O8="","",VALUE(LEFT(O8,4)))</f>
        <v/>
      </c>
      <c r="Q8" s="25" t="inlineStr">
        <is>
          <t>Penzance</t>
        </is>
      </c>
      <c r="R8" s="25" t="inlineStr">
        <is>
          <t>Penzance</t>
        </is>
      </c>
      <c r="S8" s="25" t="inlineStr">
        <is>
          <t>Cornwall</t>
        </is>
      </c>
      <c r="T8" s="25" t="inlineStr">
        <is>
          <t>Mayor &amp; Justices of Penzance (Board, Batten)</t>
        </is>
      </c>
      <c r="U8" s="25" t="inlineStr">
        <is>
          <t>Mayor / corporation</t>
        </is>
      </c>
      <c r="V8" s="25" t="n"/>
      <c r="W8" s="25">
        <f>IF(O8="","",INDEX(Lookups!$B$2:$B$20,MATCH(O8,Lookups!$A$2:$A$20,1)))</f>
        <v/>
      </c>
      <c r="X8" s="25" t="inlineStr">
        <is>
          <t>Other / unclear</t>
        </is>
      </c>
      <c r="Y8" s="25" t="n"/>
      <c r="Z8" s="25" t="n"/>
      <c r="AA8" s="25" t="n"/>
      <c r="AB8" s="25" t="inlineStr">
        <is>
          <t>Volunteers only</t>
        </is>
      </c>
      <c r="AC8" s="25" t="n"/>
      <c r="AD8" s="25" t="n"/>
      <c r="AE8" s="25" t="n"/>
      <c r="AF8" s="25" t="n"/>
      <c r="AG8" s="25" t="n"/>
      <c r="AH8" s="25" t="n"/>
      <c r="AI8" s="25" t="inlineStr">
        <is>
          <t>Corporation endorsement of the arms request.</t>
        </is>
      </c>
    </row>
    <row r="9" ht="57" customHeight="1" s="20">
      <c r="A9" s="25" t="inlineStr">
        <is>
          <t>HO42-0008</t>
        </is>
      </c>
      <c r="B9" s="25" t="inlineStr">
        <is>
          <t>E05</t>
        </is>
      </c>
      <c r="C9" s="26" t="inlineStr">
        <is>
          <t>Request for troops</t>
        </is>
      </c>
      <c r="D9" s="25" t="inlineStr">
        <is>
          <t>N</t>
        </is>
      </c>
      <c r="E9" s="25" t="inlineStr">
        <is>
          <t>HO 42/34</t>
        </is>
      </c>
      <c r="F9" s="25" t="inlineStr">
        <is>
          <t>HO-42-34_03.pdf</t>
        </is>
      </c>
      <c r="G9" s="25" t="n"/>
      <c r="H9" s="25" t="inlineStr">
        <is>
          <t>f.210</t>
        </is>
      </c>
      <c r="I9" s="25" t="inlineStr">
        <is>
          <t>Unclear - check</t>
        </is>
      </c>
      <c r="J9" s="25" t="n"/>
      <c r="K9" s="25" t="inlineStr">
        <is>
          <t>Digitised (TNA PDF)</t>
        </is>
      </c>
      <c r="L9" s="25" t="inlineStr">
        <is>
          <t>Key quote only</t>
        </is>
      </c>
      <c r="M9" s="25" t="inlineStr">
        <is>
          <t>"...induce us to request Your Lordship to order such regular forces or Militia as may be thought necessary to be sent into this Neighbourhood as speedily as possible in support of the Civil power and in Aid of the Volunteer Companies." PS: "Two companies may with ease be accommodated..."</t>
        </is>
      </c>
      <c r="N9" s="25" t="inlineStr">
        <is>
          <t>16 Mar 1795</t>
        </is>
      </c>
      <c r="O9" s="27" t="inlineStr">
        <is>
          <t>1795-03-16</t>
        </is>
      </c>
      <c r="P9" s="25">
        <f>IF(O9="","",VALUE(LEFT(O9,4)))</f>
        <v/>
      </c>
      <c r="Q9" s="25" t="inlineStr">
        <is>
          <t>Penzance, Cornwall</t>
        </is>
      </c>
      <c r="R9" s="25" t="inlineStr">
        <is>
          <t>Penzance</t>
        </is>
      </c>
      <c r="S9" s="25" t="inlineStr">
        <is>
          <t>Cornwall</t>
        </is>
      </c>
      <c r="T9" s="25" t="inlineStr">
        <is>
          <t>Wm Borlase, John Price, Thos Pascoe, Richd Hichens (JPs) + Collector of Customs</t>
        </is>
      </c>
      <c r="U9" s="25" t="inlineStr">
        <is>
          <t>Magistrate / JP</t>
        </is>
      </c>
      <c r="V9" s="25" t="n"/>
      <c r="W9" s="25">
        <f>IF(O9="","",INDEX(Lookups!$B$2:$B$20,MATCH(O9,Lookups!$A$2:$A$20,1)))</f>
        <v/>
      </c>
      <c r="X9" s="25" t="inlineStr">
        <is>
          <t>Other / unclear</t>
        </is>
      </c>
      <c r="Y9" s="25" t="inlineStr">
        <is>
          <t>Actual</t>
        </is>
      </c>
      <c r="Z9" s="25" t="inlineStr">
        <is>
          <t>Y</t>
        </is>
      </c>
      <c r="AA9" s="25" t="inlineStr">
        <is>
          <t>Regular forces or militia; "two companies may with ease be accommodated"</t>
        </is>
      </c>
      <c r="AB9" s="25" t="inlineStr">
        <is>
          <t>Volunteers only</t>
        </is>
      </c>
      <c r="AC9" s="25" t="n"/>
      <c r="AD9" s="25" t="n"/>
      <c r="AE9" s="25" t="n"/>
      <c r="AF9" s="25" t="n"/>
      <c r="AG9" s="25" t="n"/>
      <c r="AH9" s="25" t="n"/>
      <c r="AI9" s="25" t="inlineStr">
        <is>
          <t>Formal county-JP request for regulars/militia after Volunteer Companies alone proved insufficient.</t>
        </is>
      </c>
    </row>
    <row r="10" ht="34.5" customHeight="1" s="20">
      <c r="A10" s="25" t="inlineStr">
        <is>
          <t>HO42-0009</t>
        </is>
      </c>
      <c r="B10" s="25" t="inlineStr">
        <is>
          <t>E06</t>
        </is>
      </c>
      <c r="C10" s="28" t="inlineStr">
        <is>
          <t>Corps armed/expanded</t>
        </is>
      </c>
      <c r="D10" s="25" t="inlineStr">
        <is>
          <t>N</t>
        </is>
      </c>
      <c r="E10" s="25" t="inlineStr">
        <is>
          <t>HO 42/34</t>
        </is>
      </c>
      <c r="F10" s="25" t="inlineStr">
        <is>
          <t>HO-42-34_01.pdf</t>
        </is>
      </c>
      <c r="G10" s="25" t="n"/>
      <c r="H10" s="25" t="inlineStr">
        <is>
          <t>ff.9-10</t>
        </is>
      </c>
      <c r="I10" s="25" t="inlineStr">
        <is>
          <t>Unclear - check</t>
        </is>
      </c>
      <c r="J10" s="25" t="n"/>
      <c r="K10" s="25" t="inlineStr">
        <is>
          <t>Digitised (TNA PDF)</t>
        </is>
      </c>
      <c r="L10" s="25" t="inlineStr">
        <is>
          <t>Key quote only</t>
        </is>
      </c>
      <c r="M10" s="25" t="inlineStr">
        <is>
          <t>Offer to raise two additional troops (100 men) for his Fencible Regiment; notes Government had declined the expense of purchasing horses.</t>
        </is>
      </c>
      <c r="N10" s="25" t="inlineStr">
        <is>
          <t>4 Jan 1795</t>
        </is>
      </c>
      <c r="O10" s="27" t="inlineStr">
        <is>
          <t>1795-01-04</t>
        </is>
      </c>
      <c r="P10" s="25">
        <f>IF(O10="","",VALUE(LEFT(O10,4)))</f>
        <v/>
      </c>
      <c r="Q10" s="25" t="inlineStr">
        <is>
          <t>Exeter (Heavitree Barracks)</t>
        </is>
      </c>
      <c r="R10" s="25" t="inlineStr">
        <is>
          <t>Exeter</t>
        </is>
      </c>
      <c r="S10" s="25" t="inlineStr">
        <is>
          <t>Devon</t>
        </is>
      </c>
      <c r="T10" s="25" t="inlineStr">
        <is>
          <t>Montagu Burgoyne</t>
        </is>
      </c>
      <c r="U10" s="25" t="inlineStr">
        <is>
          <t>Military officer</t>
        </is>
      </c>
      <c r="V10" s="25" t="n"/>
      <c r="W10" s="25">
        <f>IF(O10="","",INDEX(Lookups!$B$2:$B$20,MATCH(O10,Lookups!$A$2:$A$20,1)))</f>
        <v/>
      </c>
      <c r="X10" s="25" t="n"/>
      <c r="Y10" s="25" t="n"/>
      <c r="Z10" s="25" t="n"/>
      <c r="AA10" s="25" t="n"/>
      <c r="AB10" s="25" t="n"/>
      <c r="AC10" s="25" t="n"/>
      <c r="AD10" s="25" t="n"/>
      <c r="AE10" s="25" t="n"/>
      <c r="AF10" s="25" t="n"/>
      <c r="AG10" s="25" t="n"/>
      <c r="AH10" s="25" t="n"/>
      <c r="AI10" s="25" t="inlineStr">
        <is>
          <t>Officer's offer to expand a fencible corps; fiscal-military bargaining over horse cost.</t>
        </is>
      </c>
    </row>
    <row r="11" ht="57" customHeight="1" s="20">
      <c r="A11" s="25" t="inlineStr">
        <is>
          <t>HO42-0010</t>
        </is>
      </c>
      <c r="B11" s="25" t="inlineStr">
        <is>
          <t>E07</t>
        </is>
      </c>
      <c r="C11" s="28" t="inlineStr">
        <is>
          <t>Corps founded</t>
        </is>
      </c>
      <c r="D11" s="25" t="inlineStr">
        <is>
          <t>Y</t>
        </is>
      </c>
      <c r="E11" s="25" t="inlineStr">
        <is>
          <t>HO 42/30</t>
        </is>
      </c>
      <c r="F11" s="25" t="inlineStr">
        <is>
          <t>HO-42-30_01.pdf</t>
        </is>
      </c>
      <c r="G11" s="25" t="n"/>
      <c r="H11" s="25" t="inlineStr">
        <is>
          <t>ff.21-24</t>
        </is>
      </c>
      <c r="I11" s="25" t="inlineStr">
        <is>
          <t>Unclear - check</t>
        </is>
      </c>
      <c r="J11" s="25" t="n"/>
      <c r="K11" s="25" t="inlineStr">
        <is>
          <t>Digitised (TNA PDF)</t>
        </is>
      </c>
      <c r="L11" s="25" t="inlineStr">
        <is>
          <t>Key quote; full text held</t>
        </is>
      </c>
      <c r="M11" s="25" t="inlineStr">
        <is>
          <t>"...do without Delay quit the Field of Argument for that of Arms... forming themselves into a Military Association... be formed into Companies of Infantry, but to offer the Service of as many Cavalry as can be mustered... to repel external Violence, suppress internal Commotions..."</t>
        </is>
      </c>
      <c r="N11" s="25" t="inlineStr">
        <is>
          <t>6 May 1794 (res. 24 Mar &amp; 19 Apr)</t>
        </is>
      </c>
      <c r="O11" s="27" t="inlineStr">
        <is>
          <t>1794-05-06</t>
        </is>
      </c>
      <c r="P11" s="25">
        <f>IF(O11="","",VALUE(LEFT(O11,4)))</f>
        <v/>
      </c>
      <c r="Q11" s="25" t="inlineStr">
        <is>
          <t>Birmingham</t>
        </is>
      </c>
      <c r="R11" s="25" t="inlineStr">
        <is>
          <t>Birmingham</t>
        </is>
      </c>
      <c r="S11" s="25" t="inlineStr">
        <is>
          <t>Warwickshire</t>
        </is>
      </c>
      <c r="T11" s="25" t="inlineStr">
        <is>
          <t>John Brooke / J. Morfitt (Loyal True Blues)</t>
        </is>
      </c>
      <c r="U11" s="25" t="inlineStr">
        <is>
          <t>Loyalist association</t>
        </is>
      </c>
      <c r="V11" s="25" t="n"/>
      <c r="W11" s="25">
        <f>IF(O11="","",INDEX(Lookups!$B$2:$B$20,MATCH(O11,Lookups!$A$2:$A$20,1)))</f>
        <v/>
      </c>
      <c r="X11" s="25" t="inlineStr">
        <is>
          <t>Preventive / general</t>
        </is>
      </c>
      <c r="Y11" s="25" t="n"/>
      <c r="Z11" s="25" t="n"/>
      <c r="AA11" s="25" t="n"/>
      <c r="AB11" s="25" t="n"/>
      <c r="AC11" s="25" t="n"/>
      <c r="AD11" s="25" t="n"/>
      <c r="AE11" s="25" t="n"/>
      <c r="AF11" s="25" t="n"/>
      <c r="AG11" s="25" t="n"/>
      <c r="AH11" s="25" t="n"/>
      <c r="AI11" s="25" t="inlineStr">
        <is>
          <t>KEY QUOTE. Loyalist association militarising into infantry+cavalry; ~50-100 enrolled; full text held.</t>
        </is>
      </c>
    </row>
    <row r="12" ht="45.75" customHeight="1" s="20">
      <c r="A12" s="25" t="inlineStr">
        <is>
          <t>HO42-0011</t>
        </is>
      </c>
      <c r="B12" s="25" t="inlineStr">
        <is>
          <t>E08</t>
        </is>
      </c>
      <c r="C12" s="28" t="inlineStr">
        <is>
          <t>Corps founded</t>
        </is>
      </c>
      <c r="D12" s="25" t="inlineStr">
        <is>
          <t>Y</t>
        </is>
      </c>
      <c r="E12" s="25" t="inlineStr">
        <is>
          <t>HO 42/30</t>
        </is>
      </c>
      <c r="F12" s="25" t="inlineStr">
        <is>
          <t>HO-42-30_01.pdf</t>
        </is>
      </c>
      <c r="G12" s="25" t="n"/>
      <c r="H12" s="25" t="inlineStr">
        <is>
          <t>ff.52-53</t>
        </is>
      </c>
      <c r="I12" s="25" t="inlineStr">
        <is>
          <t>Unclear - check</t>
        </is>
      </c>
      <c r="J12" s="25" t="n"/>
      <c r="K12" s="25" t="inlineStr">
        <is>
          <t>Digitised (TNA PDF)</t>
        </is>
      </c>
      <c r="L12" s="25" t="inlineStr">
        <is>
          <t>Key quote only</t>
        </is>
      </c>
      <c r="M12" s="25" t="inlineStr">
        <is>
          <t>"...do hereby engage to form ourselves into a military Corps, under the Sanction of Government, to be called the Independent Sheffield Volunteers... in preventing or suppressing all riotous, disorderly &amp; unlawful meetings or assemblies."</t>
        </is>
      </c>
      <c r="N12" s="25" t="inlineStr">
        <is>
          <t>1 May 1794 (fwd 12 May)</t>
        </is>
      </c>
      <c r="O12" s="27" t="inlineStr">
        <is>
          <t>1794-05-01</t>
        </is>
      </c>
      <c r="P12" s="25">
        <f>IF(O12="","",VALUE(LEFT(O12,4)))</f>
        <v/>
      </c>
      <c r="Q12" s="25" t="inlineStr">
        <is>
          <t>Sheffield</t>
        </is>
      </c>
      <c r="R12" s="25" t="inlineStr">
        <is>
          <t>Sheffield</t>
        </is>
      </c>
      <c r="S12" s="25" t="inlineStr">
        <is>
          <t>Yorkshire (W. Riding)</t>
        </is>
      </c>
      <c r="T12" s="25" t="inlineStr">
        <is>
          <t>J. Russell, Dronfield</t>
        </is>
      </c>
      <c r="U12" s="25" t="inlineStr">
        <is>
          <t>Loyalist association</t>
        </is>
      </c>
      <c r="V12" s="25" t="n"/>
      <c r="W12" s="25">
        <f>IF(O12="","",INDEX(Lookups!$B$2:$B$20,MATCH(O12,Lookups!$A$2:$A$20,1)))</f>
        <v/>
      </c>
      <c r="X12" s="25" t="inlineStr">
        <is>
          <t>Preventive / general</t>
        </is>
      </c>
      <c r="Y12" s="25" t="n"/>
      <c r="Z12" s="25" t="n"/>
      <c r="AA12" s="25" t="n"/>
      <c r="AB12" s="25" t="n"/>
      <c r="AC12" s="25" t="n"/>
      <c r="AD12" s="25" t="n"/>
      <c r="AE12" s="25" t="n"/>
      <c r="AF12" s="25" t="n"/>
      <c r="AG12" s="25" t="n"/>
      <c r="AH12" s="25" t="n"/>
      <c r="AI12" s="25" t="inlineStr">
        <is>
          <t>KEY QUOTE. Corps raised in a radical town; 100+ signatures; engagement text held.</t>
        </is>
      </c>
    </row>
    <row r="13" ht="45.75" customHeight="1" s="20">
      <c r="A13" s="25" t="inlineStr">
        <is>
          <t>HO42-0012</t>
        </is>
      </c>
      <c r="B13" s="25" t="inlineStr">
        <is>
          <t>E09</t>
        </is>
      </c>
      <c r="C13" s="29" t="inlineStr">
        <is>
          <t>Barracks</t>
        </is>
      </c>
      <c r="D13" s="25" t="inlineStr">
        <is>
          <t>Y</t>
        </is>
      </c>
      <c r="E13" s="25" t="inlineStr">
        <is>
          <t>HO 42/30</t>
        </is>
      </c>
      <c r="F13" s="25" t="inlineStr">
        <is>
          <t>HO-42-30_01.pdf</t>
        </is>
      </c>
      <c r="G13" s="25" t="n"/>
      <c r="H13" s="25" t="inlineStr">
        <is>
          <t>ff.62-63</t>
        </is>
      </c>
      <c r="I13" s="25" t="inlineStr">
        <is>
          <t>Unclear - check</t>
        </is>
      </c>
      <c r="J13" s="25" t="n"/>
      <c r="K13" s="25" t="inlineStr">
        <is>
          <t>Digitised (TNA PDF)</t>
        </is>
      </c>
      <c r="L13" s="25" t="inlineStr">
        <is>
          <t>Key quote only</t>
        </is>
      </c>
      <c r="M13" s="25" t="inlineStr">
        <is>
          <t>"...particularly in case of Riots and Disturbances among the Pitmen and others employed in the Coalworks... the peace... most effectually preserved by the appearance of Cavalry on the Spot ready to assist the civil Power."</t>
        </is>
      </c>
      <c r="N13" s="25" t="inlineStr">
        <is>
          <t>12 May 1794</t>
        </is>
      </c>
      <c r="O13" s="27" t="inlineStr">
        <is>
          <t>1794-05-12</t>
        </is>
      </c>
      <c r="P13" s="25">
        <f>IF(O13="","",VALUE(LEFT(O13,4)))</f>
        <v/>
      </c>
      <c r="Q13" s="25" t="inlineStr">
        <is>
          <t>Newcastle upon Tyne</t>
        </is>
      </c>
      <c r="R13" s="25" t="inlineStr">
        <is>
          <t>Newcastle upon Tyne</t>
        </is>
      </c>
      <c r="S13" s="25" t="inlineStr">
        <is>
          <t>Northumberland</t>
        </is>
      </c>
      <c r="T13" s="25" t="inlineStr">
        <is>
          <t>Mayor Wm Yielder &amp; corporation</t>
        </is>
      </c>
      <c r="U13" s="25" t="inlineStr">
        <is>
          <t>Mayor / corporation</t>
        </is>
      </c>
      <c r="V13" s="25" t="n"/>
      <c r="W13" s="25">
        <f>IF(O13="","",INDEX(Lookups!$B$2:$B$20,MATCH(O13,Lookups!$A$2:$A$20,1)))</f>
        <v/>
      </c>
      <c r="X13" s="25" t="inlineStr">
        <is>
          <t>Labour / industrial</t>
        </is>
      </c>
      <c r="Y13" s="25" t="inlineStr">
        <is>
          <t>Pre-emptive</t>
        </is>
      </c>
      <c r="Z13" s="25" t="n"/>
      <c r="AA13" s="25" t="inlineStr">
        <is>
          <t>Cavalry barracks</t>
        </is>
      </c>
      <c r="AB13" s="25" t="inlineStr">
        <is>
          <t>Unclear</t>
        </is>
      </c>
      <c r="AC13" s="25" t="n"/>
      <c r="AD13" s="25" t="n"/>
      <c r="AE13" s="25" t="n"/>
      <c r="AF13" s="25" t="n"/>
      <c r="AG13" s="25" t="n"/>
      <c r="AH13" s="25" t="n"/>
      <c r="AI13" s="25" t="inlineStr">
        <is>
          <t>Request to build cavalry barracks, explicitly riot-driven (pitmen).</t>
        </is>
      </c>
    </row>
    <row r="14" ht="45.75" customHeight="1" s="20">
      <c r="A14" s="25" t="inlineStr">
        <is>
          <t>HO42-0013</t>
        </is>
      </c>
      <c r="B14" s="25" t="inlineStr">
        <is>
          <t>E10</t>
        </is>
      </c>
      <c r="C14" s="29" t="inlineStr">
        <is>
          <t>Barracks</t>
        </is>
      </c>
      <c r="D14" s="25" t="inlineStr">
        <is>
          <t>N</t>
        </is>
      </c>
      <c r="E14" s="25" t="inlineStr">
        <is>
          <t>HO 42/30</t>
        </is>
      </c>
      <c r="F14" s="25" t="inlineStr">
        <is>
          <t>HO-42-30_01.pdf</t>
        </is>
      </c>
      <c r="G14" s="25" t="n"/>
      <c r="H14" s="25" t="inlineStr">
        <is>
          <t>ff.16-17</t>
        </is>
      </c>
      <c r="I14" s="25" t="inlineStr">
        <is>
          <t>Unclear - check</t>
        </is>
      </c>
      <c r="J14" s="25" t="n"/>
      <c r="K14" s="25" t="inlineStr">
        <is>
          <t>Digitised (TNA PDF)</t>
        </is>
      </c>
      <c r="L14" s="25" t="inlineStr">
        <is>
          <t>Key quote only</t>
        </is>
      </c>
      <c r="M14" s="25" t="inlineStr">
        <is>
          <t>Objection to the siting of proposed barracks at Wells ('a mere Village, free from seditious Societies').</t>
        </is>
      </c>
      <c r="N14" s="25" t="inlineStr">
        <is>
          <t>5 May 1794</t>
        </is>
      </c>
      <c r="O14" s="27" t="inlineStr">
        <is>
          <t>1794-05-05</t>
        </is>
      </c>
      <c r="P14" s="25">
        <f>IF(O14="","",VALUE(LEFT(O14,4)))</f>
        <v/>
      </c>
      <c r="Q14" s="25" t="inlineStr">
        <is>
          <t>Wells</t>
        </is>
      </c>
      <c r="R14" s="25" t="inlineStr">
        <is>
          <t>Wells</t>
        </is>
      </c>
      <c r="S14" s="25" t="inlineStr">
        <is>
          <t>Somerset</t>
        </is>
      </c>
      <c r="T14" s="25" t="inlineStr">
        <is>
          <t>Mr Tudway</t>
        </is>
      </c>
      <c r="U14" s="25" t="inlineStr">
        <is>
          <t>Private individual</t>
        </is>
      </c>
      <c r="V14" s="25" t="n"/>
      <c r="W14" s="25">
        <f>IF(O14="","",INDEX(Lookups!$B$2:$B$20,MATCH(O14,Lookups!$A$2:$A$20,1)))</f>
        <v/>
      </c>
      <c r="X14" s="25" t="inlineStr">
        <is>
          <t>Preventive / general</t>
        </is>
      </c>
      <c r="Y14" s="25" t="n"/>
      <c r="Z14" s="25" t="n"/>
      <c r="AA14" s="25" t="n"/>
      <c r="AB14" s="25" t="n"/>
      <c r="AC14" s="25" t="n"/>
      <c r="AD14" s="25" t="n"/>
      <c r="AE14" s="25" t="n"/>
      <c r="AF14" s="25" t="n"/>
      <c r="AG14" s="25" t="n"/>
      <c r="AH14" s="25" t="n"/>
      <c r="AI14" s="25" t="inlineStr">
        <is>
          <t>Marginal - about siting, not raising. Included for completeness. | CHECK: Barracks row is an OBJECTION to siting, not a request - consider separate event type.</t>
        </is>
      </c>
    </row>
    <row r="15" ht="45.75" customHeight="1" s="20">
      <c r="A15" s="25" t="inlineStr">
        <is>
          <t>HO42-0014</t>
        </is>
      </c>
      <c r="B15" s="25" t="inlineStr">
        <is>
          <t>E11</t>
        </is>
      </c>
      <c r="C15" s="26" t="inlineStr">
        <is>
          <t>Request for troops</t>
        </is>
      </c>
      <c r="D15" s="25" t="inlineStr">
        <is>
          <t>N</t>
        </is>
      </c>
      <c r="E15" s="25" t="inlineStr">
        <is>
          <t>HO 42/33</t>
        </is>
      </c>
      <c r="F15" s="25" t="inlineStr">
        <is>
          <t>HO-42-33_01.pdf</t>
        </is>
      </c>
      <c r="G15" s="25" t="n"/>
      <c r="H15" s="25" t="inlineStr">
        <is>
          <t>~f.43-44 (also narr. ff.220-225 in _03)</t>
        </is>
      </c>
      <c r="I15" s="25" t="inlineStr">
        <is>
          <t>Unclear - check</t>
        </is>
      </c>
      <c r="J15" s="25" t="n"/>
      <c r="K15" s="25" t="inlineStr">
        <is>
          <t>Digitised (TNA PDF)</t>
        </is>
      </c>
      <c r="L15" s="25" t="inlineStr">
        <is>
          <t>Key quote only</t>
        </is>
      </c>
      <c r="M15" s="25" t="inlineStr">
        <is>
          <t>"...finding the impossibility of quelling a further riot with the civil power only... I am therefore going to send to the Tower for 100 of His Majesty's Guards, and... I shall stand in Need of further military Aid at Night." (also asked Light Horse Volunteers &amp; HAC)</t>
        </is>
      </c>
      <c r="N15" s="25" t="inlineStr">
        <is>
          <t>20-22 Aug 1794</t>
        </is>
      </c>
      <c r="O15" s="27" t="inlineStr">
        <is>
          <t>1794-08-20</t>
        </is>
      </c>
      <c r="P15" s="25">
        <f>IF(O15="","",VALUE(LEFT(O15,4)))</f>
        <v/>
      </c>
      <c r="Q15" s="25" t="inlineStr">
        <is>
          <t>London</t>
        </is>
      </c>
      <c r="R15" s="25" t="inlineStr">
        <is>
          <t>London</t>
        </is>
      </c>
      <c r="S15" s="25" t="inlineStr">
        <is>
          <t>Middlesex / City</t>
        </is>
      </c>
      <c r="T15" s="25" t="inlineStr">
        <is>
          <t>Lord Mayor (Paul Le Mesurier)</t>
        </is>
      </c>
      <c r="U15" s="25" t="inlineStr">
        <is>
          <t>Mayor / corporation</t>
        </is>
      </c>
      <c r="V15" s="25" t="inlineStr">
        <is>
          <t>Tower (Guards); HAC; Light Horse Volunteers</t>
        </is>
      </c>
      <c r="W15" s="25">
        <f>IF(O15="","",INDEX(Lookups!$B$2:$B$20,MATCH(O15,Lookups!$A$2:$A$20,1)))</f>
        <v/>
      </c>
      <c r="X15" s="25" t="inlineStr">
        <is>
          <t>Recruitment / crimping</t>
        </is>
      </c>
      <c r="Y15" s="25" t="inlineStr">
        <is>
          <t>Actual</t>
        </is>
      </c>
      <c r="Z15" s="25" t="inlineStr">
        <is>
          <t>Y</t>
        </is>
      </c>
      <c r="AA15" s="25" t="inlineStr">
        <is>
          <t>100 Guards from Tower + Light Horse Volunteers &amp; HAC</t>
        </is>
      </c>
      <c r="AB15" s="25" t="inlineStr">
        <is>
          <t>Y</t>
        </is>
      </c>
      <c r="AC15" s="25" t="n"/>
      <c r="AD15" s="25" t="n"/>
      <c r="AE15" s="25" t="n"/>
      <c r="AF15" s="25" t="n"/>
      <c r="AG15" s="25" t="n"/>
      <c r="AH15" s="25" t="n"/>
      <c r="AI15" s="25" t="inlineStr">
        <is>
          <t>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is>
      </c>
    </row>
    <row r="16" ht="45.75" customHeight="1" s="20">
      <c r="A16" s="25" t="inlineStr">
        <is>
          <t>HO42-0015</t>
        </is>
      </c>
      <c r="B16" s="25" t="inlineStr">
        <is>
          <t>E11</t>
        </is>
      </c>
      <c r="C16" s="30" t="inlineStr">
        <is>
          <t>Corps forming (context)</t>
        </is>
      </c>
      <c r="D16" s="25" t="inlineStr">
        <is>
          <t>N</t>
        </is>
      </c>
      <c r="E16" s="25" t="inlineStr">
        <is>
          <t>HO 42/33</t>
        </is>
      </c>
      <c r="F16" s="25" t="inlineStr">
        <is>
          <t>HO-42-33_03.pdf</t>
        </is>
      </c>
      <c r="G16" s="25" t="n"/>
      <c r="H16" s="25" t="inlineStr">
        <is>
          <t>ff.160, 162-163</t>
        </is>
      </c>
      <c r="I16" s="25" t="inlineStr">
        <is>
          <t>Unclear - check</t>
        </is>
      </c>
      <c r="J16" s="25" t="n"/>
      <c r="K16" s="25" t="inlineStr">
        <is>
          <t>Digitised (TNA PDF)</t>
        </is>
      </c>
      <c r="L16" s="25" t="inlineStr">
        <is>
          <t>Key quote only</t>
        </is>
      </c>
      <c r="M16" s="25" t="inlineStr">
        <is>
          <t>"the Armed Associations which are forming in this quarter of the Metropolis cannot be ready to act for a considerable length of time..." / "none of the Military associations which have been forming in Hackney and the Town Hamlets are yet in a situation to act."</t>
        </is>
      </c>
      <c r="N16" s="25" t="inlineStr">
        <is>
          <t>21 Aug 1794</t>
        </is>
      </c>
      <c r="O16" s="27" t="inlineStr">
        <is>
          <t>1794-08-21</t>
        </is>
      </c>
      <c r="P16" s="25">
        <f>IF(O16="","",VALUE(LEFT(O16,4)))</f>
        <v/>
      </c>
      <c r="Q16" s="25" t="inlineStr">
        <is>
          <t>London (Hackney, Tower Hamlets)</t>
        </is>
      </c>
      <c r="R16" s="25" t="inlineStr">
        <is>
          <t>London</t>
        </is>
      </c>
      <c r="S16" s="25" t="inlineStr">
        <is>
          <t>Middlesex</t>
        </is>
      </c>
      <c r="T16" s="25" t="inlineStr">
        <is>
          <t>Patrick Colquhoun, Worship Street</t>
        </is>
      </c>
      <c r="U16" s="25" t="inlineStr">
        <is>
          <t>Magistrate / JP</t>
        </is>
      </c>
      <c r="V16" s="25" t="n"/>
      <c r="W16" s="25">
        <f>IF(O16="","",INDEX(Lookups!$B$2:$B$20,MATCH(O16,Lookups!$A$2:$A$20,1)))</f>
        <v/>
      </c>
      <c r="X16" s="25" t="n"/>
      <c r="Y16" s="25" t="n"/>
      <c r="Z16" s="25" t="n"/>
      <c r="AA16" s="25" t="n"/>
      <c r="AB16" s="25" t="n"/>
      <c r="AC16" s="25" t="n"/>
      <c r="AD16" s="25" t="n"/>
      <c r="AE16" s="25" t="n"/>
      <c r="AF16" s="25" t="n"/>
      <c r="AG16" s="25" t="n"/>
      <c r="AH16" s="25" t="n"/>
      <c r="AI16" s="25" t="inlineStr">
        <is>
          <t>Evidence of armed associations being raised across metropolitan parishes (context, not a discrete offer).</t>
        </is>
      </c>
    </row>
    <row r="17" ht="68.25" customHeight="1" s="20">
      <c r="A17" s="25" t="inlineStr">
        <is>
          <t>HO42-0016</t>
        </is>
      </c>
      <c r="B17" s="25" t="inlineStr">
        <is>
          <t>E12</t>
        </is>
      </c>
      <c r="C17" s="28" t="inlineStr">
        <is>
          <t>Corps armed/expanded</t>
        </is>
      </c>
      <c r="D17" s="25" t="inlineStr">
        <is>
          <t>N</t>
        </is>
      </c>
      <c r="E17" s="25" t="inlineStr">
        <is>
          <t>HO 42/30</t>
        </is>
      </c>
      <c r="F17" s="25" t="inlineStr">
        <is>
          <t>HO-42-30_04.pdf</t>
        </is>
      </c>
      <c r="G17" s="25" t="n"/>
      <c r="H17" s="25" t="inlineStr">
        <is>
          <t>ff.270-271</t>
        </is>
      </c>
      <c r="I17" s="25" t="inlineStr">
        <is>
          <t>Unclear - check</t>
        </is>
      </c>
      <c r="J17" s="25" t="n"/>
      <c r="K17" s="25" t="inlineStr">
        <is>
          <t>Digitised (TNA PDF)</t>
        </is>
      </c>
      <c r="L17" s="25" t="inlineStr">
        <is>
          <t>Key quote only</t>
        </is>
      </c>
      <c r="M17" s="25" t="inlineStr">
        <is>
          <t>"His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is>
      </c>
      <c r="N17" s="25" t="inlineStr">
        <is>
          <t>24 May 1794</t>
        </is>
      </c>
      <c r="O17" s="27" t="inlineStr">
        <is>
          <t>1794-05-24</t>
        </is>
      </c>
      <c r="P17" s="25">
        <f>IF(O17="","",VALUE(LEFT(O17,4)))</f>
        <v/>
      </c>
      <c r="Q17" s="25" t="inlineStr">
        <is>
          <t>Isle of Wight</t>
        </is>
      </c>
      <c r="R17" s="25" t="inlineStr">
        <is>
          <t>Isle of Wight</t>
        </is>
      </c>
      <c r="S17" s="25" t="inlineStr">
        <is>
          <t>Hampshire</t>
        </is>
      </c>
      <c r="T17" s="25" t="inlineStr">
        <is>
          <t>Thomas Orde (Governor of the Isle of Wight)</t>
        </is>
      </c>
      <c r="U17" s="25" t="inlineStr">
        <is>
          <t>Other official</t>
        </is>
      </c>
      <c r="V17" s="25" t="n"/>
      <c r="W17" s="25">
        <f>IF(O17="","",INDEX(Lookups!$B$2:$B$20,MATCH(O17,Lookups!$A$2:$A$20,1)))</f>
        <v/>
      </c>
      <c r="X17" s="25" t="inlineStr">
        <is>
          <t>Preventive / general</t>
        </is>
      </c>
      <c r="Y17" s="25" t="n"/>
      <c r="Z17" s="25" t="n"/>
      <c r="AA17" s="25" t="n"/>
      <c r="AB17" s="25" t="n"/>
      <c r="AC17" s="25" t="inlineStr">
        <is>
          <t>Militia augmentation already approved by the King; the field-pieces request's outcome not in this file.</t>
        </is>
      </c>
      <c r="AD17" s="25" t="inlineStr">
        <is>
          <t>Approved</t>
        </is>
      </c>
      <c r="AE17" s="25" t="n"/>
      <c r="AF17" s="25" t="n"/>
      <c r="AG17" s="25" t="n"/>
      <c r="AH17" s="25" t="inlineStr">
        <is>
          <t>Other</t>
        </is>
      </c>
      <c r="AI17" s="25" t="inlineStr">
        <is>
          <t>Militia increase by voluntary subscription + request for 2 field pieces; internal-defence framed. Key-quote adjacent (militia augmentation). | Outcome (orig.): (augmentation approved) | CHECK: Key-quote adjacent (militia augmentation).</t>
        </is>
      </c>
    </row>
    <row r="18" ht="57" customHeight="1" s="20">
      <c r="A18" s="25" t="inlineStr">
        <is>
          <t>HO42-0017</t>
        </is>
      </c>
      <c r="B18" s="25" t="inlineStr">
        <is>
          <t>E13</t>
        </is>
      </c>
      <c r="C18" s="26" t="inlineStr">
        <is>
          <t>Request for troops</t>
        </is>
      </c>
      <c r="D18" s="25" t="inlineStr">
        <is>
          <t>N</t>
        </is>
      </c>
      <c r="E18" s="25" t="inlineStr">
        <is>
          <t>HO 42/33</t>
        </is>
      </c>
      <c r="F18" s="25" t="inlineStr">
        <is>
          <t>HO-42-33_05.pdf</t>
        </is>
      </c>
      <c r="G18" s="25" t="n"/>
      <c r="H18" s="25" t="inlineStr">
        <is>
          <t>f.377</t>
        </is>
      </c>
      <c r="I18" s="25" t="inlineStr">
        <is>
          <t>Unclear - check</t>
        </is>
      </c>
      <c r="J18" s="25" t="n"/>
      <c r="K18" s="25" t="inlineStr">
        <is>
          <t>Digitised (TNA PDF)</t>
        </is>
      </c>
      <c r="L18" s="25" t="inlineStr">
        <is>
          <t>Key quote only</t>
        </is>
      </c>
      <c r="M18" s="25" t="inlineStr">
        <is>
          <t>"This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is>
      </c>
      <c r="N18" s="25" t="inlineStr">
        <is>
          <t>22 Nov 1794</t>
        </is>
      </c>
      <c r="O18" s="27" t="inlineStr">
        <is>
          <t>1794-11-22</t>
        </is>
      </c>
      <c r="P18" s="25">
        <f>IF(O18="","",VALUE(LEFT(O18,4)))</f>
        <v/>
      </c>
      <c r="Q18" s="25" t="inlineStr">
        <is>
          <t>London (Sessions House, Old Bailey)</t>
        </is>
      </c>
      <c r="R18" s="25" t="inlineStr">
        <is>
          <t>London</t>
        </is>
      </c>
      <c r="S18" s="25" t="inlineStr">
        <is>
          <t>City of London</t>
        </is>
      </c>
      <c r="T18" s="25" t="inlineStr">
        <is>
          <t>Lord Mayor of London (Thomas Skinner)</t>
        </is>
      </c>
      <c r="U18" s="25" t="inlineStr">
        <is>
          <t>Mayor / corporation</t>
        </is>
      </c>
      <c r="V18" s="25" t="n"/>
      <c r="W18" s="25">
        <f>IF(O18="","",INDEX(Lookups!$B$2:$B$20,MATCH(O18,Lookups!$A$2:$A$20,1)))</f>
        <v/>
      </c>
      <c r="X18" s="25" t="inlineStr">
        <is>
          <t>Radical / political</t>
        </is>
      </c>
      <c r="Y18" s="25" t="inlineStr">
        <is>
          <t>Report only</t>
        </is>
      </c>
      <c r="Z18" s="25" t="inlineStr">
        <is>
          <t>N</t>
        </is>
      </c>
      <c r="AA18" s="25" t="inlineStr">
        <is>
          <t>Artillery Co. &amp; Light Horse Volunteers on standby; 200 extra constables</t>
        </is>
      </c>
      <c r="AB18" s="25" t="inlineStr">
        <is>
          <t>Y</t>
        </is>
      </c>
      <c r="AC18" s="25" t="n"/>
      <c r="AD18" s="25" t="n"/>
      <c r="AE18" s="25" t="n"/>
      <c r="AF18" s="25" t="n"/>
      <c r="AG18" s="25" t="n"/>
      <c r="AH18" s="25" t="n"/>
      <c r="AI18" s="25" t="inlineStr">
        <is>
          <t>During the Treason Trials (Hardy/Tooke). Civil request to the volunteer corps + 200 extra constables; distinct occasion from the Aug 1794 crimp-riot request. | CHECK: Reclassify? This is a report to HO of local precautions, not a request to government.</t>
        </is>
      </c>
    </row>
    <row r="19" ht="15" customHeight="1" s="20">
      <c r="A19" s="25" t="inlineStr">
        <is>
          <t>HO42-0018</t>
        </is>
      </c>
      <c r="B19" s="25" t="inlineStr">
        <is>
          <t>E14</t>
        </is>
      </c>
      <c r="C19" s="26" t="inlineStr">
        <is>
          <t>Request for troops</t>
        </is>
      </c>
      <c r="D19" s="25" t="inlineStr">
        <is>
          <t>N</t>
        </is>
      </c>
      <c r="E19" s="25" t="inlineStr">
        <is>
          <t>HO 42/30</t>
        </is>
      </c>
      <c r="F19" s="25" t="inlineStr">
        <is>
          <t>HO-42-30_04.pdf</t>
        </is>
      </c>
      <c r="G19" s="25" t="inlineStr">
        <is>
          <t>30-33</t>
        </is>
      </c>
      <c r="H19" s="25" t="inlineStr">
        <is>
          <t>ff.225, 227</t>
        </is>
      </c>
      <c r="I19" s="25" t="inlineStr">
        <is>
          <t>Folio stamp</t>
        </is>
      </c>
      <c r="J19" s="25" t="n"/>
      <c r="K19" s="25" t="inlineStr">
        <is>
          <t>Digitised (TNA PDF)</t>
        </is>
      </c>
      <c r="L19" s="25" t="inlineStr">
        <is>
          <t>Key quote only</t>
        </is>
      </c>
      <c r="M19" s="25" t="inlineStr">
        <is>
          <t>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is>
      </c>
      <c r="N19" s="25" t="inlineStr">
        <is>
          <t>23 May 1794</t>
        </is>
      </c>
      <c r="O19" s="27" t="inlineStr">
        <is>
          <t>1794-05-23</t>
        </is>
      </c>
      <c r="P19" s="25">
        <f>IF(O19="","",VALUE(LEFT(O19,4)))</f>
        <v/>
      </c>
      <c r="Q19" s="25" t="inlineStr">
        <is>
          <t>Birmingham</t>
        </is>
      </c>
      <c r="R19" s="25" t="inlineStr">
        <is>
          <t>Birmingham</t>
        </is>
      </c>
      <c r="S19" s="25" t="inlineStr">
        <is>
          <t>Warwickshire</t>
        </is>
      </c>
      <c r="T19" s="25" t="inlineStr">
        <is>
          <t>G. Shuckburgh-Evelyn (fwd W. Legge; encl. Dr B. Spencer, magistrate)</t>
        </is>
      </c>
      <c r="U19" s="25" t="inlineStr">
        <is>
          <t>MP / peer</t>
        </is>
      </c>
      <c r="V19" s="25" t="inlineStr">
        <is>
          <t>Home Office (Nepean?)</t>
        </is>
      </c>
      <c r="W19" s="25">
        <f>IF(O19="","",INDEX(Lookups!$B$2:$B$20,MATCH(O19,Lookups!$A$2:$A$20,1)))</f>
        <v/>
      </c>
      <c r="X19" s="25" t="inlineStr">
        <is>
          <t>Radical / political</t>
        </is>
      </c>
      <c r="Y19" s="25" t="inlineStr">
        <is>
          <t>Pre-emptive</t>
        </is>
      </c>
      <c r="Z19" s="25" t="inlineStr">
        <is>
          <t>Unclear</t>
        </is>
      </c>
      <c r="AA19" s="25" t="inlineStr">
        <is>
          <t>Retain at least one troop of cavalry in the town</t>
        </is>
      </c>
      <c r="AB19" s="25" t="inlineStr">
        <is>
          <t>Y</t>
        </is>
      </c>
      <c r="AC19" s="25" t="n"/>
      <c r="AD19" s="25" t="n"/>
      <c r="AE19" s="25" t="n"/>
      <c r="AF19" s="25" t="n"/>
      <c r="AG19" s="25" t="n"/>
      <c r="AH19" s="25" t="n"/>
      <c r="AI19" s="25" t="inlineStr">
        <is>
          <t>Request to keep cavalry from being withdrawn (regiment under orders for foreign service). Distinct episode from the Loyal True Blues corps (E07). Docket 23 May 1794 "Dom". Addressee inferred - check.</t>
        </is>
      </c>
    </row>
    <row r="20" ht="15" customHeight="1" s="20">
      <c r="A20" s="25" t="inlineStr">
        <is>
          <t>HO42-0019</t>
        </is>
      </c>
      <c r="B20" s="25" t="inlineStr">
        <is>
          <t>E15</t>
        </is>
      </c>
      <c r="C20" s="28" t="inlineStr">
        <is>
          <t>Corps founded</t>
        </is>
      </c>
      <c r="D20" s="25" t="inlineStr">
        <is>
          <t>Y</t>
        </is>
      </c>
      <c r="E20" s="25" t="inlineStr">
        <is>
          <t>HO 42/30</t>
        </is>
      </c>
      <c r="F20" s="25" t="inlineStr">
        <is>
          <t>HO-42-30_05.pdf</t>
        </is>
      </c>
      <c r="G20" s="25" t="inlineStr">
        <is>
          <t>64-65</t>
        </is>
      </c>
      <c r="H20" s="25" t="inlineStr">
        <is>
          <t>ff.333-334</t>
        </is>
      </c>
      <c r="I20" s="25" t="inlineStr">
        <is>
          <t>Folio stamp</t>
        </is>
      </c>
      <c r="J20" s="25" t="n"/>
      <c r="K20" s="25" t="inlineStr">
        <is>
          <t>Digitised (TNA PDF)</t>
        </is>
      </c>
      <c r="L20" s="25" t="inlineStr">
        <is>
          <t>Key quote only</t>
        </is>
      </c>
      <c r="M20" s="25" t="inlineStr">
        <is>
          <t>"...Inclosing to you an account of the late proceedings here, for our internal Defence; not only against our foreign, but, our more to be dreaded, domestic Enemies."</t>
        </is>
      </c>
      <c r="N20" s="25" t="inlineStr">
        <is>
          <t>31 May 1794</t>
        </is>
      </c>
      <c r="O20" s="27" t="inlineStr">
        <is>
          <t>1794-05-31</t>
        </is>
      </c>
      <c r="P20" s="25">
        <f>IF(O20="","",VALUE(LEFT(O20,4)))</f>
        <v/>
      </c>
      <c r="Q20" s="25" t="inlineStr">
        <is>
          <t>Doncaster</t>
        </is>
      </c>
      <c r="R20" s="25" t="inlineStr">
        <is>
          <t>Doncaster</t>
        </is>
      </c>
      <c r="S20" s="25" t="inlineStr">
        <is>
          <t>Yorkshire (W. Riding)</t>
        </is>
      </c>
      <c r="T20" s="25" t="inlineStr">
        <is>
          <t>Edward Miller</t>
        </is>
      </c>
      <c r="U20" s="25" t="inlineStr">
        <is>
          <t>Private individual</t>
        </is>
      </c>
      <c r="V20" s="25" t="inlineStr">
        <is>
          <t>Unnamed official (knew his brother &amp; nieces)</t>
        </is>
      </c>
      <c r="W20" s="25">
        <f>IF(O20="","",INDEX(Lookups!$B$2:$B$20,MATCH(O20,Lookups!$A$2:$A$20,1)))</f>
        <v/>
      </c>
      <c r="X20" s="25" t="inlineStr">
        <is>
          <t>Radical / political</t>
        </is>
      </c>
      <c r="Y20" s="25" t="n"/>
      <c r="Z20" s="25" t="n"/>
      <c r="AA20" s="25" t="n"/>
      <c r="AB20" s="25" t="n"/>
      <c r="AC20" s="25" t="n"/>
      <c r="AD20" s="25" t="n"/>
      <c r="AE20" s="25" t="n"/>
      <c r="AF20" s="25" t="n"/>
      <c r="AG20" s="25" t="n"/>
      <c r="AH20" s="25" t="n"/>
      <c r="AI20" s="25" t="inlineStr">
        <is>
          <t>KEY QUOTE. Enclosure (account of Doncaster meeting for internal defence) not in this file - check whether a corps or subscription was actually formed; event type provisional. Writer also says his son at Sheffield was "equally alert".</t>
        </is>
      </c>
    </row>
    <row r="21" ht="15" customHeight="1" s="20">
      <c r="A21" s="25" t="inlineStr">
        <is>
          <t>HO42-0020</t>
        </is>
      </c>
      <c r="B21" s="25" t="inlineStr">
        <is>
          <t>E16</t>
        </is>
      </c>
      <c r="C21" s="26" t="inlineStr">
        <is>
          <t>Request for troops</t>
        </is>
      </c>
      <c r="D21" s="25" t="inlineStr">
        <is>
          <t>Y</t>
        </is>
      </c>
      <c r="E21" s="25" t="inlineStr">
        <is>
          <t>HO 42/33</t>
        </is>
      </c>
      <c r="F21" s="25" t="inlineStr">
        <is>
          <t>HO-42-33_05.pdf</t>
        </is>
      </c>
      <c r="G21" s="25" t="inlineStr">
        <is>
          <t>76-77</t>
        </is>
      </c>
      <c r="H21" s="25" t="inlineStr">
        <is>
          <t>ff.369-370</t>
        </is>
      </c>
      <c r="I21" s="25" t="inlineStr">
        <is>
          <t>Folio stamp</t>
        </is>
      </c>
      <c r="J21" s="25" t="n"/>
      <c r="K21" s="25" t="inlineStr">
        <is>
          <t>Digitised (TNA PDF)</t>
        </is>
      </c>
      <c r="L21" s="25" t="inlineStr">
        <is>
          <t>Key quote only</t>
        </is>
      </c>
      <c r="M21" s="25" t="inlineStr">
        <is>
          <t>"Having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is>
      </c>
      <c r="N21" s="25" t="inlineStr">
        <is>
          <t>4 Dec 1794</t>
        </is>
      </c>
      <c r="O21" s="27" t="inlineStr">
        <is>
          <t>1794-12-04</t>
        </is>
      </c>
      <c r="P21" s="25">
        <f>IF(O21="","",VALUE(LEFT(O21,4)))</f>
        <v/>
      </c>
      <c r="Q21" s="25" t="inlineStr">
        <is>
          <t>Shadwell Lodge near Thetford (re Kenninghall &amp; Harling)</t>
        </is>
      </c>
      <c r="R21" s="25" t="inlineStr">
        <is>
          <t>Kenninghall</t>
        </is>
      </c>
      <c r="S21" s="25" t="inlineStr">
        <is>
          <t>Norfolk</t>
        </is>
      </c>
      <c r="T21" s="25" t="inlineStr">
        <is>
          <t>Robert John Buxton</t>
        </is>
      </c>
      <c r="U21" s="25" t="inlineStr">
        <is>
          <t>MP / peer</t>
        </is>
      </c>
      <c r="V21" s="25" t="inlineStr">
        <is>
          <t>Duke of Portland ("My Lord ... your Grace")</t>
        </is>
      </c>
      <c r="W21" s="25">
        <f>IF(O21="","",INDEX(Lookups!$B$2:$B$21,MATCH(O21,Lookups!$A$2:$A$21,1)))</f>
        <v/>
      </c>
      <c r="X21" s="25" t="inlineStr">
        <is>
          <t>Food / provisions</t>
        </is>
      </c>
      <c r="Y21" s="25" t="inlineStr">
        <is>
          <t>Pre-emptive</t>
        </is>
      </c>
      <c r="Z21" s="25" t="inlineStr">
        <is>
          <t>Unclear</t>
        </is>
      </c>
      <c r="AA21" s="25" t="inlineStr">
        <is>
          <t>One troop of Horse, from Norwich, to Harling and Kenninghall</t>
        </is>
      </c>
      <c r="AB21" s="25" t="inlineStr">
        <is>
          <t>N</t>
        </is>
      </c>
      <c r="AC21" s="25" t="n"/>
      <c r="AD21" s="25" t="n"/>
      <c r="AE21" s="25" t="n"/>
      <c r="AF21" s="25" t="n"/>
      <c r="AG21" s="25" t="n"/>
      <c r="AH21" s="25" t="n"/>
      <c r="AI21" s="25" t="inlineStr">
        <is>
          <t>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is>
      </c>
    </row>
    <row r="22" ht="15" customHeight="1" s="20">
      <c r="A22" s="25" t="inlineStr">
        <is>
          <t>HO42-0021</t>
        </is>
      </c>
      <c r="B22" s="25" t="inlineStr">
        <is>
          <t>E17</t>
        </is>
      </c>
      <c r="C22" s="26" t="inlineStr">
        <is>
          <t>Request for troops</t>
        </is>
      </c>
      <c r="D22" s="25" t="inlineStr">
        <is>
          <t>Y</t>
        </is>
      </c>
      <c r="E22" s="25" t="inlineStr">
        <is>
          <t>HO 42/19</t>
        </is>
      </c>
      <c r="F22" s="25" t="inlineStr">
        <is>
          <t>HO-42-19_02.pdf</t>
        </is>
      </c>
      <c r="G22" s="25" t="inlineStr">
        <is>
          <t>31-32, 34</t>
        </is>
      </c>
      <c r="H22" s="25" t="inlineStr">
        <is>
          <t>ff.110-111, 112-113</t>
        </is>
      </c>
      <c r="I22" s="25" t="inlineStr">
        <is>
          <t>Folio stamp</t>
        </is>
      </c>
      <c r="J22" s="25" t="n"/>
      <c r="K22" s="25" t="inlineStr">
        <is>
          <t>Digitised (TNA PDF)</t>
        </is>
      </c>
      <c r="L22" s="25" t="inlineStr">
        <is>
          <t>Key quote only</t>
        </is>
      </c>
      <c r="M22" s="25" t="inlineStr">
        <is>
          <t>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is>
      </c>
      <c r="N22" s="25" t="inlineStr">
        <is>
          <t>15-16 Jul 1791</t>
        </is>
      </c>
      <c r="O22" s="27" t="inlineStr">
        <is>
          <t>1791-07-15</t>
        </is>
      </c>
      <c r="P22" s="25">
        <f>IF(O22="","",VALUE(LEFT(O22,4)))</f>
        <v/>
      </c>
      <c r="Q22" s="25" t="inlineStr">
        <is>
          <t>Birmingham</t>
        </is>
      </c>
      <c r="R22" s="25" t="inlineStr">
        <is>
          <t>Birmingham</t>
        </is>
      </c>
      <c r="S22" s="25" t="inlineStr">
        <is>
          <t>Warwickshire</t>
        </is>
      </c>
      <c r="T22" s="25" t="inlineStr">
        <is>
          <t>Magistrates J. Carles &amp; R. Spencer (letter of 15 Jul, original not seen); John Brooke, Under-Sheriff of Warwickshire (16 Jul)</t>
        </is>
      </c>
      <c r="U22" s="25" t="inlineStr">
        <is>
          <t>Magistrate / JP</t>
        </is>
      </c>
      <c r="V22" s="25" t="inlineStr">
        <is>
          <t>Henry Dundas, Home Secretary</t>
        </is>
      </c>
      <c r="W22" s="25">
        <f>IF(O22="","",INDEX(Lookups!$B$2:$B$22,MATCH(O22,Lookups!$A$2:$A$22,1)))</f>
        <v/>
      </c>
      <c r="X22" s="25" t="inlineStr">
        <is>
          <t>Radical / political</t>
        </is>
      </c>
      <c r="Y22" s="25" t="inlineStr">
        <is>
          <t>Actual</t>
        </is>
      </c>
      <c r="Z22" s="25" t="inlineStr">
        <is>
          <t>Y</t>
        </is>
      </c>
      <c r="AA22" s="25" t="inlineStr">
        <is>
          <t>"a considerable Military Force"</t>
        </is>
      </c>
      <c r="AB22" s="25" t="inlineStr">
        <is>
          <t>N</t>
        </is>
      </c>
      <c r="AC22" s="25" t="inlineStr">
        <is>
          <t>Dundas, 16 Jul: 3 troops of 15th Dragoons from Nottingham sent "instantly"; 17 Jul: 3 troops 11th Dragoons from Uxbridge also ordered (f.119), all available force to be collected (f.115 to Lt-Col Churchill).</t>
        </is>
      </c>
      <c r="AD22" s="25" t="inlineStr">
        <is>
          <t>Approved</t>
        </is>
      </c>
      <c r="AE22" s="25" t="inlineStr">
        <is>
          <t>1791-07-16</t>
        </is>
      </c>
      <c r="AF22" s="25" t="inlineStr">
        <is>
          <t>Whitehall</t>
        </is>
      </c>
      <c r="AG22" s="25" t="inlineStr">
        <is>
          <t>Henry Dundas</t>
        </is>
      </c>
      <c r="AH22" s="25" t="inlineStr">
        <is>
          <t>Other</t>
        </is>
      </c>
      <c r="AI22" s="25" t="inlineStr">
        <is>
          <t>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is>
      </c>
    </row>
    <row r="23" ht="15" customHeight="1" s="20">
      <c r="A23" s="25" t="inlineStr">
        <is>
          <t>HO42-0022</t>
        </is>
      </c>
      <c r="B23" s="25" t="inlineStr">
        <is>
          <t>E17</t>
        </is>
      </c>
      <c r="C23" s="26" t="inlineStr">
        <is>
          <t>Request for troops</t>
        </is>
      </c>
      <c r="D23" s="25" t="inlineStr">
        <is>
          <t>N</t>
        </is>
      </c>
      <c r="E23" s="25" t="inlineStr">
        <is>
          <t>HO 42/19</t>
        </is>
      </c>
      <c r="F23" s="25" t="inlineStr">
        <is>
          <t>HO-42-19_02.pdf</t>
        </is>
      </c>
      <c r="G23" s="25" t="inlineStr">
        <is>
          <t>60</t>
        </is>
      </c>
      <c r="H23" s="25" t="inlineStr">
        <is>
          <t>f.136</t>
        </is>
      </c>
      <c r="I23" s="25" t="inlineStr">
        <is>
          <t>Folio stamp</t>
        </is>
      </c>
      <c r="J23" s="25" t="n"/>
      <c r="K23" s="25" t="inlineStr">
        <is>
          <t>Digitised (TNA PDF)</t>
        </is>
      </c>
      <c r="L23" s="25" t="inlineStr">
        <is>
          <t>Key quote only</t>
        </is>
      </c>
      <c r="M23" s="25" t="inlineStr">
        <is>
          <t>"Since sealing the inclosed we think necessary earnestly to intreat a further aid without delay fearing the three Troops may suffer if they come... and we are obliged to require their immediate entrance tho' yet hope they may not be wanted. 20 minutes past 2 o'Clock Sunday Afternoon."</t>
        </is>
      </c>
      <c r="N23" s="25" t="inlineStr">
        <is>
          <t>Sunday [17 Jul 1791]</t>
        </is>
      </c>
      <c r="O23" s="27" t="inlineStr">
        <is>
          <t>1791-07-17</t>
        </is>
      </c>
      <c r="P23" s="25">
        <f>IF(O23="","",VALUE(LEFT(O23,4)))</f>
        <v/>
      </c>
      <c r="Q23" s="25" t="inlineStr">
        <is>
          <t>Birmingham</t>
        </is>
      </c>
      <c r="R23" s="25" t="inlineStr">
        <is>
          <t>Birmingham</t>
        </is>
      </c>
      <c r="S23" s="25" t="inlineStr">
        <is>
          <t>Warwickshire</t>
        </is>
      </c>
      <c r="T23" s="25" t="inlineStr">
        <is>
          <t>Birmingham magistrates (unsigned postscript)</t>
        </is>
      </c>
      <c r="U23" s="25" t="inlineStr">
        <is>
          <t>Magistrate / JP</t>
        </is>
      </c>
      <c r="V23" s="25" t="inlineStr">
        <is>
          <t>Home Office (inferred)</t>
        </is>
      </c>
      <c r="W23" s="25">
        <f>IF(O23="","",INDEX(Lookups!$B$2:$B$23,MATCH(O23,Lookups!$A$2:$A$23,1)))</f>
        <v/>
      </c>
      <c r="X23" s="25" t="inlineStr">
        <is>
          <t>Radical / political</t>
        </is>
      </c>
      <c r="Y23" s="25" t="inlineStr">
        <is>
          <t>Actual</t>
        </is>
      </c>
      <c r="Z23" s="25" t="inlineStr">
        <is>
          <t>Y</t>
        </is>
      </c>
      <c r="AA23" s="25" t="inlineStr">
        <is>
          <t>Further aid beyond the three troops</t>
        </is>
      </c>
      <c r="AB23" s="25" t="inlineStr">
        <is>
          <t>N</t>
        </is>
      </c>
      <c r="AC23" s="25" t="n"/>
      <c r="AD23" s="25" t="n"/>
      <c r="AE23" s="25" t="n"/>
      <c r="AF23" s="25" t="n"/>
      <c r="AG23" s="25" t="n"/>
      <c r="AH23" s="25" t="n"/>
      <c r="AI23" s="25" t="inlineStr">
        <is>
          <t>Follow-up request in same episode. CHECK: writers and addressee inferred (enclosure separated).</t>
        </is>
      </c>
    </row>
    <row r="24" ht="15" customHeight="1" s="20">
      <c r="A24" s="25" t="inlineStr">
        <is>
          <t>HO42-0023</t>
        </is>
      </c>
      <c r="B24" s="25" t="inlineStr">
        <is>
          <t>E18</t>
        </is>
      </c>
      <c r="C24" s="26" t="inlineStr">
        <is>
          <t>Request for troops</t>
        </is>
      </c>
      <c r="D24" s="25" t="inlineStr">
        <is>
          <t>N</t>
        </is>
      </c>
      <c r="E24" s="25" t="inlineStr">
        <is>
          <t>HO 42/19</t>
        </is>
      </c>
      <c r="F24" s="25" t="inlineStr">
        <is>
          <t>HO-42-19_02.pdf</t>
        </is>
      </c>
      <c r="G24" s="25" t="inlineStr">
        <is>
          <t>53, 80-81, 83-84, 86</t>
        </is>
      </c>
      <c r="H24" s="25" t="inlineStr">
        <is>
          <t>ff.131, 154-155, 157-158, 165</t>
        </is>
      </c>
      <c r="I24" s="25" t="inlineStr">
        <is>
          <t>Folio stamp</t>
        </is>
      </c>
      <c r="J24" s="25" t="n"/>
      <c r="K24" s="25" t="inlineStr">
        <is>
          <t>Digitised (TNA PDF)</t>
        </is>
      </c>
      <c r="L24" s="25" t="inlineStr">
        <is>
          <t>Key quote only</t>
        </is>
      </c>
      <c r="M24" s="25" t="inlineStr">
        <is>
          <t>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is>
      </c>
      <c r="N24" s="25" t="inlineStr">
        <is>
          <t>17-18 Jul 1791</t>
        </is>
      </c>
      <c r="O24" s="27" t="inlineStr">
        <is>
          <t>1791-07-17</t>
        </is>
      </c>
      <c r="P24" s="25">
        <f>IF(O24="","",VALUE(LEFT(O24,4)))</f>
        <v/>
      </c>
      <c r="Q24" s="25" t="inlineStr">
        <is>
          <t>Coventry</t>
        </is>
      </c>
      <c r="R24" s="25" t="inlineStr">
        <is>
          <t>Coventry</t>
        </is>
      </c>
      <c r="S24" s="25" t="inlineStr">
        <is>
          <t>Warwickshire</t>
        </is>
      </c>
      <c r="T24" s="25" t="inlineStr">
        <is>
          <t>Mayor &amp; Justices of Coventry (via Town Clerk); fwd by Eardley &amp; John Wilmot</t>
        </is>
      </c>
      <c r="U24" s="25" t="inlineStr">
        <is>
          <t>Mayor / corporation</t>
        </is>
      </c>
      <c r="V24" s="25" t="inlineStr">
        <is>
          <t>Henry Dundas (via the city's MPs)</t>
        </is>
      </c>
      <c r="W24" s="25">
        <f>IF(O24="","",INDEX(Lookups!$B$2:$B$24,MATCH(O24,Lookups!$A$2:$A$24,1)))</f>
        <v/>
      </c>
      <c r="X24" s="25" t="inlineStr">
        <is>
          <t>Radical / political</t>
        </is>
      </c>
      <c r="Y24" s="25" t="inlineStr">
        <is>
          <t>Pre-emptive</t>
        </is>
      </c>
      <c r="Z24" s="25" t="inlineStr">
        <is>
          <t>Unclear</t>
        </is>
      </c>
      <c r="AA24" s="25" t="inlineStr">
        <is>
          <t>A regiment quartered in the city</t>
        </is>
      </c>
      <c r="AB24" s="25" t="inlineStr">
        <is>
          <t>N</t>
        </is>
      </c>
      <c r="AC24" s="25" t="inlineStr">
        <is>
          <t>Nepean to Wilmot, 18 Jul (f.155): troops on their march towards Birmingham "will stop at Coventry to assist the Civil Magistrates in quelling any Disturbances that may arise."</t>
        </is>
      </c>
      <c r="AD24" s="25" t="inlineStr">
        <is>
          <t>Approved</t>
        </is>
      </c>
      <c r="AE24" s="25" t="inlineStr">
        <is>
          <t>1791-07-18</t>
        </is>
      </c>
      <c r="AF24" s="25" t="inlineStr">
        <is>
          <t>Whitehall</t>
        </is>
      </c>
      <c r="AG24" s="25" t="inlineStr">
        <is>
          <t>Evan Nepean</t>
        </is>
      </c>
      <c r="AH24" s="25" t="inlineStr">
        <is>
          <t>Other</t>
        </is>
      </c>
      <c r="AI24" s="25" t="inlineStr">
        <is>
          <t>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is>
      </c>
    </row>
    <row r="25" ht="15" customHeight="1" s="20">
      <c r="A25" s="25" t="inlineStr">
        <is>
          <t>HO42-0024</t>
        </is>
      </c>
      <c r="B25" s="25" t="inlineStr">
        <is>
          <t>E19</t>
        </is>
      </c>
      <c r="C25" s="26" t="inlineStr">
        <is>
          <t>Request for troops</t>
        </is>
      </c>
      <c r="D25" s="25" t="inlineStr">
        <is>
          <t>N</t>
        </is>
      </c>
      <c r="E25" s="25" t="inlineStr">
        <is>
          <t>HO 42/19</t>
        </is>
      </c>
      <c r="F25" s="25" t="inlineStr">
        <is>
          <t>HO-42-19_03.pdf</t>
        </is>
      </c>
      <c r="G25" s="25" t="inlineStr">
        <is>
          <t>17-18</t>
        </is>
      </c>
      <c r="H25" s="25" t="inlineStr">
        <is>
          <t>ff.178-179</t>
        </is>
      </c>
      <c r="I25" s="25" t="inlineStr">
        <is>
          <t>Folio stamp</t>
        </is>
      </c>
      <c r="J25" s="25" t="n"/>
      <c r="K25" s="25" t="inlineStr">
        <is>
          <t>Digitised (TNA PDF)</t>
        </is>
      </c>
      <c r="L25" s="25" t="inlineStr">
        <is>
          <t>Key quote only</t>
        </is>
      </c>
      <c r="M25" s="25" t="inlineStr">
        <is>
          <t>"I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is>
      </c>
      <c r="N25" s="25" t="inlineStr">
        <is>
          <t>19 Jul 1791</t>
        </is>
      </c>
      <c r="O25" s="27" t="inlineStr">
        <is>
          <t>1791-07-19</t>
        </is>
      </c>
      <c r="P25" s="25">
        <f>IF(O25="","",VALUE(LEFT(O25,4)))</f>
        <v/>
      </c>
      <c r="Q25" s="25" t="inlineStr">
        <is>
          <t>Wolverhampton</t>
        </is>
      </c>
      <c r="R25" s="25" t="inlineStr">
        <is>
          <t>Wolverhampton</t>
        </is>
      </c>
      <c r="S25" s="25" t="inlineStr">
        <is>
          <t>Staffordshire</t>
        </is>
      </c>
      <c r="T25" s="25" t="inlineStr">
        <is>
          <t>Wm Beto Taylor</t>
        </is>
      </c>
      <c r="U25" s="25" t="inlineStr">
        <is>
          <t>Private individual</t>
        </is>
      </c>
      <c r="V25" s="25" t="inlineStr">
        <is>
          <t>Home Office (inferred)</t>
        </is>
      </c>
      <c r="W25" s="25">
        <f>IF(O25="","",INDEX(Lookups!$B$2:$B$25,MATCH(O25,Lookups!$A$2:$A$25,1)))</f>
        <v/>
      </c>
      <c r="X25" s="25" t="inlineStr">
        <is>
          <t>Radical / political</t>
        </is>
      </c>
      <c r="Y25" s="25" t="inlineStr">
        <is>
          <t>Pre-emptive</t>
        </is>
      </c>
      <c r="Z25" s="25" t="inlineStr">
        <is>
          <t>N</t>
        </is>
      </c>
      <c r="AA25" s="25" t="inlineStr">
        <is>
          <t>A small force; one troop from Birmingham</t>
        </is>
      </c>
      <c r="AB25" s="25" t="inlineStr">
        <is>
          <t>N</t>
        </is>
      </c>
      <c r="AC25" s="25" t="n"/>
      <c r="AD25" s="25" t="n"/>
      <c r="AE25" s="25" t="n"/>
      <c r="AF25" s="25" t="n"/>
      <c r="AG25" s="25" t="n"/>
      <c r="AH25" s="25" t="n"/>
      <c r="AI25" s="25" t="inlineStr">
        <is>
          <t>Priestley-riot spillover. CHECK: writer's role (signs for 'principal Inhabitants'; may be a magistrate). Later (19_03 ff.222-226): troop of dragoons stationed at Wolverhampton; Taylor reports magistrates satisfied.</t>
        </is>
      </c>
    </row>
    <row r="26" ht="15" customHeight="1" s="20">
      <c r="A26" s="25" t="inlineStr">
        <is>
          <t>HO42-0025</t>
        </is>
      </c>
      <c r="B26" s="25" t="inlineStr">
        <is>
          <t>E20</t>
        </is>
      </c>
      <c r="C26" s="26" t="inlineStr">
        <is>
          <t>Request for troops</t>
        </is>
      </c>
      <c r="D26" s="25" t="inlineStr">
        <is>
          <t>N</t>
        </is>
      </c>
      <c r="E26" s="25" t="inlineStr">
        <is>
          <t>HO 42/19</t>
        </is>
      </c>
      <c r="F26" s="25" t="inlineStr">
        <is>
          <t>HO-42-19_03.pdf</t>
        </is>
      </c>
      <c r="G26" s="25" t="inlineStr">
        <is>
          <t>43-44, 82-83</t>
        </is>
      </c>
      <c r="H26" s="25" t="inlineStr">
        <is>
          <t>ff.203-204, 238-239</t>
        </is>
      </c>
      <c r="I26" s="25" t="inlineStr">
        <is>
          <t>Folio stamp</t>
        </is>
      </c>
      <c r="J26" s="25" t="n"/>
      <c r="K26" s="25" t="inlineStr">
        <is>
          <t>Digitised (TNA PDF)</t>
        </is>
      </c>
      <c r="L26" s="25" t="inlineStr">
        <is>
          <t>Key quote only</t>
        </is>
      </c>
      <c r="M26" s="25" t="inlineStr">
        <is>
          <t>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is>
      </c>
      <c r="N26" s="25" t="inlineStr">
        <is>
          <t>21-22 Jul 1791</t>
        </is>
      </c>
      <c r="O26" s="27" t="inlineStr">
        <is>
          <t>1791-07-21</t>
        </is>
      </c>
      <c r="P26" s="25">
        <f>IF(O26="","",VALUE(LEFT(O26,4)))</f>
        <v/>
      </c>
      <c r="Q26" s="25" t="inlineStr">
        <is>
          <t>Bristol</t>
        </is>
      </c>
      <c r="R26" s="25" t="inlineStr">
        <is>
          <t>Bristol</t>
        </is>
      </c>
      <c r="S26" s="25" t="inlineStr">
        <is>
          <t>Gloucestershire / Bristol</t>
        </is>
      </c>
      <c r="T26" s="25" t="inlineStr">
        <is>
          <t>John Harris, Mayor of Bristol (with Aldermen)</t>
        </is>
      </c>
      <c r="U26" s="25" t="inlineStr">
        <is>
          <t>Mayor / corporation</t>
        </is>
      </c>
      <c r="V26" s="25" t="inlineStr">
        <is>
          <t>Henry Dundas</t>
        </is>
      </c>
      <c r="W26" s="25">
        <f>IF(O26="","",INDEX(Lookups!$B$2:$B$26,MATCH(O26,Lookups!$A$2:$A$26,1)))</f>
        <v/>
      </c>
      <c r="X26" s="25" t="inlineStr">
        <is>
          <t>Radical / political</t>
        </is>
      </c>
      <c r="Y26" s="25" t="inlineStr">
        <is>
          <t>Pre-emptive</t>
        </is>
      </c>
      <c r="Z26" s="25" t="inlineStr">
        <is>
          <t>N</t>
        </is>
      </c>
      <c r="AA26" s="25" t="inlineStr">
        <is>
          <t>A competent number of troops within a day's march</t>
        </is>
      </c>
      <c r="AB26" s="25" t="inlineStr">
        <is>
          <t>N</t>
        </is>
      </c>
      <c r="AC26" s="25" t="inlineStr">
        <is>
          <t>Govt (Dundas absent) ordered 3rd Regt of Infantry from Reading to Marlborough and Devizes, to proceed to Bristol if the Mayor thinks necessary (Harris to [Home Office], 25 Jul, HO 42/19_04 f.268). Magistrates chose to rely on constables "as no actual tumult has yet taken place".</t>
        </is>
      </c>
      <c r="AD26" s="25" t="inlineStr">
        <is>
          <t>Approved</t>
        </is>
      </c>
      <c r="AE26" s="25" t="inlineStr">
        <is>
          <t>1791-07-23</t>
        </is>
      </c>
      <c r="AF26" s="25" t="n"/>
      <c r="AG26" s="25" t="n"/>
      <c r="AH26" s="25" t="inlineStr">
        <is>
          <t>Other</t>
        </is>
      </c>
      <c r="AI26" s="25" t="inlineStr">
        <is>
          <t>Follow-up 22 Jul (f.238): second anonymous letter, all quiet. Bristol was a county corporate.</t>
        </is>
      </c>
    </row>
    <row r="27" ht="15" customHeight="1" s="20">
      <c r="A27" s="25" t="inlineStr">
        <is>
          <t>HO42-0026</t>
        </is>
      </c>
      <c r="B27" s="25" t="inlineStr">
        <is>
          <t>E21</t>
        </is>
      </c>
      <c r="C27" s="26" t="inlineStr">
        <is>
          <t>Request for troops</t>
        </is>
      </c>
      <c r="D27" s="25" t="inlineStr">
        <is>
          <t>N</t>
        </is>
      </c>
      <c r="E27" s="25" t="inlineStr">
        <is>
          <t>HO 42/19</t>
        </is>
      </c>
      <c r="F27" s="25" t="inlineStr">
        <is>
          <t>HO-42-19_03.pdf</t>
        </is>
      </c>
      <c r="G27" s="25" t="inlineStr">
        <is>
          <t>90</t>
        </is>
      </c>
      <c r="H27" s="25" t="inlineStr">
        <is>
          <t>f.246</t>
        </is>
      </c>
      <c r="I27" s="25" t="inlineStr">
        <is>
          <t>Folio stamp</t>
        </is>
      </c>
      <c r="J27" s="25" t="n"/>
      <c r="K27" s="25" t="inlineStr">
        <is>
          <t>Digitised (TNA PDF)</t>
        </is>
      </c>
      <c r="L27" s="25" t="inlineStr">
        <is>
          <t>Key quote only</t>
        </is>
      </c>
      <c r="M27" s="25" t="inlineStr">
        <is>
          <t>"A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is>
      </c>
      <c r="N27" s="25" t="inlineStr">
        <is>
          <t>23 Jul 1791</t>
        </is>
      </c>
      <c r="O27" s="27" t="inlineStr">
        <is>
          <t>1791-07-23</t>
        </is>
      </c>
      <c r="P27" s="25">
        <f>IF(O27="","",VALUE(LEFT(O27,4)))</f>
        <v/>
      </c>
      <c r="Q27" s="25" t="inlineStr">
        <is>
          <t>Leicester</t>
        </is>
      </c>
      <c r="R27" s="25" t="inlineStr">
        <is>
          <t>Leicester</t>
        </is>
      </c>
      <c r="S27" s="25" t="inlineStr">
        <is>
          <t>Leicestershire</t>
        </is>
      </c>
      <c r="T27" s="25" t="inlineStr">
        <is>
          <t>Jno Darnes (Mayor), Henry Watchorn, W. Clark - magistrates</t>
        </is>
      </c>
      <c r="U27" s="25" t="inlineStr">
        <is>
          <t>Mayor / corporation</t>
        </is>
      </c>
      <c r="V27" s="25" t="inlineStr">
        <is>
          <t>Secretary at War (copy sent to Home Office)</t>
        </is>
      </c>
      <c r="W27" s="25">
        <f>IF(O27="","",INDEX(Lookups!$B$2:$B$27,MATCH(O27,Lookups!$A$2:$A$27,1)))</f>
        <v/>
      </c>
      <c r="X27" s="25" t="inlineStr">
        <is>
          <t>Radical / political</t>
        </is>
      </c>
      <c r="Y27" s="25" t="inlineStr">
        <is>
          <t>Pre-emptive</t>
        </is>
      </c>
      <c r="Z27" s="25" t="inlineStr">
        <is>
          <t>Unclear</t>
        </is>
      </c>
      <c r="AA27" s="25" t="inlineStr">
        <is>
          <t>Three troops of horse</t>
        </is>
      </c>
      <c r="AB27" s="25" t="inlineStr">
        <is>
          <t>N</t>
        </is>
      </c>
      <c r="AC27" s="25" t="n"/>
      <c r="AD27" s="25" t="n"/>
      <c r="AE27" s="25" t="n"/>
      <c r="AF27" s="25" t="n"/>
      <c r="AG27" s="25" t="n"/>
      <c r="AH27" s="25" t="n"/>
      <c r="AI27" s="25" t="inlineStr">
        <is>
          <t>ROUTE: request addressed to the Secretary at War, not the Home Secretary; copy filed in HO 42. Docket 22 Jul (letter dated 23 Jul - CHECK). Mayor's name read as 'Darnes' - CHECK.</t>
        </is>
      </c>
    </row>
    <row r="28" ht="15" customHeight="1" s="20">
      <c r="A28" s="25" t="inlineStr">
        <is>
          <t>HO42-0027</t>
        </is>
      </c>
      <c r="B28" s="25" t="inlineStr">
        <is>
          <t>E22</t>
        </is>
      </c>
      <c r="C28" s="26" t="inlineStr">
        <is>
          <t>Request for troops</t>
        </is>
      </c>
      <c r="D28" s="25" t="inlineStr">
        <is>
          <t>Y</t>
        </is>
      </c>
      <c r="E28" s="25" t="inlineStr">
        <is>
          <t>HO 42/19</t>
        </is>
      </c>
      <c r="F28" s="25" t="inlineStr">
        <is>
          <t>HO-42-19_04.pdf</t>
        </is>
      </c>
      <c r="G28" s="25" t="inlineStr">
        <is>
          <t>9-10, 16, 48-54</t>
        </is>
      </c>
      <c r="H28" s="25" t="inlineStr">
        <is>
          <t>ff.256-257, 262, 294-300</t>
        </is>
      </c>
      <c r="I28" s="25" t="inlineStr">
        <is>
          <t>Folio stamp</t>
        </is>
      </c>
      <c r="J28" s="25" t="n"/>
      <c r="K28" s="25" t="inlineStr">
        <is>
          <t>Digitised (TNA PDF)</t>
        </is>
      </c>
      <c r="L28" s="25" t="inlineStr">
        <is>
          <t>Key quote only</t>
        </is>
      </c>
      <c r="M28" s="25" t="inlineStr">
        <is>
          <t>"considerable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is>
      </c>
      <c r="N28" s="25" t="inlineStr">
        <is>
          <t>23 Jul 1791</t>
        </is>
      </c>
      <c r="O28" s="27" t="inlineStr">
        <is>
          <t>1791-07-23</t>
        </is>
      </c>
      <c r="P28" s="25">
        <f>IF(O28="","",VALUE(LEFT(O28,4)))</f>
        <v/>
      </c>
      <c r="Q28" s="25" t="inlineStr">
        <is>
          <t>Sheffield</t>
        </is>
      </c>
      <c r="R28" s="25" t="inlineStr">
        <is>
          <t>Sheffield</t>
        </is>
      </c>
      <c r="S28" s="25" t="inlineStr">
        <is>
          <t>Yorkshire (W. Riding)</t>
        </is>
      </c>
      <c r="T28" s="25" t="inlineStr">
        <is>
          <t>Jas Wilkinson JP; Thos Eyre, Collector for the Town; Joseph Ward, Master Cutler</t>
        </is>
      </c>
      <c r="U28" s="25" t="inlineStr">
        <is>
          <t>Magistrate / JP</t>
        </is>
      </c>
      <c r="V28" s="25" t="inlineStr">
        <is>
          <t>Henry Dundas</t>
        </is>
      </c>
      <c r="W28" s="25">
        <f>IF(O28="","",INDEX(Lookups!$B$2:$B$28,MATCH(O28,Lookups!$A$2:$A$28,1)))</f>
        <v/>
      </c>
      <c r="X28" s="25" t="inlineStr">
        <is>
          <t>Enclosure</t>
        </is>
      </c>
      <c r="Y28" s="25" t="inlineStr">
        <is>
          <t>Actual</t>
        </is>
      </c>
      <c r="Z28" s="25" t="inlineStr">
        <is>
          <t>Unclear</t>
        </is>
      </c>
      <c r="AA28" s="25" t="inlineStr">
        <is>
          <t>"speedy and effective Military Assistance"</t>
        </is>
      </c>
      <c r="AB28" s="25" t="inlineStr">
        <is>
          <t>N</t>
        </is>
      </c>
      <c r="AC28" s="25" t="inlineStr">
        <is>
          <t>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is>
      </c>
      <c r="AD28" s="25" t="inlineStr">
        <is>
          <t>Approved</t>
        </is>
      </c>
      <c r="AE28" s="25" t="inlineStr">
        <is>
          <t>1791-07-25</t>
        </is>
      </c>
      <c r="AF28" s="25" t="inlineStr">
        <is>
          <t>Whitehall</t>
        </is>
      </c>
      <c r="AG28" s="25" t="inlineStr">
        <is>
          <t>Home Office (Dundas absent)</t>
        </is>
      </c>
      <c r="AH28" s="25" t="inlineStr">
        <is>
          <t>Other</t>
        </is>
      </c>
      <c r="AI28" s="25" t="inlineStr">
        <is>
          <t>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is>
      </c>
    </row>
    <row r="29" ht="15" customHeight="1" s="20">
      <c r="A29" s="25" t="inlineStr">
        <is>
          <t>HO42-0028</t>
        </is>
      </c>
      <c r="B29" s="25" t="inlineStr">
        <is>
          <t>E22</t>
        </is>
      </c>
      <c r="C29" s="26" t="inlineStr">
        <is>
          <t>Request for troops</t>
        </is>
      </c>
      <c r="D29" s="25" t="inlineStr">
        <is>
          <t>Y</t>
        </is>
      </c>
      <c r="E29" s="25" t="inlineStr">
        <is>
          <t>HO 42/19</t>
        </is>
      </c>
      <c r="F29" s="25" t="inlineStr">
        <is>
          <t>HO-42-19_05.pdf</t>
        </is>
      </c>
      <c r="G29" s="25" t="inlineStr">
        <is>
          <t>47</t>
        </is>
      </c>
      <c r="H29" s="25" t="inlineStr">
        <is>
          <t>f.354</t>
        </is>
      </c>
      <c r="I29" s="25" t="inlineStr">
        <is>
          <t>Folio stamp</t>
        </is>
      </c>
      <c r="J29" s="25" t="n"/>
      <c r="K29" s="25" t="inlineStr">
        <is>
          <t>Digitised (TNA PDF)</t>
        </is>
      </c>
      <c r="L29" s="25" t="inlineStr">
        <is>
          <t>Key quote only</t>
        </is>
      </c>
      <c r="M29" s="25" t="inlineStr">
        <is>
          <t>"every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is>
      </c>
      <c r="N29" s="25" t="inlineStr">
        <is>
          <t>31 Jul 1791</t>
        </is>
      </c>
      <c r="O29" s="27" t="inlineStr">
        <is>
          <t>1791-07-31</t>
        </is>
      </c>
      <c r="P29" s="25">
        <f>IF(O29="","",VALUE(LEFT(O29,4)))</f>
        <v/>
      </c>
      <c r="Q29" s="25" t="inlineStr">
        <is>
          <t>Sheffield</t>
        </is>
      </c>
      <c r="R29" s="25" t="inlineStr">
        <is>
          <t>Sheffield</t>
        </is>
      </c>
      <c r="S29" s="25" t="inlineStr">
        <is>
          <t>Yorkshire (W. Riding)</t>
        </is>
      </c>
      <c r="T29" s="25" t="inlineStr">
        <is>
          <t>Thos Eyre, Town Collector</t>
        </is>
      </c>
      <c r="U29" s="25" t="inlineStr">
        <is>
          <t>Other official</t>
        </is>
      </c>
      <c r="V29" s="25" t="inlineStr">
        <is>
          <t>Henry Dundas</t>
        </is>
      </c>
      <c r="W29" s="25">
        <f>IF(O29="","",INDEX(Lookups!$B$2:$B$29,MATCH(O29,Lookups!$A$2:$A$29,1)))</f>
        <v/>
      </c>
      <c r="X29" s="25" t="inlineStr">
        <is>
          <t>Radical / political</t>
        </is>
      </c>
      <c r="Y29" s="25" t="inlineStr">
        <is>
          <t>Pre-emptive</t>
        </is>
      </c>
      <c r="Z29" s="25" t="inlineStr">
        <is>
          <t>N</t>
        </is>
      </c>
      <c r="AA29" s="25" t="inlineStr">
        <is>
          <t>Retain troops already sent</t>
        </is>
      </c>
      <c r="AB29" s="25" t="inlineStr">
        <is>
          <t>Y</t>
        </is>
      </c>
      <c r="AC29" s="25" t="n"/>
      <c r="AD29" s="25" t="n"/>
      <c r="AE29" s="25" t="n"/>
      <c r="AF29" s="25" t="n"/>
      <c r="AG29" s="25" t="n"/>
      <c r="AH29" s="25" t="n"/>
      <c r="AI29" s="25" t="inlineStr">
        <is>
          <t>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is>
      </c>
    </row>
    <row r="30" ht="15" customHeight="1" s="20">
      <c r="A30" s="25" t="inlineStr">
        <is>
          <t>HO42-0029</t>
        </is>
      </c>
      <c r="B30" s="25" t="inlineStr">
        <is>
          <t>E23</t>
        </is>
      </c>
      <c r="C30" s="28" t="inlineStr">
        <is>
          <t>Corps founded</t>
        </is>
      </c>
      <c r="D30" s="25" t="inlineStr">
        <is>
          <t>Y</t>
        </is>
      </c>
      <c r="E30" s="25" t="inlineStr">
        <is>
          <t>HO 42/19</t>
        </is>
      </c>
      <c r="F30" s="25" t="inlineStr">
        <is>
          <t>HO-42-19_08.pdf</t>
        </is>
      </c>
      <c r="G30" s="25" t="inlineStr">
        <is>
          <t>48-50</t>
        </is>
      </c>
      <c r="H30" s="25" t="inlineStr">
        <is>
          <t>ff.570-572</t>
        </is>
      </c>
      <c r="I30" s="25" t="inlineStr">
        <is>
          <t>Folio stamp</t>
        </is>
      </c>
      <c r="J30" s="25" t="n"/>
      <c r="K30" s="25" t="inlineStr">
        <is>
          <t>Digitised (TNA PDF)</t>
        </is>
      </c>
      <c r="L30" s="25" t="inlineStr">
        <is>
          <t>Key quote only</t>
        </is>
      </c>
      <c r="M30" s="25" t="inlineStr">
        <is>
          <t>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is>
      </c>
      <c r="N30" s="25" t="inlineStr">
        <is>
          <t>6 Sept 1791</t>
        </is>
      </c>
      <c r="O30" s="27" t="inlineStr">
        <is>
          <t>1791-09-06</t>
        </is>
      </c>
      <c r="P30" s="25">
        <f>IF(O30="","",VALUE(LEFT(O30,4)))</f>
        <v/>
      </c>
      <c r="Q30" s="25" t="inlineStr">
        <is>
          <t>Snitterfield</t>
        </is>
      </c>
      <c r="R30" s="25" t="inlineStr">
        <is>
          <t>Snitterfield</t>
        </is>
      </c>
      <c r="S30" s="25" t="inlineStr">
        <is>
          <t>Warwickshire</t>
        </is>
      </c>
      <c r="T30" s="25" t="inlineStr">
        <is>
          <t>Unidentified correspondent for subscribing gentlemen (list of subscribers f.572)</t>
        </is>
      </c>
      <c r="U30" s="25" t="inlineStr">
        <is>
          <t>Loyalist association</t>
        </is>
      </c>
      <c r="V30" s="25" t="inlineStr">
        <is>
          <t>Home Office (inferred)</t>
        </is>
      </c>
      <c r="W30" s="25">
        <f>IF(O30="","",INDEX(Lookups!$B$2:$B$30,MATCH(O30,Lookups!$A$2:$A$30,1)))</f>
        <v/>
      </c>
      <c r="X30" s="25" t="inlineStr">
        <is>
          <t>Preventive / general</t>
        </is>
      </c>
      <c r="Y30" s="25" t="n"/>
      <c r="Z30" s="25" t="n"/>
      <c r="AA30" s="25" t="n"/>
      <c r="AB30" s="25" t="n"/>
      <c r="AC30" s="25" t="n"/>
      <c r="AD30" s="25" t="n"/>
      <c r="AE30" s="25" t="n"/>
      <c r="AF30" s="25" t="n"/>
      <c r="AG30" s="25" t="n"/>
      <c r="AH30" s="25" t="n"/>
      <c r="AI30" s="25" t="inlineStr">
        <is>
          <t>Armed association of landowners, tenants and servants after the Priestley riots; also asks that the Lord Lieutenant get discretionary power to call military aid. CHECK: writer's name and place reading ('Snitterfield').</t>
        </is>
      </c>
    </row>
    <row r="31" ht="15" customHeight="1" s="20">
      <c r="A31" s="25" t="inlineStr">
        <is>
          <t>HO42-0030</t>
        </is>
      </c>
      <c r="B31" s="25" t="inlineStr">
        <is>
          <t>E24</t>
        </is>
      </c>
      <c r="C31" s="28" t="inlineStr">
        <is>
          <t>Corps founded</t>
        </is>
      </c>
      <c r="D31" s="25" t="inlineStr">
        <is>
          <t>N</t>
        </is>
      </c>
      <c r="E31" s="25" t="inlineStr">
        <is>
          <t>HO 42/19</t>
        </is>
      </c>
      <c r="F31" s="25" t="inlineStr">
        <is>
          <t>HO-42-19_08.pdf</t>
        </is>
      </c>
      <c r="G31" s="25" t="inlineStr">
        <is>
          <t>52-53</t>
        </is>
      </c>
      <c r="H31" s="25" t="inlineStr">
        <is>
          <t>ff.574-575</t>
        </is>
      </c>
      <c r="I31" s="25" t="inlineStr">
        <is>
          <t>Folio stamp</t>
        </is>
      </c>
      <c r="J31" s="25" t="n"/>
      <c r="K31" s="25" t="inlineStr">
        <is>
          <t>Digitised (TNA PDF)</t>
        </is>
      </c>
      <c r="L31" s="25" t="inlineStr">
        <is>
          <t>Key quote only</t>
        </is>
      </c>
      <c r="M31" s="25" t="inlineStr">
        <is>
          <t>"Lord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is>
      </c>
      <c r="N31" s="25" t="inlineStr">
        <is>
          <t>7 Sept 1791</t>
        </is>
      </c>
      <c r="O31" s="27" t="inlineStr">
        <is>
          <t>1791-09-07</t>
        </is>
      </c>
      <c r="P31" s="25">
        <f>IF(O31="","",VALUE(LEFT(O31,4)))</f>
        <v/>
      </c>
      <c r="Q31" s="25" t="inlineStr">
        <is>
          <t>Rainham</t>
        </is>
      </c>
      <c r="R31" s="25" t="inlineStr">
        <is>
          <t>Raynham</t>
        </is>
      </c>
      <c r="S31" s="25" t="inlineStr">
        <is>
          <t>Norfolk</t>
        </is>
      </c>
      <c r="T31" s="25" t="inlineStr">
        <is>
          <t>[Lord] Townshend</t>
        </is>
      </c>
      <c r="U31" s="25" t="inlineStr">
        <is>
          <t>MP / peer</t>
        </is>
      </c>
      <c r="V31" s="25" t="inlineStr">
        <is>
          <t>Henry Dundas (via Lord Orford)</t>
        </is>
      </c>
      <c r="W31" s="25">
        <f>IF(O31="","",INDEX(Lookups!$B$2:$B$31,MATCH(O31,Lookups!$A$2:$A$31,1)))</f>
        <v/>
      </c>
      <c r="X31" s="25" t="inlineStr">
        <is>
          <t>Preventive / general</t>
        </is>
      </c>
      <c r="Y31" s="25" t="n"/>
      <c r="Z31" s="25" t="n"/>
      <c r="AA31" s="25" t="n"/>
      <c r="AB31" s="25" t="n"/>
      <c r="AC31" s="25" t="inlineStr">
        <is>
          <t>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is>
      </c>
      <c r="AD31" s="25" t="inlineStr">
        <is>
          <t>Denied</t>
        </is>
      </c>
      <c r="AE31" s="25" t="inlineStr">
        <is>
          <t>1791-09</t>
        </is>
      </c>
      <c r="AF31" s="25" t="inlineStr">
        <is>
          <t>Whitehall</t>
        </is>
      </c>
      <c r="AG31" s="25" t="inlineStr">
        <is>
          <t>Henry Dundas</t>
        </is>
      </c>
      <c r="AH31" s="25" t="inlineStr">
        <is>
          <t>Other</t>
        </is>
      </c>
      <c r="AI31" s="25" t="inlineStr">
        <is>
          <t>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is>
      </c>
    </row>
    <row r="32" ht="15" customHeight="1" s="20">
      <c r="A32" s="25" t="inlineStr">
        <is>
          <t>HO42-0031</t>
        </is>
      </c>
      <c r="B32" s="25" t="inlineStr">
        <is>
          <t>E25</t>
        </is>
      </c>
      <c r="C32" s="26" t="inlineStr">
        <is>
          <t>Request for troops</t>
        </is>
      </c>
      <c r="D32" s="25" t="inlineStr">
        <is>
          <t>N</t>
        </is>
      </c>
      <c r="E32" s="25" t="inlineStr">
        <is>
          <t>HO 42/20</t>
        </is>
      </c>
      <c r="F32" s="25" t="inlineStr">
        <is>
          <t>HO-42-20_3.pdf</t>
        </is>
      </c>
      <c r="G32" s="25" t="inlineStr">
        <is>
          <t>33</t>
        </is>
      </c>
      <c r="H32" s="25" t="inlineStr">
        <is>
          <t>f.177</t>
        </is>
      </c>
      <c r="I32" s="25" t="inlineStr">
        <is>
          <t>Folio stamp</t>
        </is>
      </c>
      <c r="J32" s="25" t="n"/>
      <c r="K32" s="25" t="inlineStr">
        <is>
          <t>Digitised (TNA PDF)</t>
        </is>
      </c>
      <c r="L32" s="25" t="inlineStr">
        <is>
          <t>Key quote only</t>
        </is>
      </c>
      <c r="M32" s="25" t="inlineStr">
        <is>
          <t>"the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is>
      </c>
      <c r="N32" s="25" t="inlineStr">
        <is>
          <t>14 Apr 1792</t>
        </is>
      </c>
      <c r="O32" s="27" t="inlineStr">
        <is>
          <t>1792-04-14</t>
        </is>
      </c>
      <c r="P32" s="25">
        <f>IF(O32="","",VALUE(LEFT(O32,4)))</f>
        <v/>
      </c>
      <c r="Q32" s="25" t="inlineStr">
        <is>
          <t>Liverpool</t>
        </is>
      </c>
      <c r="R32" s="25" t="inlineStr">
        <is>
          <t>Liverpool</t>
        </is>
      </c>
      <c r="S32" s="25" t="inlineStr">
        <is>
          <t>Lancashire</t>
        </is>
      </c>
      <c r="T32" s="25" t="inlineStr">
        <is>
          <t>Henry Blundell, Mayor of Liverpool</t>
        </is>
      </c>
      <c r="U32" s="25" t="inlineStr">
        <is>
          <t>Mayor / corporation</t>
        </is>
      </c>
      <c r="V32" s="25" t="inlineStr">
        <is>
          <t>Henry Dundas</t>
        </is>
      </c>
      <c r="W32" s="25">
        <f>IF(O32="","",INDEX(Lookups!$B$2:$B$32,MATCH(O32,Lookups!$A$2:$A$32,1)))</f>
        <v/>
      </c>
      <c r="X32" s="25" t="inlineStr">
        <is>
          <t>Labour / industrial</t>
        </is>
      </c>
      <c r="Y32" s="25" t="inlineStr">
        <is>
          <t>Pre-emptive</t>
        </is>
      </c>
      <c r="Z32" s="25" t="inlineStr">
        <is>
          <t>N</t>
        </is>
      </c>
      <c r="AA32" s="25" t="inlineStr">
        <is>
          <t>Three troops of horse (Wigan, Warrington, ...)</t>
        </is>
      </c>
      <c r="AB32" s="25" t="inlineStr">
        <is>
          <t>Y</t>
        </is>
      </c>
      <c r="AC32" s="25" t="n"/>
      <c r="AD32" s="25" t="n"/>
      <c r="AE32" s="25" t="n"/>
      <c r="AF32" s="25" t="n"/>
      <c r="AG32" s="25" t="n"/>
      <c r="AH32" s="25" t="n"/>
      <c r="AI32" s="25" t="inlineStr">
        <is>
          <t>Threat tied to slave-trade abolition (carpenters/shipwrights dependent on the trade). Second page not read - CHECK third location.</t>
        </is>
      </c>
    </row>
    <row r="33" ht="15" customHeight="1" s="20">
      <c r="A33" s="25" t="inlineStr">
        <is>
          <t>HO42-0032</t>
        </is>
      </c>
      <c r="B33" s="25" t="inlineStr">
        <is>
          <t>E26</t>
        </is>
      </c>
      <c r="C33" s="26" t="inlineStr">
        <is>
          <t>Request for troops</t>
        </is>
      </c>
      <c r="D33" s="25" t="inlineStr">
        <is>
          <t>N</t>
        </is>
      </c>
      <c r="E33" s="25" t="inlineStr">
        <is>
          <t>HO 42/20</t>
        </is>
      </c>
      <c r="F33" s="25" t="inlineStr">
        <is>
          <t>HO-42-20_3.pdf</t>
        </is>
      </c>
      <c r="G33" s="25" t="inlineStr">
        <is>
          <t>35-38</t>
        </is>
      </c>
      <c r="H33" s="25" t="inlineStr">
        <is>
          <t>ff.179-182</t>
        </is>
      </c>
      <c r="I33" s="25" t="inlineStr">
        <is>
          <t>Folio stamp</t>
        </is>
      </c>
      <c r="J33" s="25" t="n"/>
      <c r="K33" s="25" t="inlineStr">
        <is>
          <t>Digitised (TNA PDF)</t>
        </is>
      </c>
      <c r="L33" s="25" t="inlineStr">
        <is>
          <t>Key quote only</t>
        </is>
      </c>
      <c r="M33" s="25" t="inlineStr">
        <is>
          <t>"the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is>
      </c>
      <c r="N33" s="25" t="inlineStr">
        <is>
          <t>27 May 1792</t>
        </is>
      </c>
      <c r="O33" s="27" t="inlineStr">
        <is>
          <t>1792-05-27</t>
        </is>
      </c>
      <c r="P33" s="25">
        <f>IF(O33="","",VALUE(LEFT(O33,4)))</f>
        <v/>
      </c>
      <c r="Q33" s="25" t="inlineStr">
        <is>
          <t>Liverpool</t>
        </is>
      </c>
      <c r="R33" s="25" t="inlineStr">
        <is>
          <t>Liverpool</t>
        </is>
      </c>
      <c r="S33" s="25" t="inlineStr">
        <is>
          <t>Lancashire</t>
        </is>
      </c>
      <c r="T33" s="25" t="inlineStr">
        <is>
          <t>Henry Blundell, Mayor of Liverpool</t>
        </is>
      </c>
      <c r="U33" s="25" t="inlineStr">
        <is>
          <t>Mayor / corporation</t>
        </is>
      </c>
      <c r="V33" s="25" t="inlineStr">
        <is>
          <t>Henry Dundas</t>
        </is>
      </c>
      <c r="W33" s="25">
        <f>IF(O33="","",INDEX(Lookups!$B$2:$B$33,MATCH(O33,Lookups!$A$2:$A$33,1)))</f>
        <v/>
      </c>
      <c r="X33" s="25" t="inlineStr">
        <is>
          <t>Labour / industrial</t>
        </is>
      </c>
      <c r="Y33" s="25" t="inlineStr">
        <is>
          <t>Contingent</t>
        </is>
      </c>
      <c r="Z33" s="25" t="inlineStr">
        <is>
          <t>N</t>
        </is>
      </c>
      <c r="AA33" s="25" t="inlineStr">
        <is>
          <t>One troop of Greys to Warrington, or standing orders to march 1-2 troops on call</t>
        </is>
      </c>
      <c r="AB33" s="25" t="inlineStr">
        <is>
          <t>Y</t>
        </is>
      </c>
      <c r="AC33" s="25" t="inlineStr">
        <is>
          <t>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is>
      </c>
      <c r="AD33" s="25" t="inlineStr">
        <is>
          <t>Approved</t>
        </is>
      </c>
      <c r="AE33" s="25" t="inlineStr">
        <is>
          <t>1792-05-30</t>
        </is>
      </c>
      <c r="AF33" s="25" t="n"/>
      <c r="AG33" s="25" t="n"/>
      <c r="AH33" s="25" t="inlineStr">
        <is>
          <t>Other</t>
        </is>
      </c>
      <c r="AI33" s="25" t="inlineStr">
        <is>
          <t>Wage strike (carpenters, coal flatmen). Key rationale: cavalry preferred to infantry to avoid bloodshed. Mayor also urges Govt to build Anglican churches in new manufacturing villages (Methodists 'inimical to our happy Constitution').</t>
        </is>
      </c>
    </row>
    <row r="34" ht="15" customHeight="1" s="20">
      <c r="A34" s="25" t="inlineStr">
        <is>
          <t>HO42-0033</t>
        </is>
      </c>
      <c r="B34" s="25" t="inlineStr">
        <is>
          <t>E27</t>
        </is>
      </c>
      <c r="C34" s="26" t="inlineStr">
        <is>
          <t>Request for troops</t>
        </is>
      </c>
      <c r="D34" s="25" t="inlineStr">
        <is>
          <t>N</t>
        </is>
      </c>
      <c r="E34" s="25" t="inlineStr">
        <is>
          <t>HO 42/20</t>
        </is>
      </c>
      <c r="F34" s="25" t="inlineStr">
        <is>
          <t>HO-42-20_3.pdf</t>
        </is>
      </c>
      <c r="G34" s="25" t="inlineStr">
        <is>
          <t>39-40</t>
        </is>
      </c>
      <c r="H34" s="25" t="inlineStr">
        <is>
          <t>ff.183-184</t>
        </is>
      </c>
      <c r="I34" s="25" t="inlineStr">
        <is>
          <t>Folio stamp</t>
        </is>
      </c>
      <c r="J34" s="25" t="n"/>
      <c r="K34" s="25" t="inlineStr">
        <is>
          <t>Digitised (TNA PDF)</t>
        </is>
      </c>
      <c r="L34" s="25" t="inlineStr">
        <is>
          <t>Key quote only</t>
        </is>
      </c>
      <c r="M34" s="25" t="inlineStr">
        <is>
          <t>"the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is>
      </c>
      <c r="N34" s="25" t="inlineStr">
        <is>
          <t>7 Oct 1792</t>
        </is>
      </c>
      <c r="O34" s="27" t="inlineStr">
        <is>
          <t>1792-10-03</t>
        </is>
      </c>
      <c r="P34" s="25">
        <f>IF(O34="","",VALUE(LEFT(O34,4)))</f>
        <v/>
      </c>
      <c r="Q34" s="25" t="inlineStr">
        <is>
          <t>Wigan collieries (letter from Liverpool)</t>
        </is>
      </c>
      <c r="R34" s="25" t="inlineStr">
        <is>
          <t>Wigan</t>
        </is>
      </c>
      <c r="S34" s="25" t="inlineStr">
        <is>
          <t>Lancashire</t>
        </is>
      </c>
      <c r="T34" s="25" t="inlineStr">
        <is>
          <t>Henry Blundell, Mayor of Liverpool (as coal proprietor)</t>
        </is>
      </c>
      <c r="U34" s="25" t="inlineStr">
        <is>
          <t>Mayor / corporation</t>
        </is>
      </c>
      <c r="V34" s="25" t="inlineStr">
        <is>
          <t>Henry Dundas</t>
        </is>
      </c>
      <c r="W34" s="25">
        <f>IF(O34="","",INDEX(Lookups!$B$2:$B$34,MATCH(O34,Lookups!$A$2:$A$34,1)))</f>
        <v/>
      </c>
      <c r="X34" s="25" t="inlineStr">
        <is>
          <t>Labour / industrial</t>
        </is>
      </c>
      <c r="Y34" s="25" t="inlineStr">
        <is>
          <t>Actual</t>
        </is>
      </c>
      <c r="Z34" s="25" t="inlineStr">
        <is>
          <t>Unclear</t>
        </is>
      </c>
      <c r="AA34" s="25" t="inlineStr">
        <is>
          <t>Express to Major Ramsay (Greys) - two troops; infantry under Capt Hall</t>
        </is>
      </c>
      <c r="AB34" s="25" t="inlineStr">
        <is>
          <t>Y</t>
        </is>
      </c>
      <c r="AC34" s="25" t="inlineStr">
        <is>
          <t>Two troops of Greys at Wigan within 8 hours of express; HO letter of 3 Oct acknowledged.</t>
        </is>
      </c>
      <c r="AD34" s="25" t="inlineStr">
        <is>
          <t>Approved</t>
        </is>
      </c>
      <c r="AE34" s="25" t="inlineStr">
        <is>
          <t>1792-10-03</t>
        </is>
      </c>
      <c r="AF34" s="25" t="n"/>
      <c r="AG34" s="25" t="n"/>
      <c r="AH34" s="25" t="inlineStr">
        <is>
          <t>Other</t>
        </is>
      </c>
      <c r="AI34" s="25" t="inlineStr">
        <is>
          <t>ROUTE: express sent DIRECTLY to the military commander (Major Ramsay), HO informed - 'local request, reported' route. Colliers' riot, engines stopped 2 days. Date (ISO) is approx. date of request (Wednesday before 7 Oct = 3 Oct) - CHECK. Cavalry released, infantry kept at Wigan.</t>
        </is>
      </c>
    </row>
    <row r="35" ht="15" customHeight="1" s="20">
      <c r="A35" s="25" t="inlineStr">
        <is>
          <t>HO42-0034</t>
        </is>
      </c>
      <c r="B35" s="25" t="inlineStr">
        <is>
          <t>E28</t>
        </is>
      </c>
      <c r="C35" s="26" t="inlineStr">
        <is>
          <t>Request for troops</t>
        </is>
      </c>
      <c r="D35" s="25" t="inlineStr">
        <is>
          <t>N</t>
        </is>
      </c>
      <c r="E35" s="25" t="inlineStr">
        <is>
          <t>HO 42/20</t>
        </is>
      </c>
      <c r="F35" s="25" t="inlineStr">
        <is>
          <t>HO-42-20_4.pdf</t>
        </is>
      </c>
      <c r="G35" s="25" t="inlineStr">
        <is>
          <t>16-17</t>
        </is>
      </c>
      <c r="H35" s="25" t="inlineStr">
        <is>
          <t>ff.243-244</t>
        </is>
      </c>
      <c r="I35" s="25" t="inlineStr">
        <is>
          <t>Folio stamp</t>
        </is>
      </c>
      <c r="J35" s="25" t="n"/>
      <c r="K35" s="25" t="inlineStr">
        <is>
          <t>Digitised (TNA PDF)</t>
        </is>
      </c>
      <c r="L35" s="25" t="inlineStr">
        <is>
          <t>Key quote only</t>
        </is>
      </c>
      <c r="M35" s="25" t="inlineStr">
        <is>
          <t>"a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is>
      </c>
      <c r="N35" s="25" t="inlineStr">
        <is>
          <t>10-11 May 1792</t>
        </is>
      </c>
      <c r="O35" s="27" t="inlineStr">
        <is>
          <t>1792-05-10</t>
        </is>
      </c>
      <c r="P35" s="25">
        <f>IF(O35="","",VALUE(LEFT(O35,4)))</f>
        <v/>
      </c>
      <c r="Q35" s="25" t="inlineStr">
        <is>
          <t>Sheffield</t>
        </is>
      </c>
      <c r="R35" s="25" t="inlineStr">
        <is>
          <t>Sheffield</t>
        </is>
      </c>
      <c r="S35" s="25" t="inlineStr">
        <is>
          <t>Yorkshire (W. Riding)</t>
        </is>
      </c>
      <c r="T35" s="25" t="inlineStr">
        <is>
          <t>Saml Tooker, Fr. Edmunds, B. Frank (West Riding JPs)</t>
        </is>
      </c>
      <c r="U35" s="25" t="inlineStr">
        <is>
          <t>Magistrate / JP</t>
        </is>
      </c>
      <c r="V35" s="25" t="inlineStr">
        <is>
          <t>Henry Dundas (inferred)</t>
        </is>
      </c>
      <c r="W35" s="25">
        <f>IF(O35="","",INDEX(Lookups!$B$2:$B$35,MATCH(O35,Lookups!$A$2:$A$35,1)))</f>
        <v/>
      </c>
      <c r="X35" s="25" t="inlineStr">
        <is>
          <t>Other / unclear</t>
        </is>
      </c>
      <c r="Y35" s="25" t="inlineStr">
        <is>
          <t>Actual</t>
        </is>
      </c>
      <c r="Z35" s="25" t="inlineStr">
        <is>
          <t>N</t>
        </is>
      </c>
      <c r="AA35" s="25" t="inlineStr">
        <is>
          <t>Replace quartered troops with part of another corps</t>
        </is>
      </c>
      <c r="AB35" s="25" t="inlineStr">
        <is>
          <t>Y</t>
        </is>
      </c>
      <c r="AC35" s="25" t="n"/>
      <c r="AD35" s="25" t="n"/>
      <c r="AE35" s="25" t="n"/>
      <c r="AF35" s="25" t="n"/>
      <c r="AG35" s="25" t="n"/>
      <c r="AH35" s="25" t="n"/>
      <c r="AI35" s="25" t="inlineStr">
        <is>
          <t>Riot between soldiers and townspeople (troops stationed since July 1791 enclosure riots). Request to SWAP troops, not add - borderline. Also asked CO at Nottingham directly (local route).</t>
        </is>
      </c>
    </row>
    <row r="36" ht="15" customHeight="1" s="20">
      <c r="A36" s="25" t="inlineStr">
        <is>
          <t>HO42-0035</t>
        </is>
      </c>
      <c r="B36" s="25" t="inlineStr">
        <is>
          <t>E29</t>
        </is>
      </c>
      <c r="C36" s="26" t="inlineStr">
        <is>
          <t>Request for troops</t>
        </is>
      </c>
      <c r="D36" s="25" t="inlineStr">
        <is>
          <t>N</t>
        </is>
      </c>
      <c r="E36" s="25" t="inlineStr">
        <is>
          <t>HO 42/20</t>
        </is>
      </c>
      <c r="F36" s="25" t="inlineStr">
        <is>
          <t>HO-42-20_4.pdf</t>
        </is>
      </c>
      <c r="G36" s="25" t="inlineStr">
        <is>
          <t>64</t>
        </is>
      </c>
      <c r="H36" s="25" t="inlineStr">
        <is>
          <t>f.289</t>
        </is>
      </c>
      <c r="I36" s="25" t="inlineStr">
        <is>
          <t>Folio stamp</t>
        </is>
      </c>
      <c r="J36" s="25" t="n"/>
      <c r="K36" s="25" t="inlineStr">
        <is>
          <t>Digitised (TNA PDF)</t>
        </is>
      </c>
      <c r="L36" s="25" t="inlineStr">
        <is>
          <t>Key quote only</t>
        </is>
      </c>
      <c r="M36" s="25" t="inlineStr">
        <is>
          <t>"We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is>
      </c>
      <c r="N36" s="25" t="inlineStr">
        <is>
          <t>25 May 1792</t>
        </is>
      </c>
      <c r="O36" s="27" t="inlineStr">
        <is>
          <t>1792-05-25</t>
        </is>
      </c>
      <c r="P36" s="25">
        <f>IF(O36="","",VALUE(LEFT(O36,4)))</f>
        <v/>
      </c>
      <c r="Q36" s="25" t="inlineStr">
        <is>
          <t>Birmingham</t>
        </is>
      </c>
      <c r="R36" s="25" t="inlineStr">
        <is>
          <t>Birmingham</t>
        </is>
      </c>
      <c r="S36" s="25" t="inlineStr">
        <is>
          <t>Warwickshire</t>
        </is>
      </c>
      <c r="T36" s="25" t="inlineStr">
        <is>
          <t>J. Carles &amp; R. Spencer (magistrates)</t>
        </is>
      </c>
      <c r="U36" s="25" t="inlineStr">
        <is>
          <t>Magistrate / JP</t>
        </is>
      </c>
      <c r="V36" s="25" t="inlineStr">
        <is>
          <t>Henry Dundas</t>
        </is>
      </c>
      <c r="W36" s="25">
        <f>IF(O36="","",INDEX(Lookups!$B$2:$B$36,MATCH(O36,Lookups!$A$2:$A$36,1)))</f>
        <v/>
      </c>
      <c r="X36" s="25" t="inlineStr">
        <is>
          <t>Other / unclear</t>
        </is>
      </c>
      <c r="Y36" s="25" t="inlineStr">
        <is>
          <t>Report only</t>
        </is>
      </c>
      <c r="Z36" s="25" t="inlineStr">
        <is>
          <t>Unclear</t>
        </is>
      </c>
      <c r="AA36" s="25" t="inlineStr">
        <is>
          <t>Troops from Kidderminster &amp; Bromsgrove (already called); keep them over holiday week</t>
        </is>
      </c>
      <c r="AB36" s="25" t="inlineStr">
        <is>
          <t>Y</t>
        </is>
      </c>
      <c r="AC36" s="25" t="inlineStr">
        <is>
          <t>HO letter of 23 May approved their calling in the military.</t>
        </is>
      </c>
      <c r="AD36" s="25" t="inlineStr">
        <is>
          <t>Approved</t>
        </is>
      </c>
      <c r="AE36" s="25" t="inlineStr">
        <is>
          <t>1792-05-23</t>
        </is>
      </c>
      <c r="AF36" s="25" t="n"/>
      <c r="AG36" s="25" t="n"/>
      <c r="AH36" s="25" t="inlineStr">
        <is>
          <t>Other</t>
        </is>
      </c>
      <c r="AI36" s="25" t="inlineStr">
        <is>
          <t>ROUTE: local request to nearby garrisons, then reported; plus request to KEEP troops. Cause of May 1792 Birmingham disturbance not stated here - CHECK neighbouring folios.</t>
        </is>
      </c>
    </row>
    <row r="37" ht="15" customHeight="1" s="20">
      <c r="A37" s="25" t="inlineStr">
        <is>
          <t>HO42-0036</t>
        </is>
      </c>
      <c r="B37" s="25" t="inlineStr">
        <is>
          <t>E30</t>
        </is>
      </c>
      <c r="C37" s="26" t="inlineStr">
        <is>
          <t>Request for troops</t>
        </is>
      </c>
      <c r="D37" s="25" t="inlineStr">
        <is>
          <t>Y</t>
        </is>
      </c>
      <c r="E37" s="25" t="inlineStr">
        <is>
          <t>HO 42/20</t>
        </is>
      </c>
      <c r="F37" s="25" t="inlineStr">
        <is>
          <t>HO-42-20_4.pdf</t>
        </is>
      </c>
      <c r="G37" s="25" t="inlineStr">
        <is>
          <t>76-77</t>
        </is>
      </c>
      <c r="H37" s="25" t="inlineStr">
        <is>
          <t>ff.301-302</t>
        </is>
      </c>
      <c r="I37" s="25" t="inlineStr">
        <is>
          <t>Folio stamp</t>
        </is>
      </c>
      <c r="J37" s="25" t="n"/>
      <c r="K37" s="25" t="inlineStr">
        <is>
          <t>Digitised (TNA PDF)</t>
        </is>
      </c>
      <c r="L37" s="25" t="inlineStr">
        <is>
          <t>Key quote only</t>
        </is>
      </c>
      <c r="M37" s="25" t="inlineStr">
        <is>
          <t>"The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is>
      </c>
      <c r="N37" s="25" t="inlineStr">
        <is>
          <t>26 May 1792</t>
        </is>
      </c>
      <c r="O37" s="27" t="inlineStr">
        <is>
          <t>1792-05-26</t>
        </is>
      </c>
      <c r="P37" s="25">
        <f>IF(O37="","",VALUE(LEFT(O37,4)))</f>
        <v/>
      </c>
      <c r="Q37" s="25" t="inlineStr">
        <is>
          <t>Leeds</t>
        </is>
      </c>
      <c r="R37" s="25" t="inlineStr">
        <is>
          <t>Leeds</t>
        </is>
      </c>
      <c r="S37" s="25" t="inlineStr">
        <is>
          <t>Yorkshire (W. Riding)</t>
        </is>
      </c>
      <c r="T37" s="25" t="inlineStr">
        <is>
          <t>Wade Browne, Mayor</t>
        </is>
      </c>
      <c r="U37" s="25" t="inlineStr">
        <is>
          <t>Mayor / corporation</t>
        </is>
      </c>
      <c r="V37" s="25" t="inlineStr">
        <is>
          <t>Henry Dundas</t>
        </is>
      </c>
      <c r="W37" s="25">
        <f>IF(O37="","",INDEX(Lookups!$B$2:$B$37,MATCH(O37,Lookups!$A$2:$A$37,1)))</f>
        <v/>
      </c>
      <c r="X37" s="25" t="inlineStr">
        <is>
          <t>Preventive / general</t>
        </is>
      </c>
      <c r="Y37" s="25" t="inlineStr">
        <is>
          <t>Contingent</t>
        </is>
      </c>
      <c r="Z37" s="25" t="inlineStr">
        <is>
          <t>N</t>
        </is>
      </c>
      <c r="AA37" s="25" t="inlineStr">
        <is>
          <t>Standing orders to CO at York to march sufficient troops on the Mayor's requisition</t>
        </is>
      </c>
      <c r="AB37" s="25" t="inlineStr">
        <is>
          <t>N</t>
        </is>
      </c>
      <c r="AC37" s="25" t="n"/>
      <c r="AD37" s="25" t="n"/>
      <c r="AE37" s="25" t="n"/>
      <c r="AF37" s="25" t="n"/>
      <c r="AG37" s="25" t="n"/>
      <c r="AH37" s="25" t="n"/>
      <c r="AI37" s="25" t="inlineStr">
        <is>
          <t>Earlier request Aug 1791 to Secretary at War (granted: 4th Dragoons at Pontefract) - a second, unlogged request; orders leaked and were 'publickly talked of at Leeds'. Asks CO not to divulge instructions. Follows the royal proclamation of 21 May 1792 against seditious writings.</t>
        </is>
      </c>
    </row>
    <row r="38" ht="15" customHeight="1" s="20">
      <c r="A38" s="25" t="inlineStr">
        <is>
          <t>HO42-0037</t>
        </is>
      </c>
      <c r="B38" s="25" t="inlineStr">
        <is>
          <t>E31</t>
        </is>
      </c>
      <c r="C38" s="26" t="inlineStr">
        <is>
          <t>Request for troops</t>
        </is>
      </c>
      <c r="D38" s="25" t="inlineStr">
        <is>
          <t>N</t>
        </is>
      </c>
      <c r="E38" s="25" t="inlineStr">
        <is>
          <t>HO 42/20</t>
        </is>
      </c>
      <c r="F38" s="25" t="inlineStr">
        <is>
          <t>HO-42-20_5.pdf</t>
        </is>
      </c>
      <c r="G38" s="25" t="inlineStr">
        <is>
          <t>44, 48, 60, 62-67</t>
        </is>
      </c>
      <c r="H38" s="25" t="inlineStr">
        <is>
          <t>ff.352, 357, 369, 371-376</t>
        </is>
      </c>
      <c r="I38" s="25" t="inlineStr">
        <is>
          <t>Folio stamp</t>
        </is>
      </c>
      <c r="J38" s="25" t="n"/>
      <c r="K38" s="25" t="inlineStr">
        <is>
          <t>Digitised (TNA PDF)</t>
        </is>
      </c>
      <c r="L38" s="25" t="inlineStr">
        <is>
          <t>Key quote only</t>
        </is>
      </c>
      <c r="M38" s="25" t="inlineStr">
        <is>
          <t>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is>
      </c>
      <c r="N38" s="25" t="inlineStr">
        <is>
          <t>6-10 Jun 1792</t>
        </is>
      </c>
      <c r="O38" s="27" t="inlineStr">
        <is>
          <t>1792-06-05</t>
        </is>
      </c>
      <c r="P38" s="25">
        <f>IF(O38="","",VALUE(LEFT(O38,4)))</f>
        <v/>
      </c>
      <c r="Q38" s="25" t="inlineStr">
        <is>
          <t>Mount Street &amp; South Audley Street, Westminster</t>
        </is>
      </c>
      <c r="R38" s="25" t="inlineStr">
        <is>
          <t>London (Mayfair)</t>
        </is>
      </c>
      <c r="S38" s="25" t="inlineStr">
        <is>
          <t>Middlesex</t>
        </is>
      </c>
      <c r="T38" s="25" t="inlineStr">
        <is>
          <t>Magistrates acting in Mount Street (Baker, Keene, Bond)</t>
        </is>
      </c>
      <c r="U38" s="25" t="inlineStr">
        <is>
          <t>Magistrate / JP</t>
        </is>
      </c>
      <c r="V38" s="25" t="inlineStr">
        <is>
          <t>Evan Nepean (Under-Secretary)</t>
        </is>
      </c>
      <c r="W38" s="25">
        <f>IF(O38="","",INDEX(Lookups!$B$2:$B$38,MATCH(O38,Lookups!$A$2:$A$38,1)))</f>
        <v/>
      </c>
      <c r="X38" s="25" t="inlineStr">
        <is>
          <t>Other / unclear</t>
        </is>
      </c>
      <c r="Y38" s="25" t="inlineStr">
        <is>
          <t>Report only</t>
        </is>
      </c>
      <c r="Z38" s="25" t="inlineStr">
        <is>
          <t>Unclear</t>
        </is>
      </c>
      <c r="AA38" s="25" t="inlineStr">
        <is>
          <t>Military / small party of Horse Guards to patrol</t>
        </is>
      </c>
      <c r="AB38" s="25" t="inlineStr">
        <is>
          <t>Y</t>
        </is>
      </c>
      <c r="AC38" s="25" t="n"/>
      <c r="AD38" s="25" t="n"/>
      <c r="AE38" s="25" t="n"/>
      <c r="AF38" s="25" t="n"/>
      <c r="AG38" s="25" t="n"/>
      <c r="AH38" s="25" t="n"/>
      <c r="AI38" s="25" t="inlineStr">
        <is>
          <t>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is>
      </c>
    </row>
    <row r="39" ht="15" customHeight="1" s="20">
      <c r="A39" s="25" t="inlineStr">
        <is>
          <t>HO42-0038</t>
        </is>
      </c>
      <c r="B39" s="25" t="inlineStr">
        <is>
          <t>E32</t>
        </is>
      </c>
      <c r="C39" s="29" t="inlineStr">
        <is>
          <t>Barracks</t>
        </is>
      </c>
      <c r="D39" s="25" t="inlineStr">
        <is>
          <t>N</t>
        </is>
      </c>
      <c r="E39" s="25" t="inlineStr">
        <is>
          <t>HO 42/20</t>
        </is>
      </c>
      <c r="F39" s="25" t="inlineStr">
        <is>
          <t>HO-42-20_7.pdf</t>
        </is>
      </c>
      <c r="G39" s="25" t="inlineStr">
        <is>
          <t>53</t>
        </is>
      </c>
      <c r="H39" s="25" t="inlineStr">
        <is>
          <t>f.528</t>
        </is>
      </c>
      <c r="I39" s="25" t="inlineStr">
        <is>
          <t>Folio stamp</t>
        </is>
      </c>
      <c r="J39" s="25" t="n"/>
      <c r="K39" s="25" t="inlineStr">
        <is>
          <t>Digitised (TNA PDF)</t>
        </is>
      </c>
      <c r="L39" s="25" t="inlineStr">
        <is>
          <t>Key quote only</t>
        </is>
      </c>
      <c r="M39" s="25" t="inlineStr">
        <is>
          <t>"Not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is>
      </c>
      <c r="N39" s="25" t="inlineStr">
        <is>
          <t>19 Jul 1792</t>
        </is>
      </c>
      <c r="O39" s="27" t="inlineStr">
        <is>
          <t>1792-07-19</t>
        </is>
      </c>
      <c r="P39" s="25">
        <f>IF(O39="","",VALUE(LEFT(O39,4)))</f>
        <v/>
      </c>
      <c r="Q39" s="25" t="inlineStr">
        <is>
          <t>Sheffield</t>
        </is>
      </c>
      <c r="R39" s="25" t="inlineStr">
        <is>
          <t>Sheffield</t>
        </is>
      </c>
      <c r="S39" s="25" t="inlineStr">
        <is>
          <t>Yorkshire (W. Riding)</t>
        </is>
      </c>
      <c r="T39" s="25" t="inlineStr">
        <is>
          <t>Col. Oliver De Lancey (Barrack-Master), to the Secretary at War; abstract read by the King</t>
        </is>
      </c>
      <c r="U39" s="25" t="inlineStr">
        <is>
          <t>Military officer</t>
        </is>
      </c>
      <c r="V39" s="25" t="inlineStr">
        <is>
          <t>Secretary at War (abstract filed in HO 42)</t>
        </is>
      </c>
      <c r="W39" s="25">
        <f>IF(O39="","",INDEX(Lookups!$B$2:$B$39,MATCH(O39,Lookups!$A$2:$A$39,1)))</f>
        <v/>
      </c>
      <c r="X39" s="25" t="inlineStr">
        <is>
          <t>Preventive / general</t>
        </is>
      </c>
      <c r="Y39" s="25" t="n"/>
      <c r="Z39" s="25" t="n"/>
      <c r="AA39" s="25" t="inlineStr">
        <is>
          <t>Barracks for 3 troops of dragoons</t>
        </is>
      </c>
      <c r="AB39" s="25" t="n"/>
      <c r="AC39" s="25" t="n"/>
      <c r="AD39" s="25" t="n"/>
      <c r="AE39" s="25" t="n"/>
      <c r="AF39" s="25" t="n"/>
      <c r="AG39" s="25" t="n"/>
      <c r="AH39" s="25" t="n"/>
      <c r="AI39" s="25" t="inlineStr">
        <is>
          <t>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is>
      </c>
    </row>
    <row r="40" ht="15" customHeight="1" s="20">
      <c r="A40" s="25" t="inlineStr">
        <is>
          <t>HO42-0039</t>
        </is>
      </c>
      <c r="B40" s="25" t="inlineStr">
        <is>
          <t>E33</t>
        </is>
      </c>
      <c r="C40" s="29" t="inlineStr">
        <is>
          <t>Barracks</t>
        </is>
      </c>
      <c r="D40" s="25" t="inlineStr">
        <is>
          <t>N</t>
        </is>
      </c>
      <c r="E40" s="25" t="inlineStr">
        <is>
          <t>HO 42/20</t>
        </is>
      </c>
      <c r="F40" s="25" t="inlineStr">
        <is>
          <t>HO-42-20_7.pdf</t>
        </is>
      </c>
      <c r="G40" s="25" t="inlineStr">
        <is>
          <t>61</t>
        </is>
      </c>
      <c r="H40" s="25" t="inlineStr">
        <is>
          <t>f.532</t>
        </is>
      </c>
      <c r="I40" s="25" t="inlineStr">
        <is>
          <t>Folio stamp</t>
        </is>
      </c>
      <c r="J40" s="25" t="n"/>
      <c r="K40" s="25" t="inlineStr">
        <is>
          <t>Digitised (TNA PDF)</t>
        </is>
      </c>
      <c r="L40" s="25" t="inlineStr">
        <is>
          <t>Key quote only</t>
        </is>
      </c>
      <c r="M40" s="25" t="inlineStr">
        <is>
          <t>"The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is>
      </c>
      <c r="N40" s="25" t="inlineStr">
        <is>
          <t>7 Aug 1792</t>
        </is>
      </c>
      <c r="O40" s="27" t="inlineStr">
        <is>
          <t>1792-08-07</t>
        </is>
      </c>
      <c r="P40" s="25">
        <f>IF(O40="","",VALUE(LEFT(O40,4)))</f>
        <v/>
      </c>
      <c r="Q40" s="25" t="inlineStr">
        <is>
          <t>Manchester</t>
        </is>
      </c>
      <c r="R40" s="25" t="inlineStr">
        <is>
          <t>Manchester</t>
        </is>
      </c>
      <c r="S40" s="25" t="inlineStr">
        <is>
          <t>Lancashire</t>
        </is>
      </c>
      <c r="T40" s="25" t="inlineStr">
        <is>
          <t>Col. Oliver De Lancey (Barrack-Master), to the Secretary at War; abstract read by the King</t>
        </is>
      </c>
      <c r="U40" s="25" t="inlineStr">
        <is>
          <t>Military officer</t>
        </is>
      </c>
      <c r="V40" s="25" t="inlineStr">
        <is>
          <t>Secretary at War (abstract filed in HO 42)</t>
        </is>
      </c>
      <c r="W40" s="25">
        <f>IF(O40="","",INDEX(Lookups!$B$2:$B$40,MATCH(O40,Lookups!$A$2:$A$40,1)))</f>
        <v/>
      </c>
      <c r="X40" s="25" t="inlineStr">
        <is>
          <t>Preventive / general</t>
        </is>
      </c>
      <c r="Y40" s="25" t="n"/>
      <c r="Z40" s="25" t="n"/>
      <c r="AA40" s="25" t="inlineStr">
        <is>
          <t>Barracks for 6 troops of dragoons</t>
        </is>
      </c>
      <c r="AB40" s="25" t="n"/>
      <c r="AC40" s="25" t="n"/>
      <c r="AD40" s="25" t="n"/>
      <c r="AE40" s="25" t="n"/>
      <c r="AF40" s="25" t="n"/>
      <c r="AG40" s="25" t="n"/>
      <c r="AH40" s="25" t="n"/>
      <c r="AI40" s="25" t="inlineStr">
        <is>
          <t>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is>
      </c>
    </row>
    <row r="41" ht="15" customHeight="1" s="20">
      <c r="A41" s="25" t="inlineStr">
        <is>
          <t>HO42-0040</t>
        </is>
      </c>
      <c r="B41" s="25" t="inlineStr">
        <is>
          <t>E34</t>
        </is>
      </c>
      <c r="C41" s="29" t="inlineStr">
        <is>
          <t>Barracks</t>
        </is>
      </c>
      <c r="D41" s="25" t="inlineStr">
        <is>
          <t>N</t>
        </is>
      </c>
      <c r="E41" s="25" t="inlineStr">
        <is>
          <t>HO 42/20</t>
        </is>
      </c>
      <c r="F41" s="25" t="inlineStr">
        <is>
          <t>HO-42-20_7.pdf</t>
        </is>
      </c>
      <c r="G41" s="25" t="inlineStr">
        <is>
          <t>68</t>
        </is>
      </c>
      <c r="H41" s="25" t="inlineStr">
        <is>
          <t>f.536</t>
        </is>
      </c>
      <c r="I41" s="25" t="inlineStr">
        <is>
          <t>Folio stamp</t>
        </is>
      </c>
      <c r="J41" s="25" t="n"/>
      <c r="K41" s="25" t="inlineStr">
        <is>
          <t>Digitised (TNA PDF)</t>
        </is>
      </c>
      <c r="L41" s="25" t="inlineStr">
        <is>
          <t>Key quote only</t>
        </is>
      </c>
      <c r="M41" s="25" t="inlineStr">
        <is>
          <t>"he has taken 3 Acres of Land within half a mile of Nottingham on the Derby Road upon a building lease, from the Duke of Newcastle for the term of 61 Years at the rent of £60 per Ann."</t>
        </is>
      </c>
      <c r="N41" s="25" t="inlineStr">
        <is>
          <t>17 Aug 1792</t>
        </is>
      </c>
      <c r="O41" s="27" t="inlineStr">
        <is>
          <t>1792-08-17</t>
        </is>
      </c>
      <c r="P41" s="25">
        <f>IF(O41="","",VALUE(LEFT(O41,4)))</f>
        <v/>
      </c>
      <c r="Q41" s="25" t="inlineStr">
        <is>
          <t>Nottingham</t>
        </is>
      </c>
      <c r="R41" s="25" t="inlineStr">
        <is>
          <t>Nottingham</t>
        </is>
      </c>
      <c r="S41" s="25" t="inlineStr">
        <is>
          <t>Nottinghamshire</t>
        </is>
      </c>
      <c r="T41" s="25" t="inlineStr">
        <is>
          <t>Col. Oliver De Lancey (Barrack-Master), to the Secretary at War; abstract read by the King</t>
        </is>
      </c>
      <c r="U41" s="25" t="inlineStr">
        <is>
          <t>Military officer</t>
        </is>
      </c>
      <c r="V41" s="25" t="inlineStr">
        <is>
          <t>Secretary at War (abstract filed in HO 42)</t>
        </is>
      </c>
      <c r="W41" s="25">
        <f>IF(O41="","",INDEX(Lookups!$B$2:$B$41,MATCH(O41,Lookups!$A$2:$A$41,1)))</f>
        <v/>
      </c>
      <c r="X41" s="25" t="inlineStr">
        <is>
          <t>Preventive / general</t>
        </is>
      </c>
      <c r="Y41" s="25" t="n"/>
      <c r="Z41" s="25" t="n"/>
      <c r="AA41" s="25" t="inlineStr">
        <is>
          <t>Barracks for 3 troops of dragoons</t>
        </is>
      </c>
      <c r="AB41" s="25" t="n"/>
      <c r="AC41" s="25" t="n"/>
      <c r="AD41" s="25" t="n"/>
      <c r="AE41" s="25" t="n"/>
      <c r="AF41" s="25" t="n"/>
      <c r="AG41" s="25" t="n"/>
      <c r="AH41" s="25" t="n"/>
      <c r="AI41" s="25" t="inlineStr">
        <is>
          <t>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is>
      </c>
    </row>
    <row r="42" ht="15" customHeight="1" s="20">
      <c r="A42" s="25" t="inlineStr">
        <is>
          <t>HO42-0041</t>
        </is>
      </c>
      <c r="B42" s="25" t="inlineStr">
        <is>
          <t>E35</t>
        </is>
      </c>
      <c r="C42" s="29" t="inlineStr">
        <is>
          <t>Barracks</t>
        </is>
      </c>
      <c r="D42" s="25" t="inlineStr">
        <is>
          <t>N</t>
        </is>
      </c>
      <c r="E42" s="25" t="inlineStr">
        <is>
          <t>HO 42/20</t>
        </is>
      </c>
      <c r="F42" s="25" t="inlineStr">
        <is>
          <t>HO-42-20_7.pdf</t>
        </is>
      </c>
      <c r="G42" s="25" t="inlineStr">
        <is>
          <t>46</t>
        </is>
      </c>
      <c r="H42" s="25" t="inlineStr">
        <is>
          <t>f.524</t>
        </is>
      </c>
      <c r="I42" s="25" t="inlineStr">
        <is>
          <t>Folio stamp</t>
        </is>
      </c>
      <c r="J42" s="25" t="n"/>
      <c r="K42" s="25" t="inlineStr">
        <is>
          <t>Digitised (TNA PDF)</t>
        </is>
      </c>
      <c r="L42" s="25" t="inlineStr">
        <is>
          <t>Key quote only</t>
        </is>
      </c>
      <c r="M42" s="25" t="inlineStr">
        <is>
          <t>"Not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is>
      </c>
      <c r="N42" s="25" t="inlineStr">
        <is>
          <t>24 Aug 1792</t>
        </is>
      </c>
      <c r="O42" s="27" t="inlineStr">
        <is>
          <t>1792-08-24</t>
        </is>
      </c>
      <c r="P42" s="25">
        <f>IF(O42="","",VALUE(LEFT(O42,4)))</f>
        <v/>
      </c>
      <c r="Q42" s="25" t="inlineStr">
        <is>
          <t>Birmingham</t>
        </is>
      </c>
      <c r="R42" s="25" t="inlineStr">
        <is>
          <t>Birmingham</t>
        </is>
      </c>
      <c r="S42" s="25" t="inlineStr">
        <is>
          <t>Warwickshire</t>
        </is>
      </c>
      <c r="T42" s="25" t="inlineStr">
        <is>
          <t>Col. Oliver De Lancey (Barrack-Master), to the Secretary at War; abstract read by the King</t>
        </is>
      </c>
      <c r="U42" s="25" t="inlineStr">
        <is>
          <t>Military officer</t>
        </is>
      </c>
      <c r="V42" s="25" t="inlineStr">
        <is>
          <t>Secretary at War (abstract filed in HO 42)</t>
        </is>
      </c>
      <c r="W42" s="25">
        <f>IF(O42="","",INDEX(Lookups!$B$2:$B$42,MATCH(O42,Lookups!$A$2:$A$42,1)))</f>
        <v/>
      </c>
      <c r="X42" s="25" t="inlineStr">
        <is>
          <t>Preventive / general</t>
        </is>
      </c>
      <c r="Y42" s="25" t="n"/>
      <c r="Z42" s="25" t="n"/>
      <c r="AA42" s="25" t="inlineStr">
        <is>
          <t>Barracks for 3 troops of dragoons</t>
        </is>
      </c>
      <c r="AB42" s="25" t="n"/>
      <c r="AC42" s="25" t="n"/>
      <c r="AD42" s="25" t="n"/>
      <c r="AE42" s="25" t="n"/>
      <c r="AF42" s="25" t="n"/>
      <c r="AG42" s="25" t="n"/>
      <c r="AH42" s="25" t="n"/>
      <c r="AI42" s="25" t="inlineStr">
        <is>
          <t>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is>
      </c>
    </row>
    <row r="43" ht="15" customHeight="1" s="20">
      <c r="A43" s="25" t="inlineStr">
        <is>
          <t>HO42-0042</t>
        </is>
      </c>
      <c r="B43" s="25" t="inlineStr">
        <is>
          <t>E36</t>
        </is>
      </c>
      <c r="C43" s="29" t="inlineStr">
        <is>
          <t>Barracks</t>
        </is>
      </c>
      <c r="D43" s="25" t="inlineStr">
        <is>
          <t>N</t>
        </is>
      </c>
      <c r="E43" s="25" t="inlineStr">
        <is>
          <t>HO 42/21</t>
        </is>
      </c>
      <c r="F43" s="25" t="inlineStr">
        <is>
          <t>HO-42-21_01.pdf; HO-42-21_06.pdf</t>
        </is>
      </c>
      <c r="G43" s="25" t="inlineStr">
        <is>
          <t>109</t>
        </is>
      </c>
      <c r="H43" s="25" t="inlineStr">
        <is>
          <t>[unstamped, between ff.72-74]</t>
        </is>
      </c>
      <c r="I43" s="25" t="inlineStr">
        <is>
          <t>Unclear - check</t>
        </is>
      </c>
      <c r="J43" s="25" t="n"/>
      <c r="K43" s="25" t="inlineStr">
        <is>
          <t>Digitised (TNA PDF)</t>
        </is>
      </c>
      <c r="L43" s="25" t="inlineStr">
        <is>
          <t>Key quote only</t>
        </is>
      </c>
      <c r="M43" s="25" t="inlineStr">
        <is>
          <t>"A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is>
      </c>
      <c r="N43" s="25" t="inlineStr">
        <is>
          <t>5 Sept 1792</t>
        </is>
      </c>
      <c r="O43" s="27" t="inlineStr">
        <is>
          <t>1792-09-05</t>
        </is>
      </c>
      <c r="P43" s="25">
        <f>IF(O43="","",VALUE(LEFT(O43,4)))</f>
        <v/>
      </c>
      <c r="Q43" s="25" t="inlineStr">
        <is>
          <t>Coventry</t>
        </is>
      </c>
      <c r="R43" s="25" t="inlineStr">
        <is>
          <t>Coventry</t>
        </is>
      </c>
      <c r="S43" s="25" t="inlineStr">
        <is>
          <t>Warwickshire</t>
        </is>
      </c>
      <c r="T43" s="25" t="inlineStr">
        <is>
          <t>Col. Oliver DeLancey to Sir George Yonge, Secretary at War</t>
        </is>
      </c>
      <c r="U43" s="25" t="inlineStr">
        <is>
          <t>Military officer</t>
        </is>
      </c>
      <c r="V43" s="25" t="inlineStr">
        <is>
          <t>Unclear (filed in HO 42)</t>
        </is>
      </c>
      <c r="W43" s="25">
        <f>IF(O43="","",INDEX(Lookups!$B$2:$B$43,MATCH(O43,Lookups!$A$2:$A$43,1)))</f>
        <v/>
      </c>
      <c r="X43" s="25" t="inlineStr">
        <is>
          <t>Preventive / general</t>
        </is>
      </c>
      <c r="Y43" s="25" t="n"/>
      <c r="Z43" s="25" t="n"/>
      <c r="AA43" s="25" t="inlineStr">
        <is>
          <t>Barracks for 3 troops of dragoons (Bull Inn converted)</t>
        </is>
      </c>
      <c r="AB43" s="25" t="n"/>
      <c r="AC43" s="25" t="n"/>
      <c r="AD43" s="25" t="n"/>
      <c r="AE43" s="25" t="n"/>
      <c r="AF43" s="25" t="n"/>
      <c r="AG43" s="25" t="n"/>
      <c r="AH43" s="25" t="n"/>
      <c r="AI43" s="25" t="inlineStr">
        <is>
          <t>Site plan for barracks at Coventry (Bull Inn premises) - part of 1792 programme (cf. HO42-0038 to 0041). Coventry had requested a regiment in July 1791 (HO42-0023). Covering letter found in 21_06.</t>
        </is>
      </c>
    </row>
    <row r="44" ht="15" customHeight="1" s="20">
      <c r="A44" s="25" t="inlineStr">
        <is>
          <t>HO42-0043</t>
        </is>
      </c>
      <c r="B44" s="25" t="inlineStr">
        <is>
          <t>E37</t>
        </is>
      </c>
      <c r="C44" s="26" t="inlineStr">
        <is>
          <t>Request for troops</t>
        </is>
      </c>
      <c r="D44" s="25" t="inlineStr">
        <is>
          <t>N</t>
        </is>
      </c>
      <c r="E44" s="25" t="inlineStr">
        <is>
          <t>HO 42/21</t>
        </is>
      </c>
      <c r="F44" s="25" t="inlineStr">
        <is>
          <t>HO-42-21_04.pdf</t>
        </is>
      </c>
      <c r="G44" s="25" t="inlineStr">
        <is>
          <t>62</t>
        </is>
      </c>
      <c r="H44" s="25" t="inlineStr">
        <is>
          <t>f.323</t>
        </is>
      </c>
      <c r="I44" s="25" t="inlineStr">
        <is>
          <t>Folio stamp</t>
        </is>
      </c>
      <c r="J44" s="25" t="n"/>
      <c r="K44" s="25" t="inlineStr">
        <is>
          <t>Digitised (TNA PDF)</t>
        </is>
      </c>
      <c r="L44" s="25" t="inlineStr">
        <is>
          <t>Key quote only</t>
        </is>
      </c>
      <c r="M44" s="25" t="inlineStr">
        <is>
          <t>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is>
      </c>
      <c r="N44" s="25" t="inlineStr">
        <is>
          <t>14-15 Aug 1792</t>
        </is>
      </c>
      <c r="O44" s="27" t="inlineStr">
        <is>
          <t>1792-08-14</t>
        </is>
      </c>
      <c r="P44" s="25">
        <f>IF(O44="","",VALUE(LEFT(O44,4)))</f>
        <v/>
      </c>
      <c r="Q44" s="25" t="inlineStr">
        <is>
          <t>Camerton</t>
        </is>
      </c>
      <c r="R44" s="25" t="inlineStr">
        <is>
          <t>Camerton</t>
        </is>
      </c>
      <c r="S44" s="25" t="inlineStr">
        <is>
          <t>Somerset</t>
        </is>
      </c>
      <c r="T44" s="25" t="inlineStr">
        <is>
          <t>Sheriff of Somerset (request); reported by Capt J.G. Le Marchant</t>
        </is>
      </c>
      <c r="U44" s="25" t="inlineStr">
        <is>
          <t>Other official</t>
        </is>
      </c>
      <c r="V44" s="25" t="inlineStr">
        <is>
          <t>Local commander (Capt Le Marchant, Bradford-on-Avon)</t>
        </is>
      </c>
      <c r="W44" s="25">
        <f>IF(O44="","",INDEX(Lookups!$B$2:$B$44,MATCH(O44,Lookups!$A$2:$A$44,1)))</f>
        <v/>
      </c>
      <c r="X44" s="25" t="inlineStr">
        <is>
          <t>Labour / industrial</t>
        </is>
      </c>
      <c r="Y44" s="25" t="inlineStr">
        <is>
          <t>Pre-emptive</t>
        </is>
      </c>
      <c r="Z44" s="25" t="inlineStr">
        <is>
          <t>Unclear</t>
        </is>
      </c>
      <c r="AA44" s="25" t="inlineStr">
        <is>
          <t>Troops stationed at Camerton; a party of Queen's Dragoon Guards sent</t>
        </is>
      </c>
      <c r="AB44" s="25" t="inlineStr">
        <is>
          <t>Y</t>
        </is>
      </c>
      <c r="AC44" s="25" t="inlineStr">
        <is>
          <t>Party detached immediately by the local commander.</t>
        </is>
      </c>
      <c r="AD44" s="25" t="inlineStr">
        <is>
          <t>Approved</t>
        </is>
      </c>
      <c r="AE44" s="25" t="n"/>
      <c r="AF44" s="25" t="n"/>
      <c r="AG44" s="25" t="n"/>
      <c r="AH44" s="25" t="inlineStr">
        <is>
          <t>Other</t>
        </is>
      </c>
      <c r="AI44" s="25" t="inlineStr">
        <is>
          <t>ROUTE: local request (Sheriff -&gt; nearest officer), copy forwarded to HO. Part of Aug 1792 Kingswood/Somerset colliers' wage strike - see Bristol report f.307.</t>
        </is>
      </c>
    </row>
    <row r="45" ht="15" customHeight="1" s="20">
      <c r="A45" s="25" t="inlineStr">
        <is>
          <t>HO42-0044</t>
        </is>
      </c>
      <c r="B45" s="25" t="inlineStr">
        <is>
          <t>E37</t>
        </is>
      </c>
      <c r="C45" s="31" t="inlineStr">
        <is>
          <t>Other</t>
        </is>
      </c>
      <c r="D45" s="25" t="inlineStr">
        <is>
          <t>N</t>
        </is>
      </c>
      <c r="E45" s="25" t="inlineStr">
        <is>
          <t>HO 42/21</t>
        </is>
      </c>
      <c r="F45" s="25" t="inlineStr">
        <is>
          <t>HO-42-21_04.pdf</t>
        </is>
      </c>
      <c r="G45" s="25" t="inlineStr">
        <is>
          <t>35-37</t>
        </is>
      </c>
      <c r="H45" s="25" t="inlineStr">
        <is>
          <t>ff.307-309</t>
        </is>
      </c>
      <c r="I45" s="25" t="inlineStr">
        <is>
          <t>Folio stamp</t>
        </is>
      </c>
      <c r="J45" s="25" t="n"/>
      <c r="K45" s="25" t="inlineStr">
        <is>
          <t>Digitised (TNA PDF)</t>
        </is>
      </c>
      <c r="L45" s="25" t="inlineStr">
        <is>
          <t>Key quote only</t>
        </is>
      </c>
      <c r="M45" s="25" t="inlineStr">
        <is>
          <t>"a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is>
      </c>
      <c r="N45" s="25" t="inlineStr">
        <is>
          <t>9 Aug 1792</t>
        </is>
      </c>
      <c r="O45" s="27" t="inlineStr">
        <is>
          <t>1792-08-09</t>
        </is>
      </c>
      <c r="P45" s="25">
        <f>IF(O45="","",VALUE(LEFT(O45,4)))</f>
        <v/>
      </c>
      <c r="Q45" s="25" t="inlineStr">
        <is>
          <t>Bristol / Kingswood</t>
        </is>
      </c>
      <c r="R45" s="25" t="inlineStr">
        <is>
          <t>Bristol</t>
        </is>
      </c>
      <c r="S45" s="25" t="inlineStr">
        <is>
          <t>Gloucestershire / Bristol</t>
        </is>
      </c>
      <c r="T45" s="25" t="inlineStr">
        <is>
          <t>George Monro</t>
        </is>
      </c>
      <c r="U45" s="25" t="inlineStr">
        <is>
          <t>Private individual</t>
        </is>
      </c>
      <c r="V45" s="25" t="inlineStr">
        <is>
          <t>Home Office (Under-Secretary, inferred)</t>
        </is>
      </c>
      <c r="W45" s="25">
        <f>IF(O45="","",INDEX(Lookups!$B$2:$B$45,MATCH(O45,Lookups!$A$2:$A$45,1)))</f>
        <v/>
      </c>
      <c r="X45" s="25" t="inlineStr">
        <is>
          <t>Labour / industrial</t>
        </is>
      </c>
      <c r="Y45" s="25" t="inlineStr">
        <is>
          <t>Report only</t>
        </is>
      </c>
      <c r="Z45" s="25" t="inlineStr">
        <is>
          <t>Y</t>
        </is>
      </c>
      <c r="AA45" s="25" t="n"/>
      <c r="AB45" s="25" t="n"/>
      <c r="AC45" s="25" t="n"/>
      <c r="AD45" s="25" t="n"/>
      <c r="AE45" s="25" t="n"/>
      <c r="AF45" s="25" t="n"/>
      <c r="AG45" s="25" t="n"/>
      <c r="AH45" s="25" t="n"/>
      <c r="AI45" s="25" t="inlineStr">
        <is>
          <t>Report of strike/combination, no request; magistrates inactive. Context for E37 Camerton request.</t>
        </is>
      </c>
    </row>
    <row r="46" ht="15" customHeight="1" s="20">
      <c r="A46" s="25" t="inlineStr">
        <is>
          <t>HO42-0045</t>
        </is>
      </c>
      <c r="B46" s="25" t="inlineStr">
        <is>
          <t>E27</t>
        </is>
      </c>
      <c r="C46" s="26" t="inlineStr">
        <is>
          <t>Request for troops</t>
        </is>
      </c>
      <c r="D46" s="25" t="inlineStr">
        <is>
          <t>Y</t>
        </is>
      </c>
      <c r="E46" s="25" t="inlineStr">
        <is>
          <t>HO 42/22</t>
        </is>
      </c>
      <c r="F46" s="25" t="inlineStr">
        <is>
          <t>HO-42-22_01.pdf</t>
        </is>
      </c>
      <c r="G46" s="25" t="inlineStr">
        <is>
          <t>46-47, 98-99</t>
        </is>
      </c>
      <c r="H46" s="25" t="inlineStr">
        <is>
          <t>ff.29-30, 58-59</t>
        </is>
      </c>
      <c r="I46" s="25" t="inlineStr">
        <is>
          <t>Folio stamp</t>
        </is>
      </c>
      <c r="J46" s="25" t="n"/>
      <c r="K46" s="25" t="inlineStr">
        <is>
          <t>Digitised (TNA PDF)</t>
        </is>
      </c>
      <c r="L46" s="25" t="inlineStr">
        <is>
          <t>Key quote only</t>
        </is>
      </c>
      <c r="M46" s="25" t="inlineStr">
        <is>
          <t>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is>
      </c>
      <c r="N46" s="25" t="inlineStr">
        <is>
          <t>1-3 Oct 1792</t>
        </is>
      </c>
      <c r="O46" s="27" t="inlineStr">
        <is>
          <t>1792-10-01</t>
        </is>
      </c>
      <c r="P46" s="25">
        <f>IF(O46="","",VALUE(LEFT(O46,4)))</f>
        <v/>
      </c>
      <c r="Q46" s="25" t="inlineStr">
        <is>
          <t>Wigan collieries (letters from Liverpool)</t>
        </is>
      </c>
      <c r="R46" s="25" t="inlineStr">
        <is>
          <t>Wigan</t>
        </is>
      </c>
      <c r="S46" s="25" t="inlineStr">
        <is>
          <t>Lancashire</t>
        </is>
      </c>
      <c r="T46" s="25" t="inlineStr">
        <is>
          <t>Henry Blundell, Mayor of Liverpool (for the coal owners)</t>
        </is>
      </c>
      <c r="U46" s="25" t="inlineStr">
        <is>
          <t>Mayor / corporation</t>
        </is>
      </c>
      <c r="V46" s="25" t="inlineStr">
        <is>
          <t>Henry Dundas</t>
        </is>
      </c>
      <c r="W46" s="25">
        <f>IF(O46="","",INDEX(Lookups!$B$2:$B$46,MATCH(O46,Lookups!$A$2:$A$46,1)))</f>
        <v/>
      </c>
      <c r="X46" s="25" t="inlineStr">
        <is>
          <t>Labour / industrial</t>
        </is>
      </c>
      <c r="Y46" s="25" t="inlineStr">
        <is>
          <t>Actual</t>
        </is>
      </c>
      <c r="Z46" s="25" t="inlineStr">
        <is>
          <t>Y</t>
        </is>
      </c>
      <c r="AA46" s="25" t="inlineStr">
        <is>
          <t>Orders for 30th Regt (1-2 companies) and Manchester troops to march to Wigan; later a regiment of horse and two of infantry to be kept in the county</t>
        </is>
      </c>
      <c r="AB46" s="25" t="inlineStr">
        <is>
          <t>Y</t>
        </is>
      </c>
      <c r="AC46" s="25" t="inlineStr">
        <is>
          <t>Campbell detached two companies (Capt Hall) by canal boat 3 Oct; horse from Manchester reached Wigan 2pm 3 Oct. HO reply 3 Oct acknowledged (HO42-0033). Copy sent to War Office.</t>
        </is>
      </c>
      <c r="AD46" s="25" t="inlineStr">
        <is>
          <t>Approved</t>
        </is>
      </c>
      <c r="AE46" s="25" t="inlineStr">
        <is>
          <t>1792-10-03</t>
        </is>
      </c>
      <c r="AF46" s="25" t="n"/>
      <c r="AG46" s="25" t="n"/>
      <c r="AH46" s="25" t="inlineStr">
        <is>
          <t>Other</t>
        </is>
      </c>
      <c r="AI46" s="25" t="inlineStr">
        <is>
          <t>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is>
      </c>
    </row>
    <row r="47" ht="15" customHeight="1" s="20">
      <c r="A47" s="25" t="inlineStr">
        <is>
          <t>HO42-0046</t>
        </is>
      </c>
      <c r="B47" s="25" t="inlineStr">
        <is>
          <t>E38</t>
        </is>
      </c>
      <c r="C47" s="29" t="inlineStr">
        <is>
          <t>Barracks</t>
        </is>
      </c>
      <c r="D47" s="25" t="inlineStr">
        <is>
          <t>N</t>
        </is>
      </c>
      <c r="E47" s="25" t="inlineStr">
        <is>
          <t>HO 42/22</t>
        </is>
      </c>
      <c r="F47" s="25" t="inlineStr">
        <is>
          <t>HO-42-22_01.pdf</t>
        </is>
      </c>
      <c r="G47" s="25" t="inlineStr">
        <is>
          <t>2-35</t>
        </is>
      </c>
      <c r="H47" s="25" t="inlineStr">
        <is>
          <t>ff.3-24, 119</t>
        </is>
      </c>
      <c r="I47" s="25" t="inlineStr">
        <is>
          <t>Folio stamp</t>
        </is>
      </c>
      <c r="J47" s="25" t="n"/>
      <c r="K47" s="25" t="inlineStr">
        <is>
          <t>Digitised (TNA PDF)</t>
        </is>
      </c>
      <c r="L47" s="25" t="inlineStr">
        <is>
          <t>Key quote only</t>
        </is>
      </c>
      <c r="M47" s="25" t="inlineStr">
        <is>
          <t>"I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is>
      </c>
      <c r="N47" s="25" t="inlineStr">
        <is>
          <t>1 Oct 1792</t>
        </is>
      </c>
      <c r="O47" s="27" t="inlineStr">
        <is>
          <t>1792-10-01</t>
        </is>
      </c>
      <c r="P47" s="25">
        <f>IF(O47="","",VALUE(LEFT(O47,4)))</f>
        <v/>
      </c>
      <c r="Q47" s="25" t="inlineStr">
        <is>
          <t>Norwich (Pockthorpe)</t>
        </is>
      </c>
      <c r="R47" s="25" t="inlineStr">
        <is>
          <t>Norwich</t>
        </is>
      </c>
      <c r="S47" s="25" t="inlineStr">
        <is>
          <t>Norfolk</t>
        </is>
      </c>
      <c r="T47" s="25" t="inlineStr">
        <is>
          <t>Col. Oliver DeLancey to Sir George Yonge, Secretary at War</t>
        </is>
      </c>
      <c r="U47" s="25" t="inlineStr">
        <is>
          <t>Military officer</t>
        </is>
      </c>
      <c r="V47" s="25" t="inlineStr">
        <is>
          <t>Secretary at War (filed in HO 42)</t>
        </is>
      </c>
      <c r="W47" s="25">
        <f>IF(O47="","",INDEX(Lookups!$B$2:$B$47,MATCH(O47,Lookups!$A$2:$A$47,1)))</f>
        <v/>
      </c>
      <c r="X47" s="25" t="inlineStr">
        <is>
          <t>Preventive / general</t>
        </is>
      </c>
      <c r="Y47" s="25" t="n"/>
      <c r="Z47" s="25" t="n"/>
      <c r="AA47" s="25" t="inlineStr">
        <is>
          <t>Barracks for 4 troops of dragoons</t>
        </is>
      </c>
      <c r="AB47" s="25" t="n"/>
      <c r="AC47" s="25" t="n"/>
      <c r="AD47" s="25" t="n"/>
      <c r="AE47" s="25" t="n"/>
      <c r="AF47" s="25" t="n"/>
      <c r="AG47" s="25" t="n"/>
      <c r="AH47" s="25" t="n"/>
      <c r="AI47" s="25" t="inlineStr">
        <is>
          <t>1792 barracks programme (cf. HO42-0038 to 0042). File includes articles of agreement, specification, elevation and ground plan (ff.13-24), and DeLancey instructions to the officer commanding at Norwich (f.119). Norwich had active radical societies in 1792 (HO 42/20_2).</t>
        </is>
      </c>
    </row>
    <row r="48" ht="15" customHeight="1" s="20">
      <c r="A48" s="25" t="inlineStr">
        <is>
          <t>HO42-0047</t>
        </is>
      </c>
      <c r="B48" s="25" t="inlineStr">
        <is>
          <t>E39</t>
        </is>
      </c>
      <c r="C48" s="29" t="inlineStr">
        <is>
          <t>Barracks</t>
        </is>
      </c>
      <c r="D48" s="25" t="inlineStr">
        <is>
          <t>Y</t>
        </is>
      </c>
      <c r="E48" s="25" t="inlineStr">
        <is>
          <t>HO 42/22</t>
        </is>
      </c>
      <c r="F48" s="25" t="inlineStr">
        <is>
          <t>HO-42-22_02.pdf</t>
        </is>
      </c>
      <c r="G48" s="25" t="inlineStr">
        <is>
          <t>94, 108-109</t>
        </is>
      </c>
      <c r="H48" s="25" t="inlineStr">
        <is>
          <t>ff.119, 156-157</t>
        </is>
      </c>
      <c r="I48" s="25" t="inlineStr">
        <is>
          <t>Folio stamp</t>
        </is>
      </c>
      <c r="J48" s="25" t="n"/>
      <c r="K48" s="25" t="inlineStr">
        <is>
          <t>Digitised (TNA PDF)</t>
        </is>
      </c>
      <c r="L48" s="25" t="inlineStr">
        <is>
          <t>Key quote only</t>
        </is>
      </c>
      <c r="M48" s="25" t="inlineStr">
        <is>
          <t>"In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is>
      </c>
      <c r="N48" s="25" t="inlineStr">
        <is>
          <t>12 Oct 1792</t>
        </is>
      </c>
      <c r="O48" s="27" t="inlineStr">
        <is>
          <t>1792-10-12</t>
        </is>
      </c>
      <c r="P48" s="25">
        <f>IF(O48="","",VALUE(LEFT(O48,4)))</f>
        <v/>
      </c>
      <c r="Q48" s="25" t="inlineStr">
        <is>
          <t>London (programme report: Sheffield, Manchester, Nottingham, Birmingham, Coventry, Norwich)</t>
        </is>
      </c>
      <c r="R48" s="25" t="inlineStr">
        <is>
          <t>[National programme]</t>
        </is>
      </c>
      <c r="S48" s="25" t="inlineStr">
        <is>
          <t>[Multiple]</t>
        </is>
      </c>
      <c r="T48" s="25" t="inlineStr">
        <is>
          <t>Col. Oliver DeLancey</t>
        </is>
      </c>
      <c r="U48" s="25" t="inlineStr">
        <is>
          <t>Military officer</t>
        </is>
      </c>
      <c r="V48" s="25" t="inlineStr">
        <is>
          <t>Government (report)</t>
        </is>
      </c>
      <c r="W48" s="25">
        <f>IF(O48="","",INDEX(Lookups!$B$2:$B$48,MATCH(O48,Lookups!$A$2:$A$48,1)))</f>
        <v/>
      </c>
      <c r="X48" s="25" t="inlineStr">
        <is>
          <t>Preventive / general</t>
        </is>
      </c>
      <c r="Y48" s="25" t="n"/>
      <c r="Z48" s="25" t="n"/>
      <c r="AA48" s="25" t="n"/>
      <c r="AB48" s="25" t="n"/>
      <c r="AC48" s="25" t="n"/>
      <c r="AD48" s="25" t="n"/>
      <c r="AE48" s="25" t="n"/>
      <c r="AF48" s="25" t="n"/>
      <c r="AG48" s="25" t="n"/>
      <c r="AH48" s="25" t="n"/>
      <c r="AI48" s="25" t="inlineStr">
        <is>
          <t>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is>
      </c>
    </row>
    <row r="49" ht="15" customHeight="1" s="20">
      <c r="A49" s="25" t="inlineStr">
        <is>
          <t>HO42-0048</t>
        </is>
      </c>
      <c r="B49" s="25" t="inlineStr">
        <is>
          <t>E40</t>
        </is>
      </c>
      <c r="C49" s="26" t="inlineStr">
        <is>
          <t>Request for troops</t>
        </is>
      </c>
      <c r="D49" s="25" t="inlineStr">
        <is>
          <t>Y</t>
        </is>
      </c>
      <c r="E49" s="25" t="inlineStr">
        <is>
          <t>HO 42/22</t>
        </is>
      </c>
      <c r="F49" s="25" t="inlineStr">
        <is>
          <t>HO-42-22_03.pdf</t>
        </is>
      </c>
      <c r="G49" s="25" t="inlineStr">
        <is>
          <t>7, 9</t>
        </is>
      </c>
      <c r="H49" s="25" t="inlineStr">
        <is>
          <t>f.165 (148)</t>
        </is>
      </c>
      <c r="I49" s="25" t="inlineStr">
        <is>
          <t>Folio stamp</t>
        </is>
      </c>
      <c r="J49" s="25" t="n"/>
      <c r="K49" s="25" t="inlineStr">
        <is>
          <t>Digitised (TNA PDF)</t>
        </is>
      </c>
      <c r="L49" s="25" t="inlineStr">
        <is>
          <t>Key quote only</t>
        </is>
      </c>
      <c r="M49" s="25" t="inlineStr">
        <is>
          <t>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is>
      </c>
      <c r="N49" s="25" t="inlineStr">
        <is>
          <t>15 Oct 1792</t>
        </is>
      </c>
      <c r="O49" s="27" t="inlineStr">
        <is>
          <t>1792-10-15</t>
        </is>
      </c>
      <c r="P49" s="25">
        <f>IF(O49="","",VALUE(LEFT(O49,4)))</f>
        <v/>
      </c>
      <c r="Q49" s="25" t="inlineStr">
        <is>
          <t>Leicester</t>
        </is>
      </c>
      <c r="R49" s="25" t="inlineStr">
        <is>
          <t>Leicester</t>
        </is>
      </c>
      <c r="S49" s="25" t="inlineStr">
        <is>
          <t>Leicestershire</t>
        </is>
      </c>
      <c r="T49" s="25" t="inlineStr">
        <is>
          <t>Mayor of Leicester (with fellow Justices)</t>
        </is>
      </c>
      <c r="U49" s="25" t="inlineStr">
        <is>
          <t>Mayor / corporation</t>
        </is>
      </c>
      <c r="V49" s="25" t="inlineStr">
        <is>
          <t>Secretary at War (extract filed in HO 42)</t>
        </is>
      </c>
      <c r="W49" s="25">
        <f>IF(O49="","",INDEX(Lookups!$B$2:$B$49,MATCH(O49,Lookups!$A$2:$A$49,1)))</f>
        <v/>
      </c>
      <c r="X49" s="25" t="inlineStr">
        <is>
          <t>Food / provisions</t>
        </is>
      </c>
      <c r="Y49" s="25" t="inlineStr">
        <is>
          <t>Pre-emptive</t>
        </is>
      </c>
      <c r="Z49" s="25" t="inlineStr">
        <is>
          <t>Y</t>
        </is>
      </c>
      <c r="AA49" s="25" t="inlineStr">
        <is>
          <t>Military to remain/be stationed in the town</t>
        </is>
      </c>
      <c r="AB49" s="25" t="inlineStr">
        <is>
          <t>Unclear</t>
        </is>
      </c>
      <c r="AC49" s="25" t="n"/>
      <c r="AD49" s="25" t="n"/>
      <c r="AE49" s="25" t="n"/>
      <c r="AF49" s="25" t="n"/>
      <c r="AG49" s="25" t="n"/>
      <c r="AH49" s="25" t="n"/>
      <c r="AI49" s="25" t="inlineStr">
        <is>
          <t>ROUTE: to Secretary at War; extract forwarded to HO. Mixes food/fuel prices and radical slogans ('Liberty &amp; Equality'). Refers to an earlier recent riot in Leicester - CHECK. Same town as July 1791 request (HO42-0026) but different episode.</t>
        </is>
      </c>
    </row>
    <row r="50" ht="15" customHeight="1" s="20">
      <c r="A50" s="25" t="inlineStr">
        <is>
          <t>HO42-0049</t>
        </is>
      </c>
      <c r="B50" s="25" t="inlineStr">
        <is>
          <t>E41</t>
        </is>
      </c>
      <c r="C50" s="26" t="inlineStr">
        <is>
          <t>Request for troops</t>
        </is>
      </c>
      <c r="D50" s="25" t="inlineStr">
        <is>
          <t>N</t>
        </is>
      </c>
      <c r="E50" s="25" t="inlineStr">
        <is>
          <t>HO 42/22</t>
        </is>
      </c>
      <c r="F50" s="25" t="inlineStr">
        <is>
          <t>HO-42-22_03.pdf</t>
        </is>
      </c>
      <c r="G50" s="25" t="inlineStr">
        <is>
          <t>79</t>
        </is>
      </c>
      <c r="H50" s="25" t="inlineStr">
        <is>
          <t>f.209 (189)</t>
        </is>
      </c>
      <c r="I50" s="25" t="inlineStr">
        <is>
          <t>Folio stamp</t>
        </is>
      </c>
      <c r="J50" s="25" t="n"/>
      <c r="K50" s="25" t="inlineStr">
        <is>
          <t>Digitised (TNA PDF)</t>
        </is>
      </c>
      <c r="L50" s="25" t="inlineStr">
        <is>
          <t>Key quote only</t>
        </is>
      </c>
      <c r="M50" s="25" t="inlineStr">
        <is>
          <t>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is>
      </c>
      <c r="N50" s="25" t="inlineStr">
        <is>
          <t>29-30 Oct 1792</t>
        </is>
      </c>
      <c r="O50" s="27" t="inlineStr">
        <is>
          <t>1792-10-29</t>
        </is>
      </c>
      <c r="P50" s="25">
        <f>IF(O50="","",VALUE(LEFT(O50,4)))</f>
        <v/>
      </c>
      <c r="Q50" s="25" t="inlineStr">
        <is>
          <t>Great Yarmouth (letter from Norwich)</t>
        </is>
      </c>
      <c r="R50" s="25" t="inlineStr">
        <is>
          <t>Great Yarmouth</t>
        </is>
      </c>
      <c r="S50" s="25" t="inlineStr">
        <is>
          <t>Norfolk</t>
        </is>
      </c>
      <c r="T50" s="25" t="inlineStr">
        <is>
          <t>Mayor &amp; Magistrates of Yarmouth (requisition); reported by Capt M. Agnew, 11th Dragoons</t>
        </is>
      </c>
      <c r="U50" s="25" t="inlineStr">
        <is>
          <t>Mayor / corporation</t>
        </is>
      </c>
      <c r="V50" s="25" t="inlineStr">
        <is>
          <t>Local commander (Capt Agnew, Norwich)</t>
        </is>
      </c>
      <c r="W50" s="25">
        <f>IF(O50="","",INDEX(Lookups!$B$2:$B$50,MATCH(O50,Lookups!$A$2:$A$50,1)))</f>
        <v/>
      </c>
      <c r="X50" s="25" t="inlineStr">
        <is>
          <t>Labour / industrial</t>
        </is>
      </c>
      <c r="Y50" s="25" t="inlineStr">
        <is>
          <t>Actual</t>
        </is>
      </c>
      <c r="Z50" s="25" t="inlineStr">
        <is>
          <t>Unclear</t>
        </is>
      </c>
      <c r="AA50" s="25" t="inlineStr">
        <is>
          <t>Reinforcement of dragoons; detachment of 2 officers + 35 dragoons</t>
        </is>
      </c>
      <c r="AB50" s="25" t="inlineStr">
        <is>
          <t>Y</t>
        </is>
      </c>
      <c r="AC50" s="25" t="inlineStr">
        <is>
          <t>Reinforcement ordered immediately by local commander; HO/War Office route for a detachment to Yarmouth also received.</t>
        </is>
      </c>
      <c r="AD50" s="25" t="inlineStr">
        <is>
          <t>Approved</t>
        </is>
      </c>
      <c r="AE50" s="25" t="n"/>
      <c r="AF50" s="25" t="n"/>
      <c r="AG50" s="25" t="n"/>
      <c r="AH50" s="25" t="inlineStr">
        <is>
          <t>Other</t>
        </is>
      </c>
      <c r="AI50" s="25" t="inlineStr">
        <is>
          <t>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is>
      </c>
    </row>
    <row r="51" ht="15" customHeight="1" s="20">
      <c r="A51" s="25" t="inlineStr">
        <is>
          <t>HO42-0050</t>
        </is>
      </c>
      <c r="B51" s="25" t="inlineStr">
        <is>
          <t>E42</t>
        </is>
      </c>
      <c r="C51" s="26" t="inlineStr">
        <is>
          <t>Request for troops</t>
        </is>
      </c>
      <c r="D51" s="25" t="inlineStr">
        <is>
          <t>N</t>
        </is>
      </c>
      <c r="E51" s="25" t="inlineStr">
        <is>
          <t>HO 42/22</t>
        </is>
      </c>
      <c r="F51" s="25" t="inlineStr">
        <is>
          <t>HO-42-22_04.pdf</t>
        </is>
      </c>
      <c r="G51" s="25" t="inlineStr">
        <is>
          <t>35-42, 63</t>
        </is>
      </c>
      <c r="H51" s="25" t="inlineStr">
        <is>
          <t>ff.247-252, 274</t>
        </is>
      </c>
      <c r="I51" s="25" t="inlineStr">
        <is>
          <t>Folio stamp</t>
        </is>
      </c>
      <c r="J51" s="25" t="n"/>
      <c r="K51" s="25" t="inlineStr">
        <is>
          <t>Digitised (TNA PDF)</t>
        </is>
      </c>
      <c r="L51" s="25" t="inlineStr">
        <is>
          <t>Key quote only</t>
        </is>
      </c>
      <c r="M51" s="25" t="inlineStr">
        <is>
          <t>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is>
      </c>
      <c r="N51" s="25" t="inlineStr">
        <is>
          <t>3 Nov 1792</t>
        </is>
      </c>
      <c r="O51" s="27" t="inlineStr">
        <is>
          <t>1792-11-03</t>
        </is>
      </c>
      <c r="P51" s="25">
        <f>IF(O51="","",VALUE(LEFT(O51,4)))</f>
        <v/>
      </c>
      <c r="Q51" s="25" t="inlineStr">
        <is>
          <t>North &amp; South Shields, River Tyne</t>
        </is>
      </c>
      <c r="R51" s="25" t="inlineStr">
        <is>
          <t>North Shields</t>
        </is>
      </c>
      <c r="S51" s="25" t="inlineStr">
        <is>
          <t>Northumberland / Durham</t>
        </is>
      </c>
      <c r="T51" s="25" t="inlineStr">
        <is>
          <t>R. Burdon (Castle Eden) / Shields correspondents (copy to Pitt)</t>
        </is>
      </c>
      <c r="U51" s="25" t="inlineStr">
        <is>
          <t>Private individual</t>
        </is>
      </c>
      <c r="V51" s="25" t="inlineStr">
        <is>
          <t>William Pitt (copy); Home Office</t>
        </is>
      </c>
      <c r="W51" s="25">
        <f>IF(O51="","",INDEX(Lookups!$B$2:$B$51,MATCH(O51,Lookups!$A$2:$A$51,1)))</f>
        <v/>
      </c>
      <c r="X51" s="25" t="inlineStr">
        <is>
          <t>Labour / industrial</t>
        </is>
      </c>
      <c r="Y51" s="25" t="inlineStr">
        <is>
          <t>Actual</t>
        </is>
      </c>
      <c r="Z51" s="25" t="inlineStr">
        <is>
          <t>Unclear</t>
        </is>
      </c>
      <c r="AA51" s="25" t="inlineStr">
        <is>
          <t>Military and naval support (implied)</t>
        </is>
      </c>
      <c r="AB51" s="25" t="inlineStr">
        <is>
          <t>Y</t>
        </is>
      </c>
      <c r="AC51" s="25" t="inlineStr">
        <is>
          <t>Three companies of 57th Regt from Tynemouth Barracks + Martin sloop ordered; Mayor of Newcastle and Mr Bulmer of Shields informed.</t>
        </is>
      </c>
      <c r="AD51" s="25" t="inlineStr">
        <is>
          <t>Approved</t>
        </is>
      </c>
      <c r="AE51" s="25" t="inlineStr">
        <is>
          <t>1792-11-05</t>
        </is>
      </c>
      <c r="AF51" s="25" t="inlineStr">
        <is>
          <t>Whitehall</t>
        </is>
      </c>
      <c r="AG51" s="25" t="inlineStr">
        <is>
          <t>Evan Nepean</t>
        </is>
      </c>
      <c r="AH51" s="25" t="inlineStr">
        <is>
          <t>Other</t>
        </is>
      </c>
      <c r="AI51" s="25" t="inlineStr">
        <is>
          <t>Seamen's wage strike (Tyne), Oct-Nov 1792. CHECK writer of the 3 Nov copy and whether an explicit request for troops is made (letter is long, ff.247-252, only first page read). Tynemouth Barracks already existed.</t>
        </is>
      </c>
    </row>
    <row r="52" ht="15" customHeight="1" s="20">
      <c r="A52" s="25" t="inlineStr">
        <is>
          <t>HO42-0051</t>
        </is>
      </c>
      <c r="B52" s="25" t="inlineStr">
        <is>
          <t>E42</t>
        </is>
      </c>
      <c r="C52" s="26" t="inlineStr">
        <is>
          <t>Request for troops</t>
        </is>
      </c>
      <c r="D52" s="25" t="inlineStr">
        <is>
          <t>Y</t>
        </is>
      </c>
      <c r="E52" s="25" t="inlineStr">
        <is>
          <t>HO 42/22</t>
        </is>
      </c>
      <c r="F52" s="25" t="inlineStr">
        <is>
          <t>HO-42-22_05.pdf</t>
        </is>
      </c>
      <c r="G52" s="25" t="inlineStr">
        <is>
          <t>3, 36-37, 69, 71-72</t>
        </is>
      </c>
      <c r="H52" s="25" t="inlineStr">
        <is>
          <t>ff.283, 312-313, 315-316, 320</t>
        </is>
      </c>
      <c r="I52" s="25" t="inlineStr">
        <is>
          <t>Folio stamp</t>
        </is>
      </c>
      <c r="J52" s="25" t="n"/>
      <c r="K52" s="25" t="inlineStr">
        <is>
          <t>Digitised (TNA PDF)</t>
        </is>
      </c>
      <c r="L52" s="25" t="inlineStr">
        <is>
          <t>Key quote only</t>
        </is>
      </c>
      <c r="M52" s="25" t="inlineStr">
        <is>
          <t>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is>
      </c>
      <c r="N52" s="25" t="inlineStr">
        <is>
          <t>8 Nov 1792</t>
        </is>
      </c>
      <c r="O52" s="27" t="inlineStr">
        <is>
          <t>1792-11-08</t>
        </is>
      </c>
      <c r="P52" s="25">
        <f>IF(O52="","",VALUE(LEFT(O52,4)))</f>
        <v/>
      </c>
      <c r="Q52" s="25" t="inlineStr">
        <is>
          <t>Newcastle upon Tyne / South Shields</t>
        </is>
      </c>
      <c r="R52" s="25" t="inlineStr">
        <is>
          <t>Newcastle upon Tyne</t>
        </is>
      </c>
      <c r="S52" s="25" t="inlineStr">
        <is>
          <t>Northumberland</t>
        </is>
      </c>
      <c r="T52" s="25" t="inlineStr">
        <is>
          <t>James Rudman, Mayor of Newcastle, for general meeting of magistrates of Durham, Northumberland and Newcastle</t>
        </is>
      </c>
      <c r="U52" s="25" t="inlineStr">
        <is>
          <t>Mayor / corporation</t>
        </is>
      </c>
      <c r="V52" s="25" t="inlineStr">
        <is>
          <t>Evan Nepean (Under-Secretary)</t>
        </is>
      </c>
      <c r="W52" s="25">
        <f>IF(O52="","",INDEX(Lookups!$B$2:$B$52,MATCH(O52,Lookups!$A$2:$A$52,1)))</f>
        <v/>
      </c>
      <c r="X52" s="25" t="inlineStr">
        <is>
          <t>Labour / industrial</t>
        </is>
      </c>
      <c r="Y52" s="25" t="inlineStr">
        <is>
          <t>Actual</t>
        </is>
      </c>
      <c r="Z52" s="25" t="inlineStr">
        <is>
          <t>Y</t>
        </is>
      </c>
      <c r="AA52" s="25" t="inlineStr">
        <is>
          <t>Detachment from York; a frigate or sloop with marines; 3-4 companies of foot</t>
        </is>
      </c>
      <c r="AB52" s="25" t="inlineStr">
        <is>
          <t>Y</t>
        </is>
      </c>
      <c r="AC52" s="25" t="inlineStr">
        <is>
          <t>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is>
      </c>
      <c r="AD52" s="25" t="inlineStr">
        <is>
          <t>Approved</t>
        </is>
      </c>
      <c r="AE52" s="25" t="inlineStr">
        <is>
          <t>1792-11-10</t>
        </is>
      </c>
      <c r="AF52" s="25" t="inlineStr">
        <is>
          <t>Whitehall</t>
        </is>
      </c>
      <c r="AG52" s="25" t="inlineStr">
        <is>
          <t>Evan Nepean (for Lord Grenville)</t>
        </is>
      </c>
      <c r="AH52" s="25" t="inlineStr">
        <is>
          <t>Other</t>
        </is>
      </c>
      <c r="AI52" s="25" t="inlineStr">
        <is>
          <t>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is>
      </c>
    </row>
    <row r="53" ht="15" customHeight="1" s="20">
      <c r="A53" s="25" t="inlineStr">
        <is>
          <t>HO42-0052</t>
        </is>
      </c>
      <c r="B53" s="25" t="inlineStr">
        <is>
          <t>E43</t>
        </is>
      </c>
      <c r="C53" s="28" t="inlineStr">
        <is>
          <t>Corps founded</t>
        </is>
      </c>
      <c r="D53" s="25" t="inlineStr">
        <is>
          <t>Y</t>
        </is>
      </c>
      <c r="E53" s="25" t="inlineStr">
        <is>
          <t>HO 42/22</t>
        </is>
      </c>
      <c r="F53" s="25" t="inlineStr">
        <is>
          <t>HO-42-22_06.pdf</t>
        </is>
      </c>
      <c r="G53" s="25" t="inlineStr">
        <is>
          <t>54-61</t>
        </is>
      </c>
      <c r="H53" s="25" t="inlineStr">
        <is>
          <t>ff.401-</t>
        </is>
      </c>
      <c r="I53" s="25" t="inlineStr">
        <is>
          <t>Folio stamp</t>
        </is>
      </c>
      <c r="J53" s="25" t="n"/>
      <c r="K53" s="25" t="inlineStr">
        <is>
          <t>Digitised (TNA PDF)</t>
        </is>
      </c>
      <c r="L53" s="25" t="inlineStr">
        <is>
          <t>Key quote only</t>
        </is>
      </c>
      <c r="M53" s="25" t="inlineStr">
        <is>
          <t>"ANTE-LEVELLING SOCIETY instituted For supporting the Civil Power in suppressing Tumults and For maintaining the Constitutional Government of this Country in King, Lords and Commons"</t>
        </is>
      </c>
      <c r="N53" s="25" t="inlineStr">
        <is>
          <t>17 Nov 1792</t>
        </is>
      </c>
      <c r="O53" s="27" t="inlineStr">
        <is>
          <t>1792-11-17</t>
        </is>
      </c>
      <c r="P53" s="25">
        <f>IF(O53="","",VALUE(LEFT(O53,4)))</f>
        <v/>
      </c>
      <c r="Q53" s="25" t="inlineStr">
        <is>
          <t>Ipswich (inferred from HO draft reply to Chas. [?], Ipswich, 17 Nov)</t>
        </is>
      </c>
      <c r="R53" s="25" t="inlineStr">
        <is>
          <t>Ipswich</t>
        </is>
      </c>
      <c r="S53" s="25" t="inlineStr">
        <is>
          <t>Suffolk</t>
        </is>
      </c>
      <c r="T53" s="25" t="inlineStr">
        <is>
          <t>Charles Stisted (Ipswich), forwarding Society resolutions</t>
        </is>
      </c>
      <c r="U53" s="25" t="inlineStr">
        <is>
          <t>Loyalist association</t>
        </is>
      </c>
      <c r="V53" s="25" t="inlineStr">
        <is>
          <t>Home Office</t>
        </is>
      </c>
      <c r="W53" s="25">
        <f>IF(O53="","",INDEX(Lookups!$B$2:$B$53,MATCH(O53,Lookups!$A$2:$A$53,1)))</f>
        <v/>
      </c>
      <c r="X53" s="25" t="inlineStr">
        <is>
          <t>Radical / political</t>
        </is>
      </c>
      <c r="Y53" s="25" t="n"/>
      <c r="Z53" s="25" t="n"/>
      <c r="AA53" s="25" t="n"/>
      <c r="AB53" s="25" t="n"/>
      <c r="AC53" s="25" t="n"/>
      <c r="AD53" s="25" t="n"/>
      <c r="AE53" s="25" t="n"/>
      <c r="AF53" s="25" t="n"/>
      <c r="AG53" s="25" t="n"/>
      <c r="AH53" s="25" t="n"/>
      <c r="AI53" s="25" t="inlineStr">
        <is>
          <t>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is>
      </c>
    </row>
    <row r="54" ht="15" customHeight="1" s="20">
      <c r="A54" s="25" t="inlineStr">
        <is>
          <t>HO42-0053</t>
        </is>
      </c>
      <c r="B54" s="25" t="inlineStr">
        <is>
          <t>E44</t>
        </is>
      </c>
      <c r="C54" s="26" t="inlineStr">
        <is>
          <t>Request for troops</t>
        </is>
      </c>
      <c r="D54" s="25" t="inlineStr">
        <is>
          <t>N</t>
        </is>
      </c>
      <c r="E54" s="25" t="inlineStr">
        <is>
          <t>HO 42/23</t>
        </is>
      </c>
      <c r="F54" s="25" t="inlineStr">
        <is>
          <t>HO-42-23_05.pdf</t>
        </is>
      </c>
      <c r="G54" s="25" t="inlineStr">
        <is>
          <t>97-98</t>
        </is>
      </c>
      <c r="H54" s="25" t="inlineStr">
        <is>
          <t>ff.370-371</t>
        </is>
      </c>
      <c r="I54" s="25" t="inlineStr">
        <is>
          <t>Folio stamp</t>
        </is>
      </c>
      <c r="J54" s="25" t="n"/>
      <c r="K54" s="25" t="inlineStr">
        <is>
          <t>Digitised (TNA PDF)</t>
        </is>
      </c>
      <c r="L54" s="25" t="inlineStr">
        <is>
          <t>Key quote only</t>
        </is>
      </c>
      <c r="M54" s="25" t="inlineStr">
        <is>
          <t>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is>
      </c>
      <c r="N54" s="25" t="inlineStr">
        <is>
          <t>14 Dec 1792</t>
        </is>
      </c>
      <c r="O54" s="27" t="inlineStr">
        <is>
          <t>1792-12-14</t>
        </is>
      </c>
      <c r="P54" s="25">
        <f>IF(O54="","",VALUE(LEFT(O54,4)))</f>
        <v/>
      </c>
      <c r="Q54" s="25" t="inlineStr">
        <is>
          <t>Pencarrow near Bodmin (re Wadebridge/Padstow &amp; West Cornwall mining country)</t>
        </is>
      </c>
      <c r="R54" s="25" t="inlineStr">
        <is>
          <t>Wadebridge</t>
        </is>
      </c>
      <c r="S54" s="25" t="inlineStr">
        <is>
          <t>Cornwall</t>
        </is>
      </c>
      <c r="T54" s="25" t="inlineStr">
        <is>
          <t>W. Molesworth</t>
        </is>
      </c>
      <c r="U54" s="25" t="inlineStr">
        <is>
          <t>Magistrate / JP</t>
        </is>
      </c>
      <c r="V54" s="25" t="inlineStr">
        <is>
          <t>Home Office (copy filed)</t>
        </is>
      </c>
      <c r="W54" s="25">
        <f>IF(O54="","",INDEX(Lookups!$B$2:$B$54,MATCH(O54,Lookups!$A$2:$A$54,1)))</f>
        <v/>
      </c>
      <c r="X54" s="25" t="inlineStr">
        <is>
          <t>Food / provisions</t>
        </is>
      </c>
      <c r="Y54" s="25" t="inlineStr">
        <is>
          <t>Contingent</t>
        </is>
      </c>
      <c r="Z54" s="25" t="inlineStr">
        <is>
          <t>Unclear</t>
        </is>
      </c>
      <c r="AA54" s="25" t="inlineStr">
        <is>
          <t>Asks for instructions in case of riot (no force named)</t>
        </is>
      </c>
      <c r="AB54" s="25" t="inlineStr">
        <is>
          <t>Unclear</t>
        </is>
      </c>
      <c r="AC54" s="25" t="n"/>
      <c r="AD54" s="25" t="n"/>
      <c r="AE54" s="25" t="n"/>
      <c r="AF54" s="25" t="n"/>
      <c r="AG54" s="25" t="n"/>
      <c r="AH54" s="25" t="n"/>
      <c r="AI54" s="25" t="inlineStr">
        <is>
          <t>BORDERLINE: request for guidance, not explicit troop request. Shows gentry buying corn to pre-empt miners' food riot. Writer role (JP) inferred - CHECK. | Original also at HO 42/23_06 f.387.</t>
        </is>
      </c>
    </row>
    <row r="55" ht="15" customHeight="1" s="20">
      <c r="A55" s="25" t="inlineStr">
        <is>
          <t>HO42-0054</t>
        </is>
      </c>
      <c r="B55" s="25" t="inlineStr">
        <is>
          <t>E45</t>
        </is>
      </c>
      <c r="C55" s="28" t="inlineStr">
        <is>
          <t>Corps founded</t>
        </is>
      </c>
      <c r="D55" s="25" t="inlineStr">
        <is>
          <t>N</t>
        </is>
      </c>
      <c r="E55" s="25" t="inlineStr">
        <is>
          <t>HO 42/23</t>
        </is>
      </c>
      <c r="F55" s="25" t="inlineStr">
        <is>
          <t>HO-42-23_08.pdf</t>
        </is>
      </c>
      <c r="G55" s="25" t="inlineStr">
        <is>
          <t>66</t>
        </is>
      </c>
      <c r="H55" s="25" t="inlineStr">
        <is>
          <t>f.537</t>
        </is>
      </c>
      <c r="I55" s="25" t="inlineStr">
        <is>
          <t>Folio stamp</t>
        </is>
      </c>
      <c r="J55" s="25" t="n"/>
      <c r="K55" s="25" t="inlineStr">
        <is>
          <t>Digitised (TNA PDF)</t>
        </is>
      </c>
      <c r="L55" s="25" t="inlineStr">
        <is>
          <t>Key quote only</t>
        </is>
      </c>
      <c r="M55" s="25" t="inlineStr">
        <is>
          <t>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is>
      </c>
      <c r="N55" s="25" t="inlineStr">
        <is>
          <t>21-26 Dec 1792</t>
        </is>
      </c>
      <c r="O55" s="27" t="inlineStr">
        <is>
          <t>1792-12-21</t>
        </is>
      </c>
      <c r="P55" s="25">
        <f>IF(O55="","",VALUE(LEFT(O55,4)))</f>
        <v/>
      </c>
      <c r="Q55" s="25" t="inlineStr">
        <is>
          <t>Cornwall &amp; Devon</t>
        </is>
      </c>
      <c r="R55" s="25" t="inlineStr">
        <is>
          <t>[Cornwall/Devon coast]</t>
        </is>
      </c>
      <c r="S55" s="25" t="inlineStr">
        <is>
          <t>Cornwall</t>
        </is>
      </c>
      <c r="T55" s="25" t="inlineStr">
        <is>
          <t>Mr Grenfell, via Earl of Mount Edgcumbe (Lord Lieutenant of Cornwall)</t>
        </is>
      </c>
      <c r="U55" s="25" t="inlineStr">
        <is>
          <t>Private individual</t>
        </is>
      </c>
      <c r="V55" s="25" t="inlineStr">
        <is>
          <t>Henry Dundas</t>
        </is>
      </c>
      <c r="W55" s="25">
        <f>IF(O55="","",INDEX(Lookups!$B$2:$B$55,MATCH(O55,Lookups!$A$2:$A$55,1)))</f>
        <v/>
      </c>
      <c r="X55" s="25" t="inlineStr">
        <is>
          <t>Preventive / general</t>
        </is>
      </c>
      <c r="Y55" s="25" t="n"/>
      <c r="Z55" s="25" t="n"/>
      <c r="AA55" s="25" t="n"/>
      <c r="AB55" s="25" t="n"/>
      <c r="AC55" s="25" t="inlineStr">
        <is>
          <t>Deferred: to be submitted to Ministers if circumstances require, pending detailed plan.</t>
        </is>
      </c>
      <c r="AD55" s="25" t="inlineStr">
        <is>
          <t>Unknown</t>
        </is>
      </c>
      <c r="AE55" s="25" t="inlineStr">
        <is>
          <t>1792-12-26</t>
        </is>
      </c>
      <c r="AF55" s="25" t="inlineStr">
        <is>
          <t>Whitehall</t>
        </is>
      </c>
      <c r="AG55" s="25" t="inlineStr">
        <is>
          <t>Henry Dundas</t>
        </is>
      </c>
      <c r="AH55" s="25" t="inlineStr">
        <is>
          <t>Other</t>
        </is>
      </c>
      <c r="AI55" s="25" t="inlineStr">
        <is>
          <t>EXTERNAL DEFENCE (coast), not internal order - include for completeness; low relevance unless corps later used against riots. Grenfell likely Pascoe Grenfell (Cornish mining/merchant) - CHECK. Same file p.69 (f.539): a Highland corps proposal (Scotland, out of scope).</t>
        </is>
      </c>
    </row>
    <row r="56" ht="15" customHeight="1" s="20">
      <c r="A56" s="25" t="inlineStr">
        <is>
          <t>HO42-0055</t>
        </is>
      </c>
      <c r="B56" s="25" t="inlineStr">
        <is>
          <t>E46</t>
        </is>
      </c>
      <c r="C56" s="26" t="inlineStr">
        <is>
          <t>Request for troops</t>
        </is>
      </c>
      <c r="D56" s="25" t="inlineStr">
        <is>
          <t>N</t>
        </is>
      </c>
      <c r="E56" s="25" t="inlineStr">
        <is>
          <t>HO 42/23</t>
        </is>
      </c>
      <c r="F56" s="25" t="inlineStr">
        <is>
          <t>HO-42-23_11.pdf</t>
        </is>
      </c>
      <c r="G56" s="25" t="inlineStr">
        <is>
          <t>31, 37-38</t>
        </is>
      </c>
      <c r="H56" s="25" t="inlineStr">
        <is>
          <t>ff.737, 743-744</t>
        </is>
      </c>
      <c r="I56" s="25" t="inlineStr">
        <is>
          <t>Folio stamp</t>
        </is>
      </c>
      <c r="J56" s="25" t="n"/>
      <c r="K56" s="25" t="inlineStr">
        <is>
          <t>Digitised (TNA PDF)</t>
        </is>
      </c>
      <c r="L56" s="25" t="inlineStr">
        <is>
          <t>Key quote only</t>
        </is>
      </c>
      <c r="M56" s="25" t="inlineStr">
        <is>
          <t>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is>
      </c>
      <c r="N56" s="25" t="inlineStr">
        <is>
          <t>20 Jan 1793</t>
        </is>
      </c>
      <c r="O56" s="27" t="inlineStr">
        <is>
          <t>1793-01-20</t>
        </is>
      </c>
      <c r="P56" s="25">
        <f>IF(O56="","",VALUE(LEFT(O56,4)))</f>
        <v/>
      </c>
      <c r="Q56" s="25" t="inlineStr">
        <is>
          <t>St Austell</t>
        </is>
      </c>
      <c r="R56" s="25" t="inlineStr">
        <is>
          <t>St Austell</t>
        </is>
      </c>
      <c r="S56" s="25" t="inlineStr">
        <is>
          <t>Cornwall</t>
        </is>
      </c>
      <c r="T56" s="25" t="inlineStr">
        <is>
          <t>Unidentified St Austell correspondent (signature not read) to the Earl of Mount Edgcumbe (inferred, Lord Lieutenant)</t>
        </is>
      </c>
      <c r="U56" s="25" t="inlineStr">
        <is>
          <t>Magistrate / JP</t>
        </is>
      </c>
      <c r="V56" s="25" t="inlineStr">
        <is>
          <t>Lord Lieutenant (forwarded to HO)</t>
        </is>
      </c>
      <c r="W56" s="25">
        <f>IF(O56="","",INDEX(Lookups!$B$2:$B$56,MATCH(O56,Lookups!$A$2:$A$56,1)))</f>
        <v/>
      </c>
      <c r="X56" s="25" t="inlineStr">
        <is>
          <t>Food / provisions</t>
        </is>
      </c>
      <c r="Y56" s="25" t="inlineStr">
        <is>
          <t>Pre-emptive</t>
        </is>
      </c>
      <c r="Z56" s="25" t="inlineStr">
        <is>
          <t>Unclear</t>
        </is>
      </c>
      <c r="AA56" s="25" t="inlineStr">
        <is>
          <t>"some Military at Hand"</t>
        </is>
      </c>
      <c r="AB56" s="25" t="inlineStr">
        <is>
          <t>N</t>
        </is>
      </c>
      <c r="AC56" s="25" t="n"/>
      <c r="AD56" s="25" t="n"/>
      <c r="AE56" s="25" t="n"/>
      <c r="AF56" s="25" t="n"/>
      <c r="AG56" s="25" t="n"/>
      <c r="AH56" s="25" t="n"/>
      <c r="AI56" s="25" t="inlineStr">
        <is>
          <t>Tinners' market price-regulation, Jan 1793 (with Penryn/Bodmin-area corn concealment - Penryn letter 23 Jan f.737). ROUTE: via Lord Lieutenant. CHECK writer and role. Continues Cornwall corn issue (HO42-0053).</t>
        </is>
      </c>
    </row>
    <row r="57" ht="15" customHeight="1" s="20">
      <c r="A57" s="25" t="inlineStr">
        <is>
          <t>HO42-0056</t>
        </is>
      </c>
      <c r="B57" s="25" t="inlineStr">
        <is>
          <t>E47</t>
        </is>
      </c>
      <c r="C57" s="26" t="inlineStr">
        <is>
          <t>Request for troops</t>
        </is>
      </c>
      <c r="D57" s="25" t="inlineStr">
        <is>
          <t>N</t>
        </is>
      </c>
      <c r="E57" s="25" t="inlineStr">
        <is>
          <t>HO 42/23</t>
        </is>
      </c>
      <c r="F57" s="25" t="inlineStr">
        <is>
          <t>HO-42-23_11.pdf</t>
        </is>
      </c>
      <c r="G57" s="25" t="inlineStr">
        <is>
          <t>65-66</t>
        </is>
      </c>
      <c r="H57" s="25" t="inlineStr">
        <is>
          <t>ff.770-771</t>
        </is>
      </c>
      <c r="I57" s="25" t="inlineStr">
        <is>
          <t>Folio stamp</t>
        </is>
      </c>
      <c r="J57" s="25" t="n"/>
      <c r="K57" s="25" t="inlineStr">
        <is>
          <t>Digitised (TNA PDF)</t>
        </is>
      </c>
      <c r="L57" s="25" t="inlineStr">
        <is>
          <t>Key quote only</t>
        </is>
      </c>
      <c r="M57" s="25" t="inlineStr">
        <is>
          <t>"Tho'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is>
      </c>
      <c r="N57" s="25" t="inlineStr">
        <is>
          <t>11 Mar 1793</t>
        </is>
      </c>
      <c r="O57" s="27" t="inlineStr">
        <is>
          <t>1793-03-11</t>
        </is>
      </c>
      <c r="P57" s="25">
        <f>IF(O57="","",VALUE(LEFT(O57,4)))</f>
        <v/>
      </c>
      <c r="Q57" s="25" t="inlineStr">
        <is>
          <t>Newcastle upon Tyne</t>
        </is>
      </c>
      <c r="R57" s="25" t="inlineStr">
        <is>
          <t>Newcastle upon Tyne</t>
        </is>
      </c>
      <c r="S57" s="25" t="inlineStr">
        <is>
          <t>Northumberland</t>
        </is>
      </c>
      <c r="T57" s="25" t="inlineStr">
        <is>
          <t>James Rudman (Mayor), John E. Blackett, Jn. Hedley, W. Cramlington, Francis Johnson, Wm Yielder (Aldermen)</t>
        </is>
      </c>
      <c r="U57" s="25" t="inlineStr">
        <is>
          <t>Mayor / corporation</t>
        </is>
      </c>
      <c r="V57" s="25" t="inlineStr">
        <is>
          <t>Henry Dundas</t>
        </is>
      </c>
      <c r="W57" s="25">
        <f>IF(O57="","",INDEX(Lookups!$B$2:$B$57,MATCH(O57,Lookups!$A$2:$A$57,1)))</f>
        <v/>
      </c>
      <c r="X57" s="25" t="inlineStr">
        <is>
          <t>Recruitment / crimping</t>
        </is>
      </c>
      <c r="Y57" s="25" t="inlineStr">
        <is>
          <t>Pre-emptive</t>
        </is>
      </c>
      <c r="Z57" s="25" t="inlineStr">
        <is>
          <t>Unclear</t>
        </is>
      </c>
      <c r="AA57" s="25" t="inlineStr">
        <is>
          <t>Retain detachment of Inniskilling Dragoons</t>
        </is>
      </c>
      <c r="AB57" s="25" t="inlineStr">
        <is>
          <t>Y</t>
        </is>
      </c>
      <c r="AC57" s="25" t="n"/>
      <c r="AD57" s="25" t="n"/>
      <c r="AE57" s="25" t="n"/>
      <c r="AF57" s="25" t="n"/>
      <c r="AG57" s="25" t="n"/>
      <c r="AH57" s="25" t="n"/>
      <c r="AI57" s="25" t="inlineStr">
        <is>
          <t>Request to KEEP troops, to protect impressment of seamen (war with France from Feb 1793). Follows Tyne seamen's strike (E42).</t>
        </is>
      </c>
    </row>
    <row r="58" ht="15" customHeight="1" s="20">
      <c r="A58" s="25" t="inlineStr">
        <is>
          <t>HO42-0057</t>
        </is>
      </c>
      <c r="B58" s="25" t="inlineStr">
        <is>
          <t>E48</t>
        </is>
      </c>
      <c r="C58" s="26" t="inlineStr">
        <is>
          <t>Request for troops</t>
        </is>
      </c>
      <c r="D58" s="25" t="inlineStr">
        <is>
          <t>N</t>
        </is>
      </c>
      <c r="E58" s="25" t="inlineStr">
        <is>
          <t>HO 42/35</t>
        </is>
      </c>
      <c r="F58" s="25" t="inlineStr">
        <is>
          <t>HO-42-35_01.pdf</t>
        </is>
      </c>
      <c r="G58" s="25" t="inlineStr">
        <is>
          <t>11-12</t>
        </is>
      </c>
      <c r="H58" s="25" t="inlineStr">
        <is>
          <t>f.11</t>
        </is>
      </c>
      <c r="I58" s="25" t="inlineStr">
        <is>
          <t>Folio stamp</t>
        </is>
      </c>
      <c r="J58" s="25" t="n"/>
      <c r="K58" s="25" t="inlineStr">
        <is>
          <t>Digitised (TNA PDF)</t>
        </is>
      </c>
      <c r="L58" s="25" t="inlineStr">
        <is>
          <t>Key quote only</t>
        </is>
      </c>
      <c r="M58" s="25" t="inlineStr">
        <is>
          <t>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is>
      </c>
      <c r="N58" s="25" t="inlineStr">
        <is>
          <t>15 Jun 1795</t>
        </is>
      </c>
      <c r="O58" s="27" t="inlineStr">
        <is>
          <t>1795-06-15</t>
        </is>
      </c>
      <c r="P58" s="25">
        <f>IF(O58="","",VALUE(LEFT(O58,4)))</f>
        <v/>
      </c>
      <c r="Q58" s="25" t="inlineStr">
        <is>
          <t>Wakefield</t>
        </is>
      </c>
      <c r="R58" s="25" t="inlineStr">
        <is>
          <t>Wakefield</t>
        </is>
      </c>
      <c r="S58" s="25" t="inlineStr">
        <is>
          <t>Yorkshire (W. Riding)</t>
        </is>
      </c>
      <c r="T58" s="25" t="inlineStr">
        <is>
          <t>Pemberton Milnes</t>
        </is>
      </c>
      <c r="U58" s="25" t="inlineStr">
        <is>
          <t>Magistrate / JP</t>
        </is>
      </c>
      <c r="V58" s="25" t="inlineStr">
        <is>
          <t>Secretary at War (copy sent to HO)</t>
        </is>
      </c>
      <c r="W58" s="25">
        <f>IF(O58="","",INDEX(Lookups!$B$2:$B$58,MATCH(O58,Lookups!$A$2:$A$58,1)))</f>
        <v/>
      </c>
      <c r="X58" s="25" t="inlineStr">
        <is>
          <t>Food / provisions</t>
        </is>
      </c>
      <c r="Y58" s="25" t="inlineStr">
        <is>
          <t>Pre-emptive</t>
        </is>
      </c>
      <c r="Z58" s="25" t="inlineStr">
        <is>
          <t>Unclear</t>
        </is>
      </c>
      <c r="AA58" s="25" t="inlineStr">
        <is>
          <t>Orders for local Volunteer corps to aid civil magistrate</t>
        </is>
      </c>
      <c r="AB58" s="25" t="inlineStr">
        <is>
          <t>Unclear</t>
        </is>
      </c>
      <c r="AC58" s="25" t="n"/>
      <c r="AD58" s="25" t="n"/>
      <c r="AE58" s="25" t="n"/>
      <c r="AF58" s="25" t="n"/>
      <c r="AG58" s="25" t="n"/>
      <c r="AH58" s="25" t="n"/>
      <c r="AI58" s="25" t="inlineStr">
        <is>
          <t>Request to authorise VOLUNTEERS (not regulars) for riot duty - relevant to corps question too. ROUTE: to Secretary at War. Writer role (JP/Deputy Lieutenant) inferred - CHECK.</t>
        </is>
      </c>
    </row>
    <row r="59" ht="15" customHeight="1" s="20">
      <c r="A59" s="25" t="inlineStr">
        <is>
          <t>HO42-0058</t>
        </is>
      </c>
      <c r="B59" s="25" t="inlineStr">
        <is>
          <t>E49</t>
        </is>
      </c>
      <c r="C59" s="26" t="inlineStr">
        <is>
          <t>Request for troops</t>
        </is>
      </c>
      <c r="D59" s="25" t="inlineStr">
        <is>
          <t>Y</t>
        </is>
      </c>
      <c r="E59" s="25" t="inlineStr">
        <is>
          <t>HO 42/35</t>
        </is>
      </c>
      <c r="F59" s="25" t="inlineStr">
        <is>
          <t>HO-42-35_01.pdf</t>
        </is>
      </c>
      <c r="G59" s="25" t="inlineStr">
        <is>
          <t>35-36, 42</t>
        </is>
      </c>
      <c r="H59" s="25" t="inlineStr">
        <is>
          <t>ff.32-33, 37</t>
        </is>
      </c>
      <c r="I59" s="25" t="inlineStr">
        <is>
          <t>Folio stamp</t>
        </is>
      </c>
      <c r="J59" s="25" t="n"/>
      <c r="K59" s="25" t="inlineStr">
        <is>
          <t>Digitised (TNA PDF)</t>
        </is>
      </c>
      <c r="L59" s="25" t="inlineStr">
        <is>
          <t>Key quote only</t>
        </is>
      </c>
      <c r="M59" s="25" t="inlineStr">
        <is>
          <t>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is>
      </c>
      <c r="N59" s="25" t="inlineStr">
        <is>
          <t>22-23 Jun 1795</t>
        </is>
      </c>
      <c r="O59" s="27" t="inlineStr">
        <is>
          <t>1795-06-22</t>
        </is>
      </c>
      <c r="P59" s="25">
        <f>IF(O59="","",VALUE(LEFT(O59,4)))</f>
        <v/>
      </c>
      <c r="Q59" s="25" t="inlineStr">
        <is>
          <t>Birmingham (Snow Hill); Dudley; Bromsgrove</t>
        </is>
      </c>
      <c r="R59" s="25" t="inlineStr">
        <is>
          <t>Birmingham</t>
        </is>
      </c>
      <c r="S59" s="25" t="inlineStr">
        <is>
          <t>Warwickshire</t>
        </is>
      </c>
      <c r="T59" s="25" t="inlineStr">
        <is>
          <t>W. Hicks, R. Spencer, W. Villers (Birmingham magistrates)</t>
        </is>
      </c>
      <c r="U59" s="25" t="inlineStr">
        <is>
          <t>Magistrate / JP</t>
        </is>
      </c>
      <c r="V59" s="25" t="inlineStr">
        <is>
          <t>Duke of Portland</t>
        </is>
      </c>
      <c r="W59" s="25">
        <f>IF(O59="","",INDEX(Lookups!$B$2:$B$59,MATCH(O59,Lookups!$A$2:$A$59,1)))</f>
        <v/>
      </c>
      <c r="X59" s="25" t="inlineStr">
        <is>
          <t>Food / provisions</t>
        </is>
      </c>
      <c r="Y59" s="25" t="inlineStr">
        <is>
          <t>Actual</t>
        </is>
      </c>
      <c r="Z59" s="25" t="inlineStr">
        <is>
          <t>Y</t>
        </is>
      </c>
      <c r="AA59" s="25" t="inlineStr">
        <is>
          <t>Local: Dudley JPs requested 2 troops 3rd Dragoons; Birmingham JPs asked Col. Callow to ready remaining troops; Bromsgrove express - 1 troop sent</t>
        </is>
      </c>
      <c r="AB59" s="25" t="inlineStr">
        <is>
          <t>Y</t>
        </is>
      </c>
      <c r="AC59" s="25" t="inlineStr">
        <is>
          <t>Troops acted locally; riot act read, troops fired (1 killed, 2 wounded); yeomanry (Legge's troop) also used.</t>
        </is>
      </c>
      <c r="AD59" s="25" t="inlineStr">
        <is>
          <t>Approved</t>
        </is>
      </c>
      <c r="AE59" s="25" t="n"/>
      <c r="AF59" s="25" t="n"/>
      <c r="AG59" s="25" t="n"/>
      <c r="AH59" s="25" t="inlineStr">
        <is>
          <t>Other</t>
        </is>
      </c>
      <c r="AI59" s="25" t="inlineStr">
        <is>
          <t>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is>
      </c>
    </row>
    <row r="60" ht="15" customHeight="1" s="20">
      <c r="A60" s="25" t="inlineStr">
        <is>
          <t>HO42-0059</t>
        </is>
      </c>
      <c r="B60" s="25" t="inlineStr">
        <is>
          <t>E50</t>
        </is>
      </c>
      <c r="C60" s="26" t="inlineStr">
        <is>
          <t>Request for troops</t>
        </is>
      </c>
      <c r="D60" s="25" t="inlineStr">
        <is>
          <t>N</t>
        </is>
      </c>
      <c r="E60" s="25" t="inlineStr">
        <is>
          <t>HO 42/35</t>
        </is>
      </c>
      <c r="F60" s="25" t="inlineStr">
        <is>
          <t>HO-42-35_01.pdf</t>
        </is>
      </c>
      <c r="G60" s="25" t="inlineStr">
        <is>
          <t>71-74</t>
        </is>
      </c>
      <c r="H60" s="25" t="inlineStr">
        <is>
          <t>ff.66-69</t>
        </is>
      </c>
      <c r="I60" s="25" t="inlineStr">
        <is>
          <t>Folio stamp</t>
        </is>
      </c>
      <c r="J60" s="25" t="n"/>
      <c r="K60" s="25" t="inlineStr">
        <is>
          <t>Digitised (TNA PDF)</t>
        </is>
      </c>
      <c r="L60" s="25" t="inlineStr">
        <is>
          <t>Key quote only</t>
        </is>
      </c>
      <c r="M60" s="25" t="inlineStr">
        <is>
          <t>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is>
      </c>
      <c r="N60" s="25" t="inlineStr">
        <is>
          <t>29 Jun - 1 Jul 1795</t>
        </is>
      </c>
      <c r="O60" s="27" t="inlineStr">
        <is>
          <t>1795-06-29</t>
        </is>
      </c>
      <c r="P60" s="25">
        <f>IF(O60="","",VALUE(LEFT(O60,4)))</f>
        <v/>
      </c>
      <c r="Q60" s="25" t="inlineStr">
        <is>
          <t>Shardlow (Derbyshire), corn warehouses on Trent</t>
        </is>
      </c>
      <c r="R60" s="25" t="inlineStr">
        <is>
          <t>Shardlow</t>
        </is>
      </c>
      <c r="S60" s="25" t="inlineStr">
        <is>
          <t>Derbyshire</t>
        </is>
      </c>
      <c r="T60" s="25" t="inlineStr">
        <is>
          <t>John Moore (Shardlow); fwd by J. Sparrow (Bishton) on behalf of Mr Anson</t>
        </is>
      </c>
      <c r="U60" s="25" t="inlineStr">
        <is>
          <t>Private individual</t>
        </is>
      </c>
      <c r="V60" s="25" t="inlineStr">
        <is>
          <t>Duke of Portland (via Sparrow)</t>
        </is>
      </c>
      <c r="W60" s="25">
        <f>IF(O60="","",INDEX(Lookups!$B$2:$B$60,MATCH(O60,Lookups!$A$2:$A$60,1)))</f>
        <v/>
      </c>
      <c r="X60" s="25" t="inlineStr">
        <is>
          <t>Food / provisions</t>
        </is>
      </c>
      <c r="Y60" s="25" t="inlineStr">
        <is>
          <t>Pre-emptive</t>
        </is>
      </c>
      <c r="Z60" s="25" t="inlineStr">
        <is>
          <t>Unclear</t>
        </is>
      </c>
      <c r="AA60" s="25" t="inlineStr">
        <is>
          <t>A party of horse (12-20 men) at Shardlow</t>
        </is>
      </c>
      <c r="AB60" s="25" t="inlineStr">
        <is>
          <t>N</t>
        </is>
      </c>
      <c r="AC60" s="25" t="n"/>
      <c r="AD60" s="25" t="n"/>
      <c r="AE60" s="25" t="n"/>
      <c r="AF60" s="25" t="n"/>
      <c r="AG60" s="25" t="n"/>
      <c r="AH60" s="25" t="n"/>
      <c r="AI60" s="25" t="inlineStr">
        <is>
          <t>Protection of corn warehouses (inland grain transit). ROUTE: forwarded. Sparrow had also advised application to local magistrates for 'assistance both civil and military'. CHECK writer roles.</t>
        </is>
      </c>
    </row>
    <row r="61" ht="15" customHeight="1" s="20">
      <c r="A61" s="25" t="inlineStr">
        <is>
          <t>HO42-0060</t>
        </is>
      </c>
      <c r="B61" s="25" t="inlineStr">
        <is>
          <t>E51</t>
        </is>
      </c>
      <c r="C61" s="31" t="inlineStr">
        <is>
          <t>Other</t>
        </is>
      </c>
      <c r="D61" s="25" t="inlineStr">
        <is>
          <t>Y</t>
        </is>
      </c>
      <c r="E61" s="25" t="inlineStr">
        <is>
          <t>HO 42/35</t>
        </is>
      </c>
      <c r="F61" s="25" t="inlineStr">
        <is>
          <t>HO-42-35_02.pdf</t>
        </is>
      </c>
      <c r="G61" s="25" t="inlineStr">
        <is>
          <t>55</t>
        </is>
      </c>
      <c r="H61" s="25" t="inlineStr">
        <is>
          <t>f.127</t>
        </is>
      </c>
      <c r="I61" s="25" t="inlineStr">
        <is>
          <t>Folio stamp</t>
        </is>
      </c>
      <c r="J61" s="25" t="n"/>
      <c r="K61" s="25" t="inlineStr">
        <is>
          <t>Digitised (TNA PDF)</t>
        </is>
      </c>
      <c r="L61" s="25" t="inlineStr">
        <is>
          <t>Key quote only</t>
        </is>
      </c>
      <c r="M61" s="25" t="inlineStr">
        <is>
          <t>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is>
      </c>
      <c r="N61" s="25" t="inlineStr">
        <is>
          <t>9 Jul 1795</t>
        </is>
      </c>
      <c r="O61" s="27" t="inlineStr">
        <is>
          <t>1795-07-09</t>
        </is>
      </c>
      <c r="P61" s="25">
        <f>IF(O61="","",VALUE(LEFT(O61,4)))</f>
        <v/>
      </c>
      <c r="Q61" s="25" t="inlineStr">
        <is>
          <t>[Essex town near Gosfield - name not read]</t>
        </is>
      </c>
      <c r="R61" s="25" t="inlineStr">
        <is>
          <t>[Essex]</t>
        </is>
      </c>
      <c r="S61" s="25" t="inlineStr">
        <is>
          <t>Essex</t>
        </is>
      </c>
      <c r="T61" s="25" t="inlineStr">
        <is>
          <t>[Lord Lieutenant / Marquess of Buckingham at Gosfield - CHECK]</t>
        </is>
      </c>
      <c r="U61" s="25" t="inlineStr">
        <is>
          <t>Lord Lieutenant</t>
        </is>
      </c>
      <c r="V61" s="25" t="inlineStr">
        <is>
          <t>Duke of Portland</t>
        </is>
      </c>
      <c r="W61" s="25">
        <f>IF(O61="","",INDEX(Lookups!$B$2:$B$61,MATCH(O61,Lookups!$A$2:$A$61,1)))</f>
        <v/>
      </c>
      <c r="X61" s="25" t="inlineStr">
        <is>
          <t>Food / provisions</t>
        </is>
      </c>
      <c r="Y61" s="25" t="n"/>
      <c r="Z61" s="25" t="n"/>
      <c r="AA61" s="25" t="n"/>
      <c r="AB61" s="25" t="n"/>
      <c r="AC61" s="25" t="n"/>
      <c r="AD61" s="25" t="n"/>
      <c r="AE61" s="25" t="n"/>
      <c r="AF61" s="25" t="n"/>
      <c r="AG61" s="25" t="n"/>
      <c r="AH61" s="25" t="n"/>
      <c r="AI61" s="25" t="inlineStr">
        <is>
          <t>YEOMANRY used against a food riot (no request to HO). Evidence for corps-against-disorder question. CHECK town name (Halstead/Coggeshall?) and writer; copy sent to Privy Council 11 Jul.</t>
        </is>
      </c>
    </row>
    <row r="62" ht="15" customHeight="1" s="20">
      <c r="A62" s="25" t="inlineStr">
        <is>
          <t>HO42-0061</t>
        </is>
      </c>
      <c r="B62" s="25" t="inlineStr">
        <is>
          <t>E52</t>
        </is>
      </c>
      <c r="C62" s="28" t="inlineStr">
        <is>
          <t>Corps armed/expanded</t>
        </is>
      </c>
      <c r="D62" s="25" t="inlineStr">
        <is>
          <t>N</t>
        </is>
      </c>
      <c r="E62" s="25" t="inlineStr">
        <is>
          <t>HO 42/35</t>
        </is>
      </c>
      <c r="F62" s="25" t="inlineStr">
        <is>
          <t>HO-42-35_03.pdf</t>
        </is>
      </c>
      <c r="G62" s="25" t="inlineStr">
        <is>
          <t>29</t>
        </is>
      </c>
      <c r="H62" s="25" t="inlineStr">
        <is>
          <t>f.176</t>
        </is>
      </c>
      <c r="I62" s="25" t="inlineStr">
        <is>
          <t>Folio stamp</t>
        </is>
      </c>
      <c r="J62" s="25" t="n"/>
      <c r="K62" s="25" t="inlineStr">
        <is>
          <t>Digitised (TNA PDF)</t>
        </is>
      </c>
      <c r="L62" s="25" t="inlineStr">
        <is>
          <t>Key quote only</t>
        </is>
      </c>
      <c r="M62" s="25" t="inlineStr">
        <is>
          <t>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is>
      </c>
      <c r="N62" s="25" t="inlineStr">
        <is>
          <t>16 Jul 1795</t>
        </is>
      </c>
      <c r="O62" s="27" t="inlineStr">
        <is>
          <t>1795-07-16</t>
        </is>
      </c>
      <c r="P62" s="25">
        <f>IF(O62="","",VALUE(LEFT(O62,4)))</f>
        <v/>
      </c>
      <c r="Q62" s="25" t="inlineStr">
        <is>
          <t>London (Walbrook)</t>
        </is>
      </c>
      <c r="R62" s="25" t="inlineStr">
        <is>
          <t>London</t>
        </is>
      </c>
      <c r="S62" s="25" t="inlineStr">
        <is>
          <t>City of London</t>
        </is>
      </c>
      <c r="T62" s="25" t="inlineStr">
        <is>
          <t>[Officer/commander of HAC - signature not read]</t>
        </is>
      </c>
      <c r="U62" s="25" t="inlineStr">
        <is>
          <t>Volunteer / militia officer</t>
        </is>
      </c>
      <c r="V62" s="25" t="inlineStr">
        <is>
          <t>Duke of Portland</t>
        </is>
      </c>
      <c r="W62" s="25">
        <f>IF(O62="","",INDEX(Lookups!$B$2:$B$62,MATCH(O62,Lookups!$A$2:$A$62,1)))</f>
        <v/>
      </c>
      <c r="X62" s="25" t="inlineStr">
        <is>
          <t>Other / unclear</t>
        </is>
      </c>
      <c r="Y62" s="25" t="n"/>
      <c r="Z62" s="25" t="n"/>
      <c r="AA62" s="25" t="n"/>
      <c r="AB62" s="25" t="n"/>
      <c r="AC62" s="25" t="n"/>
      <c r="AD62" s="25" t="n"/>
      <c r="AE62" s="25" t="n"/>
      <c r="AF62" s="25" t="n"/>
      <c r="AG62" s="25" t="n"/>
      <c r="AH62" s="25" t="n"/>
      <c r="AI62" s="25" t="inlineStr">
        <is>
          <t>Volunteer corps (Honourable Artillery Company) offering riot duty outside the City, Jul 1795 (probably crimping/recruiting-house riots, Jul 1795 - CHECK). CHECK writer.</t>
        </is>
      </c>
    </row>
    <row r="63" ht="15" customHeight="1" s="20">
      <c r="A63" s="25" t="inlineStr">
        <is>
          <t>HO42-0062</t>
        </is>
      </c>
      <c r="B63" s="25" t="inlineStr">
        <is>
          <t>E53</t>
        </is>
      </c>
      <c r="C63" s="26" t="inlineStr">
        <is>
          <t>Request for troops</t>
        </is>
      </c>
      <c r="D63" s="25" t="inlineStr">
        <is>
          <t>Y</t>
        </is>
      </c>
      <c r="E63" s="25" t="inlineStr">
        <is>
          <t>HO 42/35</t>
        </is>
      </c>
      <c r="F63" s="25" t="inlineStr">
        <is>
          <t>HO-42-35_04.pdf</t>
        </is>
      </c>
      <c r="G63" s="25" t="inlineStr">
        <is>
          <t>50-53</t>
        </is>
      </c>
      <c r="H63" s="25" t="inlineStr">
        <is>
          <t>ff.269-272</t>
        </is>
      </c>
      <c r="I63" s="25" t="inlineStr">
        <is>
          <t>Folio stamp</t>
        </is>
      </c>
      <c r="J63" s="25" t="n"/>
      <c r="K63" s="25" t="inlineStr">
        <is>
          <t>Digitised (TNA PDF)</t>
        </is>
      </c>
      <c r="L63" s="25" t="inlineStr">
        <is>
          <t>Key quote only</t>
        </is>
      </c>
      <c r="M63" s="25" t="inlineStr">
        <is>
          <t>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is>
      </c>
      <c r="N63" s="25" t="inlineStr">
        <is>
          <t>25-27 Jul 1795</t>
        </is>
      </c>
      <c r="O63" s="27" t="inlineStr">
        <is>
          <t>1795-07-25</t>
        </is>
      </c>
      <c r="P63" s="25">
        <f>IF(O63="","",VALUE(LEFT(O63,4)))</f>
        <v/>
      </c>
      <c r="Q63" s="25" t="inlineStr">
        <is>
          <t>Wisbech &amp; Tydd St Giles (Isle of Ely); Chatteris; Cambridge</t>
        </is>
      </c>
      <c r="R63" s="25" t="inlineStr">
        <is>
          <t>Wisbech</t>
        </is>
      </c>
      <c r="S63" s="25" t="inlineStr">
        <is>
          <t>Cambridgeshire</t>
        </is>
      </c>
      <c r="T63" s="25" t="inlineStr">
        <is>
          <t>Earl of Hardwicke (Lord Lieutenant); enclosing Wisbech magistrate (clergyman) and 12 farmers</t>
        </is>
      </c>
      <c r="U63" s="25" t="inlineStr">
        <is>
          <t>Lord Lieutenant</t>
        </is>
      </c>
      <c r="V63" s="25" t="inlineStr">
        <is>
          <t>Duke of Portland</t>
        </is>
      </c>
      <c r="W63" s="25">
        <f>IF(O63="","",INDEX(Lookups!$B$2:$B$63,MATCH(O63,Lookups!$A$2:$A$63,1)))</f>
        <v/>
      </c>
      <c r="X63" s="25" t="inlineStr">
        <is>
          <t>Food / provisions</t>
        </is>
      </c>
      <c r="Y63" s="25" t="inlineStr">
        <is>
          <t>Actual</t>
        </is>
      </c>
      <c r="Z63" s="25" t="inlineStr">
        <is>
          <t>Y</t>
        </is>
      </c>
      <c r="AA63" s="25" t="inlineStr">
        <is>
          <t>A troop of horse, stationed at Wisbech</t>
        </is>
      </c>
      <c r="AB63" s="25" t="inlineStr">
        <is>
          <t>N</t>
        </is>
      </c>
      <c r="AC63" s="25" t="inlineStr">
        <is>
          <t>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is>
      </c>
      <c r="AD63" s="25" t="inlineStr">
        <is>
          <t>Approved</t>
        </is>
      </c>
      <c r="AE63" s="25" t="inlineStr">
        <is>
          <t>1795-07-31</t>
        </is>
      </c>
      <c r="AF63" s="25" t="n"/>
      <c r="AG63" s="25" t="n"/>
      <c r="AH63" s="25" t="inlineStr">
        <is>
          <t>Other</t>
        </is>
      </c>
      <c r="AI63" s="25" t="inlineStr">
        <is>
          <t>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is>
      </c>
    </row>
    <row r="64" ht="15" customHeight="1" s="20">
      <c r="A64" s="25" t="inlineStr">
        <is>
          <t>HO42-0063</t>
        </is>
      </c>
      <c r="B64" s="25" t="inlineStr">
        <is>
          <t>E54</t>
        </is>
      </c>
      <c r="C64" s="26" t="inlineStr">
        <is>
          <t>Request for troops</t>
        </is>
      </c>
      <c r="D64" s="25" t="inlineStr">
        <is>
          <t>Y</t>
        </is>
      </c>
      <c r="E64" s="25" t="inlineStr">
        <is>
          <t>HO 42/35</t>
        </is>
      </c>
      <c r="F64" s="25" t="inlineStr">
        <is>
          <t>HO-42-35_05.pdf</t>
        </is>
      </c>
      <c r="G64" s="25" t="inlineStr">
        <is>
          <t>72-75</t>
        </is>
      </c>
      <c r="H64" s="25" t="inlineStr">
        <is>
          <t>ff.353-356</t>
        </is>
      </c>
      <c r="I64" s="25" t="inlineStr">
        <is>
          <t>Folio stamp</t>
        </is>
      </c>
      <c r="J64" s="25" t="n"/>
      <c r="K64" s="25" t="inlineStr">
        <is>
          <t>Digitised (TNA PDF)</t>
        </is>
      </c>
      <c r="L64" s="25" t="inlineStr">
        <is>
          <t>Key quote only</t>
        </is>
      </c>
      <c r="M64" s="25" t="inlineStr">
        <is>
          <t>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is>
      </c>
      <c r="N64" s="25" t="inlineStr">
        <is>
          <t>6 Aug 1795</t>
        </is>
      </c>
      <c r="O64" s="27" t="inlineStr">
        <is>
          <t>1795-08-06</t>
        </is>
      </c>
      <c r="P64" s="25">
        <f>IF(O64="","",VALUE(LEFT(O64,4)))</f>
        <v/>
      </c>
      <c r="Q64" s="25" t="inlineStr">
        <is>
          <t>Wakefield; Knottingley; Sheffield</t>
        </is>
      </c>
      <c r="R64" s="25" t="inlineStr">
        <is>
          <t>Wakefield</t>
        </is>
      </c>
      <c r="S64" s="25" t="inlineStr">
        <is>
          <t>Yorkshire (W. Riding)</t>
        </is>
      </c>
      <c r="T64" s="25" t="inlineStr">
        <is>
          <t>J. Smyth (magistrate), Heath near Wakefield</t>
        </is>
      </c>
      <c r="U64" s="25" t="inlineStr">
        <is>
          <t>Magistrate / JP</t>
        </is>
      </c>
      <c r="V64" s="25" t="inlineStr">
        <is>
          <t>Lt-Gen Scott (district commander, Beverley); copy to Duke of Portland</t>
        </is>
      </c>
      <c r="W64" s="25">
        <f>IF(O64="","",INDEX(Lookups!$B$2:$B$64,MATCH(O64,Lookups!$A$2:$A$64,1)))</f>
        <v/>
      </c>
      <c r="X64" s="25" t="inlineStr">
        <is>
          <t>Food / provisions</t>
        </is>
      </c>
      <c r="Y64" s="25" t="inlineStr">
        <is>
          <t>Actual</t>
        </is>
      </c>
      <c r="Z64" s="25" t="inlineStr">
        <is>
          <t>Y</t>
        </is>
      </c>
      <c r="AA64" s="25" t="inlineStr">
        <is>
          <t>A regiment of dragoons to Wakefield or neighbourhood; 'steady and well-disciplined men'</t>
        </is>
      </c>
      <c r="AB64" s="25" t="inlineStr">
        <is>
          <t>Unclear</t>
        </is>
      </c>
      <c r="AC64" s="25" t="n"/>
      <c r="AD64" s="25" t="n"/>
      <c r="AE64" s="25" t="n"/>
      <c r="AF64" s="25" t="n"/>
      <c r="AG64" s="25" t="n"/>
      <c r="AH64" s="25" t="n"/>
      <c r="AI64" s="25" t="inlineStr">
        <is>
          <t>ROUTE: to district commander + copy to HO. Volunteers judged insufficient. Knottingley corn-shipping riot; Sheffield commotions with deaths (Aug 1795, volunteers fired - CHECK Sheffield follow-up). Smyth = John Smyth of Heath (MP) - CHECK.</t>
        </is>
      </c>
    </row>
    <row r="65" ht="15" customHeight="1" s="20">
      <c r="A65" s="25" t="inlineStr">
        <is>
          <t>HO42-0064</t>
        </is>
      </c>
      <c r="B65" s="25" t="inlineStr">
        <is>
          <t>E55</t>
        </is>
      </c>
      <c r="C65" s="31" t="inlineStr">
        <is>
          <t>Other</t>
        </is>
      </c>
      <c r="D65" s="25" t="inlineStr">
        <is>
          <t>N</t>
        </is>
      </c>
      <c r="E65" s="25" t="inlineStr">
        <is>
          <t>HO 42/35</t>
        </is>
      </c>
      <c r="F65" s="25" t="inlineStr">
        <is>
          <t>HO-42-35_05.pdf</t>
        </is>
      </c>
      <c r="G65" s="25" t="inlineStr">
        <is>
          <t>85-87</t>
        </is>
      </c>
      <c r="H65" s="25" t="inlineStr">
        <is>
          <t>ff.366-368</t>
        </is>
      </c>
      <c r="I65" s="25" t="inlineStr">
        <is>
          <t>Folio stamp</t>
        </is>
      </c>
      <c r="J65" s="25" t="n"/>
      <c r="K65" s="25" t="inlineStr">
        <is>
          <t>Digitised (TNA PDF)</t>
        </is>
      </c>
      <c r="L65" s="25" t="inlineStr">
        <is>
          <t>Key quote only</t>
        </is>
      </c>
      <c r="M65" s="25" t="inlineStr">
        <is>
          <t>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is>
      </c>
      <c r="N65" s="25" t="inlineStr">
        <is>
          <t>7 Aug 1795</t>
        </is>
      </c>
      <c r="O65" s="27" t="inlineStr">
        <is>
          <t>1795-08-05</t>
        </is>
      </c>
      <c r="P65" s="25">
        <f>IF(O65="","",VALUE(LEFT(O65,4)))</f>
        <v/>
      </c>
      <c r="Q65" s="25" t="inlineStr">
        <is>
          <t>Witney / Woodstock</t>
        </is>
      </c>
      <c r="R65" s="25" t="inlineStr">
        <is>
          <t>Witney</t>
        </is>
      </c>
      <c r="S65" s="25" t="inlineStr">
        <is>
          <t>Oxfordshire</t>
        </is>
      </c>
      <c r="T65" s="25" t="inlineStr">
        <is>
          <t>[Oxfordshire magistrate - signature not read]</t>
        </is>
      </c>
      <c r="U65" s="25" t="inlineStr">
        <is>
          <t>Magistrate / JP</t>
        </is>
      </c>
      <c r="V65" s="25" t="inlineStr">
        <is>
          <t>Duke of Portland</t>
        </is>
      </c>
      <c r="W65" s="25">
        <f>IF(O65="","",INDEX(Lookups!$B$2:$B$65,MATCH(O65,Lookups!$A$2:$A$65,1)))</f>
        <v/>
      </c>
      <c r="X65" s="25" t="inlineStr">
        <is>
          <t>Food / provisions</t>
        </is>
      </c>
      <c r="Y65" s="25" t="n"/>
      <c r="Z65" s="25" t="n"/>
      <c r="AA65" s="25" t="n"/>
      <c r="AB65" s="25" t="n"/>
      <c r="AC65" s="25" t="n"/>
      <c r="AD65" s="25" t="n"/>
      <c r="AE65" s="25" t="n"/>
      <c r="AF65" s="25" t="n"/>
      <c r="AG65" s="25" t="n"/>
      <c r="AH65" s="25" t="n"/>
      <c r="AI65" s="25" t="inlineStr">
        <is>
          <t>KEY: troops SENT WITHOUT REQUEST to Oxfordshire in 1795 (cf. Bend on Oxford 1800) - magistrates suspect troops are there to enforce grain removal. Use for 'unrequested deployment' check. Writer CHECK.</t>
        </is>
      </c>
    </row>
    <row r="66" ht="15" customHeight="1" s="20">
      <c r="A66" s="25" t="inlineStr">
        <is>
          <t>HO42-0065</t>
        </is>
      </c>
      <c r="B66" s="25" t="inlineStr">
        <is>
          <t>E54</t>
        </is>
      </c>
      <c r="C66" s="28" t="inlineStr">
        <is>
          <t>Corps armed/expanded</t>
        </is>
      </c>
      <c r="D66" s="25" t="inlineStr">
        <is>
          <t>Y</t>
        </is>
      </c>
      <c r="E66" s="25" t="inlineStr">
        <is>
          <t>HO 42/35</t>
        </is>
      </c>
      <c r="F66" s="25" t="inlineStr">
        <is>
          <t>HO-42-35_06.pdf</t>
        </is>
      </c>
      <c r="G66" s="25" t="inlineStr">
        <is>
          <t>18-19, 51</t>
        </is>
      </c>
      <c r="H66" s="25" t="inlineStr">
        <is>
          <t>ff.385-386, 414</t>
        </is>
      </c>
      <c r="I66" s="25" t="inlineStr">
        <is>
          <t>Folio stamp</t>
        </is>
      </c>
      <c r="J66" s="25" t="n"/>
      <c r="K66" s="25" t="inlineStr">
        <is>
          <t>Digitised (TNA PDF)</t>
        </is>
      </c>
      <c r="L66" s="25" t="inlineStr">
        <is>
          <t>Key quote only</t>
        </is>
      </c>
      <c r="M66" s="25" t="inlineStr">
        <is>
          <t>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is>
      </c>
      <c r="N66" s="25" t="inlineStr">
        <is>
          <t>9-11 Aug 1795</t>
        </is>
      </c>
      <c r="O66" s="27" t="inlineStr">
        <is>
          <t>1795-08-04</t>
        </is>
      </c>
      <c r="P66" s="25">
        <f>IF(O66="","",VALUE(LEFT(O66,4)))</f>
        <v/>
      </c>
      <c r="Q66" s="25" t="inlineStr">
        <is>
          <t>Sheffield</t>
        </is>
      </c>
      <c r="R66" s="25" t="inlineStr">
        <is>
          <t>Sheffield</t>
        </is>
      </c>
      <c r="S66" s="25" t="inlineStr">
        <is>
          <t>Yorkshire (W. Riding)</t>
        </is>
      </c>
      <c r="T66" s="25" t="inlineStr">
        <is>
          <t>[Sheffield magistrate - signature not read]; Saville Row letter signed [Brownrigg?]</t>
        </is>
      </c>
      <c r="U66" s="25" t="inlineStr">
        <is>
          <t>Magistrate / JP</t>
        </is>
      </c>
      <c r="V66" s="25" t="inlineStr">
        <is>
          <t>Duke of Portland</t>
        </is>
      </c>
      <c r="W66" s="25">
        <f>IF(O66="","",INDEX(Lookups!$B$2:$B$66,MATCH(O66,Lookups!$A$2:$A$66,1)))</f>
        <v/>
      </c>
      <c r="X66" s="25" t="inlineStr">
        <is>
          <t>Food / provisions</t>
        </is>
      </c>
      <c r="Y66" s="25" t="n"/>
      <c r="Z66" s="25" t="n"/>
      <c r="AA66" s="25" t="n"/>
      <c r="AB66" s="25" t="n"/>
      <c r="AC66" s="25" t="n"/>
      <c r="AD66" s="25" t="n"/>
      <c r="AE66" s="25" t="n"/>
      <c r="AF66" s="25" t="n"/>
      <c r="AG66" s="25" t="n"/>
      <c r="AH66" s="25" t="n"/>
      <c r="AI66" s="25" t="inlineStr">
        <is>
          <t>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is>
      </c>
    </row>
    <row r="67" ht="15" customHeight="1" s="20">
      <c r="A67" s="25" t="inlineStr">
        <is>
          <t>HO42-0066</t>
        </is>
      </c>
      <c r="B67" s="25" t="inlineStr">
        <is>
          <t>E56</t>
        </is>
      </c>
      <c r="C67" s="26" t="inlineStr">
        <is>
          <t>Request for troops</t>
        </is>
      </c>
      <c r="D67" s="25" t="inlineStr">
        <is>
          <t>Y</t>
        </is>
      </c>
      <c r="E67" s="25" t="inlineStr">
        <is>
          <t>HO 42/36</t>
        </is>
      </c>
      <c r="F67" s="25" t="inlineStr">
        <is>
          <t>HO-42-36_02.pdf</t>
        </is>
      </c>
      <c r="G67" s="25" t="inlineStr">
        <is>
          <t>71-72</t>
        </is>
      </c>
      <c r="H67" s="25" t="inlineStr">
        <is>
          <t>ff.121-122</t>
        </is>
      </c>
      <c r="I67" s="25" t="inlineStr">
        <is>
          <t>Folio stamp</t>
        </is>
      </c>
      <c r="J67" s="25" t="n"/>
      <c r="K67" s="25" t="inlineStr">
        <is>
          <t>Digitised (TNA PDF)</t>
        </is>
      </c>
      <c r="L67" s="25" t="inlineStr">
        <is>
          <t>Key quote only</t>
        </is>
      </c>
      <c r="M67" s="25" t="inlineStr">
        <is>
          <t>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is>
      </c>
      <c r="N67" s="25" t="inlineStr">
        <is>
          <t>15 Nov 1795</t>
        </is>
      </c>
      <c r="O67" s="27" t="inlineStr">
        <is>
          <t>1795-11-15</t>
        </is>
      </c>
      <c r="P67" s="25">
        <f>IF(O67="","",VALUE(LEFT(O67,4)))</f>
        <v/>
      </c>
      <c r="Q67" s="25" t="inlineStr">
        <is>
          <t>Whitby (letter from Howsham)</t>
        </is>
      </c>
      <c r="R67" s="25" t="inlineStr">
        <is>
          <t>Whitby</t>
        </is>
      </c>
      <c r="S67" s="25" t="inlineStr">
        <is>
          <t>Yorkshire (N. Riding)</t>
        </is>
      </c>
      <c r="T67" s="25" t="inlineStr">
        <is>
          <t>Henry Cholmley</t>
        </is>
      </c>
      <c r="U67" s="25" t="inlineStr">
        <is>
          <t>Private individual</t>
        </is>
      </c>
      <c r="V67" s="25" t="inlineStr">
        <is>
          <t>Duke of Portland</t>
        </is>
      </c>
      <c r="W67" s="25">
        <f>IF(O67="","",INDEX(Lookups!$B$2:$B$67,MATCH(O67,Lookups!$A$2:$A$67,1)))</f>
        <v/>
      </c>
      <c r="X67" s="25" t="inlineStr">
        <is>
          <t>Food / provisions</t>
        </is>
      </c>
      <c r="Y67" s="25" t="inlineStr">
        <is>
          <t>Actual</t>
        </is>
      </c>
      <c r="Z67" s="25" t="inlineStr">
        <is>
          <t>Y</t>
        </is>
      </c>
      <c r="AA67" s="25" t="inlineStr">
        <is>
          <t>At least one troop stationed at Whitby</t>
        </is>
      </c>
      <c r="AB67" s="25" t="inlineStr">
        <is>
          <t>Y</t>
        </is>
      </c>
      <c r="AC67" s="25" t="n"/>
      <c r="AD67" s="25" t="n"/>
      <c r="AE67" s="25" t="n"/>
      <c r="AF67" s="25" t="n"/>
      <c r="AG67" s="25" t="n"/>
      <c r="AH67" s="25" t="n"/>
      <c r="AI67" s="25" t="inlineStr">
        <is>
          <t>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is>
      </c>
    </row>
    <row r="68" ht="15" customHeight="1" s="20">
      <c r="A68" s="25" t="inlineStr">
        <is>
          <t>HO42-0067</t>
        </is>
      </c>
      <c r="B68" s="25" t="inlineStr">
        <is>
          <t>E57</t>
        </is>
      </c>
      <c r="C68" s="26" t="inlineStr">
        <is>
          <t>Request for troops</t>
        </is>
      </c>
      <c r="D68" s="25" t="inlineStr">
        <is>
          <t>Y</t>
        </is>
      </c>
      <c r="E68" s="25" t="inlineStr">
        <is>
          <t>HO 42/36</t>
        </is>
      </c>
      <c r="F68" s="25" t="inlineStr">
        <is>
          <t>HO-42-36_03.pdf</t>
        </is>
      </c>
      <c r="G68" s="25" t="inlineStr">
        <is>
          <t>69-70</t>
        </is>
      </c>
      <c r="H68" s="25" t="inlineStr">
        <is>
          <t>ff.202-203</t>
        </is>
      </c>
      <c r="I68" s="25" t="inlineStr">
        <is>
          <t>Folio stamp</t>
        </is>
      </c>
      <c r="J68" s="25" t="n"/>
      <c r="K68" s="25" t="inlineStr">
        <is>
          <t>Digitised (TNA PDF)</t>
        </is>
      </c>
      <c r="L68" s="25" t="inlineStr">
        <is>
          <t>Key quote only</t>
        </is>
      </c>
      <c r="M68" s="25" t="inlineStr">
        <is>
          <t>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is>
      </c>
      <c r="N68" s="25" t="inlineStr">
        <is>
          <t>18 Sep 1795</t>
        </is>
      </c>
      <c r="O68" s="27" t="inlineStr">
        <is>
          <t>1795-09-18</t>
        </is>
      </c>
      <c r="P68" s="25">
        <f>IF(O68="","",VALUE(LEFT(O68,4)))</f>
        <v/>
      </c>
      <c r="Q68" s="25" t="inlineStr">
        <is>
          <t>Ely (Isle of Ely)</t>
        </is>
      </c>
      <c r="R68" s="25" t="inlineStr">
        <is>
          <t>Ely</t>
        </is>
      </c>
      <c r="S68" s="25" t="inlineStr">
        <is>
          <t>Cambridgeshire</t>
        </is>
      </c>
      <c r="T68" s="25" t="inlineStr">
        <is>
          <t>Earl of Hardwicke (Lord Lieutenant), for Ely magistrates</t>
        </is>
      </c>
      <c r="U68" s="25" t="inlineStr">
        <is>
          <t>Lord Lieutenant</t>
        </is>
      </c>
      <c r="V68" s="25" t="inlineStr">
        <is>
          <t>Duke of Portland</t>
        </is>
      </c>
      <c r="W68" s="25">
        <f>IF(O68="","",INDEX(Lookups!$B$2:$B$68,MATCH(O68,Lookups!$A$2:$A$68,1)))</f>
        <v/>
      </c>
      <c r="X68" s="25" t="inlineStr">
        <is>
          <t>Food / provisions</t>
        </is>
      </c>
      <c r="Y68" s="25" t="inlineStr">
        <is>
          <t>Actual</t>
        </is>
      </c>
      <c r="Z68" s="25" t="inlineStr">
        <is>
          <t>Unclear</t>
        </is>
      </c>
      <c r="AA68" s="25" t="inlineStr">
        <is>
          <t>Authority to call cavalry stationed at Mildenhall (Suffolk), 6 miles away</t>
        </is>
      </c>
      <c r="AB68" s="25" t="inlineStr">
        <is>
          <t>Y</t>
        </is>
      </c>
      <c r="AC68" s="25" t="n"/>
      <c r="AD68" s="25" t="n"/>
      <c r="AE68" s="25" t="n"/>
      <c r="AF68" s="25" t="n"/>
      <c r="AG68" s="25" t="n"/>
      <c r="AH68" s="25" t="n"/>
      <c r="AI68" s="25" t="inlineStr">
        <is>
          <t>KEY: troops 6 miles away but across county line - magistrates had no right to call them without HO authority. Illustrates jurisdictional limit on local requisitions. Also: county apathy has defeated attempts to raise Yeomanry Cavalry.</t>
        </is>
      </c>
    </row>
    <row r="69" ht="15" customHeight="1" s="20">
      <c r="A69" s="25" t="inlineStr">
        <is>
          <t>HO42-0068</t>
        </is>
      </c>
      <c r="B69" s="25" t="inlineStr">
        <is>
          <t>E58</t>
        </is>
      </c>
      <c r="C69" s="31" t="inlineStr">
        <is>
          <t>Other</t>
        </is>
      </c>
      <c r="D69" s="25" t="inlineStr">
        <is>
          <t>N</t>
        </is>
      </c>
      <c r="E69" s="25" t="inlineStr">
        <is>
          <t>HO 42/36</t>
        </is>
      </c>
      <c r="F69" s="25" t="inlineStr">
        <is>
          <t>HO-42-36_03.pdf</t>
        </is>
      </c>
      <c r="G69" s="25" t="inlineStr">
        <is>
          <t>40-41</t>
        </is>
      </c>
      <c r="H69" s="25" t="inlineStr">
        <is>
          <t>ff.178-179</t>
        </is>
      </c>
      <c r="I69" s="25" t="inlineStr">
        <is>
          <t>Folio stamp</t>
        </is>
      </c>
      <c r="J69" s="25" t="n"/>
      <c r="K69" s="25" t="inlineStr">
        <is>
          <t>Digitised (TNA PDF)</t>
        </is>
      </c>
      <c r="L69" s="25" t="inlineStr">
        <is>
          <t>Key quote only</t>
        </is>
      </c>
      <c r="M69" s="25" t="inlineStr">
        <is>
          <t>"my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is>
      </c>
      <c r="N69" s="25" t="inlineStr">
        <is>
          <t>5 Nov 1795</t>
        </is>
      </c>
      <c r="O69" s="27" t="inlineStr">
        <is>
          <t>1795-11-05</t>
        </is>
      </c>
      <c r="P69" s="25">
        <f>IF(O69="","",VALUE(LEFT(O69,4)))</f>
        <v/>
      </c>
      <c r="Q69" s="25" t="inlineStr">
        <is>
          <t>Harewood [Cornwall?]</t>
        </is>
      </c>
      <c r="R69" s="25" t="inlineStr">
        <is>
          <t>Harewood</t>
        </is>
      </c>
      <c r="S69" s="25" t="inlineStr">
        <is>
          <t>[CHECK]</t>
        </is>
      </c>
      <c r="T69" s="25" t="inlineStr">
        <is>
          <t>J. H. Foote(?)</t>
        </is>
      </c>
      <c r="U69" s="25" t="inlineStr">
        <is>
          <t>Magistrate / JP</t>
        </is>
      </c>
      <c r="V69" s="25" t="inlineStr">
        <is>
          <t>Home Office (Under-Secretary)</t>
        </is>
      </c>
      <c r="W69" s="25">
        <f>IF(O69="","",INDEX(Lookups!$B$2:$B$69,MATCH(O69,Lookups!$A$2:$A$69,1)))</f>
        <v/>
      </c>
      <c r="X69" s="25" t="inlineStr">
        <is>
          <t>Food / provisions</t>
        </is>
      </c>
      <c r="Y69" s="25" t="n"/>
      <c r="Z69" s="25" t="n"/>
      <c r="AA69" s="25" t="n"/>
      <c r="AB69" s="25" t="n"/>
      <c r="AC69" s="25" t="n"/>
      <c r="AD69" s="25" t="n"/>
      <c r="AE69" s="25" t="n"/>
      <c r="AF69" s="25" t="n"/>
      <c r="AG69" s="25" t="n"/>
      <c r="AH69" s="25" t="n"/>
      <c r="AI69" s="25" t="inlineStr">
        <is>
          <t>Miners threatening riot over corn prices; enclosure from mine captain. No explicit troop request on these pages. CHECK location (Harewood near Calstock, Cornwall/Devon border?) and writer; earlier letter referred to.</t>
        </is>
      </c>
    </row>
    <row r="70" ht="15" customHeight="1" s="20">
      <c r="A70" s="25" t="inlineStr">
        <is>
          <t>HO42-0069</t>
        </is>
      </c>
      <c r="B70" s="25" t="inlineStr">
        <is>
          <t>E59</t>
        </is>
      </c>
      <c r="C70" s="26" t="inlineStr">
        <is>
          <t>Request for troops</t>
        </is>
      </c>
      <c r="D70" s="25" t="inlineStr">
        <is>
          <t>N</t>
        </is>
      </c>
      <c r="E70" s="25" t="inlineStr">
        <is>
          <t>HO 42/37</t>
        </is>
      </c>
      <c r="F70" s="25" t="inlineStr">
        <is>
          <t>HO-42-37_04.pdf</t>
        </is>
      </c>
      <c r="G70" s="25" t="inlineStr">
        <is>
          <t>92-93</t>
        </is>
      </c>
      <c r="H70" s="25" t="inlineStr">
        <is>
          <t>ff.306-307</t>
        </is>
      </c>
      <c r="I70" s="25" t="inlineStr">
        <is>
          <t>Folio stamp</t>
        </is>
      </c>
      <c r="J70" s="25" t="n"/>
      <c r="K70" s="25" t="inlineStr">
        <is>
          <t>Digitised (TNA PDF)</t>
        </is>
      </c>
      <c r="L70" s="25" t="inlineStr">
        <is>
          <t>Key quote only</t>
        </is>
      </c>
      <c r="M70" s="25" t="inlineStr">
        <is>
          <t>"A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is>
      </c>
      <c r="N70" s="25" t="inlineStr">
        <is>
          <t>16 Dec 1795</t>
        </is>
      </c>
      <c r="O70" s="27" t="inlineStr">
        <is>
          <t>1795-12-14</t>
        </is>
      </c>
      <c r="P70" s="25">
        <f>IF(O70="","",VALUE(LEFT(O70,4)))</f>
        <v/>
      </c>
      <c r="Q70" s="25" t="inlineStr">
        <is>
          <t>Wells (next the Sea)</t>
        </is>
      </c>
      <c r="R70" s="25" t="inlineStr">
        <is>
          <t>Wells-next-the-Sea</t>
        </is>
      </c>
      <c r="S70" s="25" t="inlineStr">
        <is>
          <t>Norfolk</t>
        </is>
      </c>
      <c r="T70" s="25" t="inlineStr">
        <is>
          <t>Marquis Townshend (Lord Lieutenant), with Rev. Mr Hoste (JP)</t>
        </is>
      </c>
      <c r="U70" s="25" t="inlineStr">
        <is>
          <t>Lord Lieutenant</t>
        </is>
      </c>
      <c r="V70" s="25" t="inlineStr">
        <is>
          <t>Duke of Portland</t>
        </is>
      </c>
      <c r="W70" s="25">
        <f>IF(O70="","",INDEX(Lookups!$B$2:$B$70,MATCH(O70,Lookups!$A$2:$A$70,1)))</f>
        <v/>
      </c>
      <c r="X70" s="25" t="inlineStr">
        <is>
          <t>Food / provisions</t>
        </is>
      </c>
      <c r="Y70" s="25" t="inlineStr">
        <is>
          <t>Report only</t>
        </is>
      </c>
      <c r="Z70" s="25" t="inlineStr">
        <is>
          <t>Y</t>
        </is>
      </c>
      <c r="AA70" s="25" t="inlineStr">
        <is>
          <t>A company of Pembrokeshire Militia from Holt (ordered locally by Lord Lieutenant)</t>
        </is>
      </c>
      <c r="AB70" s="25" t="inlineStr">
        <is>
          <t>Y</t>
        </is>
      </c>
      <c r="AC70" s="25" t="inlineStr">
        <is>
          <t>Militia drove crowd off with bayonets; flour shipped; Coke and magistrates settled poor allowances.</t>
        </is>
      </c>
      <c r="AD70" s="25" t="inlineStr">
        <is>
          <t>Approved</t>
        </is>
      </c>
      <c r="AE70" s="25" t="n"/>
      <c r="AF70" s="25" t="n"/>
      <c r="AG70" s="25" t="n"/>
      <c r="AH70" s="25" t="inlineStr">
        <is>
          <t>Other</t>
        </is>
      </c>
      <c r="AI70" s="25" t="inlineStr">
        <is>
          <t>ROUTE: Lord Lieutenant ordered nearby militia himself; reported to HO. Women-led riot against flour shipping to London. Date of riot approx. (several days before 16 Dec).</t>
        </is>
      </c>
    </row>
    <row r="71" ht="15" customHeight="1" s="20">
      <c r="A71" s="25" t="inlineStr">
        <is>
          <t>HO42-0070</t>
        </is>
      </c>
      <c r="B71" s="25" t="inlineStr">
        <is>
          <t>E59</t>
        </is>
      </c>
      <c r="C71" s="26" t="inlineStr">
        <is>
          <t>Request for troops</t>
        </is>
      </c>
      <c r="D71" s="25" t="inlineStr">
        <is>
          <t>Y</t>
        </is>
      </c>
      <c r="E71" s="25" t="inlineStr">
        <is>
          <t>HO 42/37</t>
        </is>
      </c>
      <c r="F71" s="25" t="inlineStr">
        <is>
          <t>HO-42-37_04.pdf</t>
        </is>
      </c>
      <c r="G71" s="25" t="inlineStr">
        <is>
          <t>96-97</t>
        </is>
      </c>
      <c r="H71" s="25" t="inlineStr">
        <is>
          <t>ff.308-309</t>
        </is>
      </c>
      <c r="I71" s="25" t="inlineStr">
        <is>
          <t>Folio stamp</t>
        </is>
      </c>
      <c r="J71" s="25" t="n"/>
      <c r="K71" s="25" t="inlineStr">
        <is>
          <t>Digitised (TNA PDF)</t>
        </is>
      </c>
      <c r="L71" s="25" t="inlineStr">
        <is>
          <t>Key quote only</t>
        </is>
      </c>
      <c r="M71" s="25" t="inlineStr">
        <is>
          <t>"the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is>
      </c>
      <c r="N71" s="25" t="inlineStr">
        <is>
          <t>22 Dec 1795</t>
        </is>
      </c>
      <c r="O71" s="27" t="inlineStr">
        <is>
          <t>1795-12-22</t>
        </is>
      </c>
      <c r="P71" s="25">
        <f>IF(O71="","",VALUE(LEFT(O71,4)))</f>
        <v/>
      </c>
      <c r="Q71" s="25" t="inlineStr">
        <is>
          <t>Norfolk coast (letter from Raynham)</t>
        </is>
      </c>
      <c r="R71" s="25" t="inlineStr">
        <is>
          <t>[North Norfolk coast]</t>
        </is>
      </c>
      <c r="S71" s="25" t="inlineStr">
        <is>
          <t>Norfolk</t>
        </is>
      </c>
      <c r="T71" s="25" t="inlineStr">
        <is>
          <t>Marquis Townshend (Lord Lieutenant)</t>
        </is>
      </c>
      <c r="U71" s="25" t="inlineStr">
        <is>
          <t>Lord Lieutenant</t>
        </is>
      </c>
      <c r="V71" s="25" t="inlineStr">
        <is>
          <t>Duke of Portland</t>
        </is>
      </c>
      <c r="W71" s="25">
        <f>IF(O71="","",INDEX(Lookups!$B$2:$B$71,MATCH(O71,Lookups!$A$2:$A$71,1)))</f>
        <v/>
      </c>
      <c r="X71" s="25" t="inlineStr">
        <is>
          <t>Food / provisions</t>
        </is>
      </c>
      <c r="Y71" s="25" t="inlineStr">
        <is>
          <t>Pre-emptive</t>
        </is>
      </c>
      <c r="Z71" s="25" t="inlineStr">
        <is>
          <t>Unclear</t>
        </is>
      </c>
      <c r="AA71" s="25" t="inlineStr">
        <is>
          <t>Detachment of light cavalry or horse artillery stationed on the coast</t>
        </is>
      </c>
      <c r="AB71" s="25" t="inlineStr">
        <is>
          <t>Y</t>
        </is>
      </c>
      <c r="AC71" s="25" t="n"/>
      <c r="AD71" s="25" t="n"/>
      <c r="AE71" s="25" t="n"/>
      <c r="AF71" s="25" t="n"/>
      <c r="AG71" s="25" t="n"/>
      <c r="AH71" s="25" t="n"/>
      <c r="AI71" s="25" t="inlineStr">
        <is>
          <t>KEY: 'where there is Yeomanry Corps they are quiet' - yeomanry as deterrent. Also asks Admiralty to deal with sailors joining commotions in sea-port towns.</t>
        </is>
      </c>
    </row>
    <row r="72" ht="15" customHeight="1" s="20">
      <c r="A72" s="25" t="inlineStr">
        <is>
          <t>HO42-0071</t>
        </is>
      </c>
      <c r="B72" s="25" t="inlineStr">
        <is>
          <t>E60</t>
        </is>
      </c>
      <c r="C72" s="26" t="inlineStr">
        <is>
          <t>Request for troops</t>
        </is>
      </c>
      <c r="D72" s="25" t="inlineStr">
        <is>
          <t>N</t>
        </is>
      </c>
      <c r="E72" s="25" t="inlineStr">
        <is>
          <t>HO 42/37</t>
        </is>
      </c>
      <c r="F72" s="25" t="inlineStr">
        <is>
          <t>HO-42-37_04.pdf</t>
        </is>
      </c>
      <c r="G72" s="25" t="inlineStr">
        <is>
          <t>100-108</t>
        </is>
      </c>
      <c r="H72" s="25" t="inlineStr">
        <is>
          <t>ff.310-314</t>
        </is>
      </c>
      <c r="I72" s="25" t="inlineStr">
        <is>
          <t>Folio stamp</t>
        </is>
      </c>
      <c r="J72" s="25" t="n"/>
      <c r="K72" s="25" t="inlineStr">
        <is>
          <t>Digitised (TNA PDF)</t>
        </is>
      </c>
      <c r="L72" s="25" t="inlineStr">
        <is>
          <t>Key quote only</t>
        </is>
      </c>
      <c r="M72" s="25" t="inlineStr">
        <is>
          <t>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is>
      </c>
      <c r="N72" s="25" t="inlineStr">
        <is>
          <t>20-23 Dec 1795</t>
        </is>
      </c>
      <c r="O72" s="27" t="inlineStr">
        <is>
          <t>1795-12-20</t>
        </is>
      </c>
      <c r="P72" s="25">
        <f>IF(O72="","",VALUE(LEFT(O72,4)))</f>
        <v/>
      </c>
      <c r="Q72" s="25" t="inlineStr">
        <is>
          <t>Holt / Sheringham Common</t>
        </is>
      </c>
      <c r="R72" s="25" t="inlineStr">
        <is>
          <t>Holt</t>
        </is>
      </c>
      <c r="S72" s="25" t="inlineStr">
        <is>
          <t>Norfolk</t>
        </is>
      </c>
      <c r="T72" s="25" t="inlineStr">
        <is>
          <t>H. Jodrell &amp; Mr Collyer (JPs); fwd by Marquis Townshend</t>
        </is>
      </c>
      <c r="U72" s="25" t="inlineStr">
        <is>
          <t>Magistrate / JP</t>
        </is>
      </c>
      <c r="V72" s="25" t="inlineStr">
        <is>
          <t>Maj-Gen Leland (requisition); report to Townshend, fwd to Portland</t>
        </is>
      </c>
      <c r="W72" s="25">
        <f>IF(O72="","",INDEX(Lookups!$B$2:$B$72,MATCH(O72,Lookups!$A$2:$A$72,1)))</f>
        <v/>
      </c>
      <c r="X72" s="25" t="inlineStr">
        <is>
          <t>Food / provisions</t>
        </is>
      </c>
      <c r="Y72" s="25" t="inlineStr">
        <is>
          <t>Actual</t>
        </is>
      </c>
      <c r="Z72" s="25" t="inlineStr">
        <is>
          <t>Unclear</t>
        </is>
      </c>
      <c r="AA72" s="25" t="inlineStr">
        <is>
          <t>Requisition to Maj-Gen Leland: 30 Inniskilling Dragoons sent</t>
        </is>
      </c>
      <c r="AB72" s="25" t="inlineStr">
        <is>
          <t>Y</t>
        </is>
      </c>
      <c r="AC72" s="25" t="inlineStr">
        <is>
          <t>30 dragoons sent by district general; ringleader taken; ~300 farmers and yeomen assembled; flour forwarded to Lynn.</t>
        </is>
      </c>
      <c r="AD72" s="25" t="inlineStr">
        <is>
          <t>Approved</t>
        </is>
      </c>
      <c r="AE72" s="25" t="n"/>
      <c r="AF72" s="25" t="n"/>
      <c r="AG72" s="25" t="n"/>
      <c r="AH72" s="25" t="inlineStr">
        <is>
          <t>Other</t>
        </is>
      </c>
      <c r="AI72" s="25" t="inlineStr">
        <is>
          <t>ROUTE: local requisition to district general. ALSO A CORPS EVENT: farmers forming an 'Association in support of the Civil Power' to substitute for missing yeomanry - KEY QUOTE for corps question.</t>
        </is>
      </c>
    </row>
    <row r="73" ht="15" customHeight="1" s="20">
      <c r="O73" s="32" t="n"/>
    </row>
    <row r="74" ht="15" customHeight="1" s="20">
      <c r="O74" s="32" t="n"/>
    </row>
    <row r="75" ht="15" customHeight="1" s="20">
      <c r="O75" s="32" t="n"/>
    </row>
    <row r="76" ht="15" customHeight="1" s="20">
      <c r="O76" s="32" t="n"/>
    </row>
    <row r="77" ht="15" customHeight="1" s="20">
      <c r="O77" s="32" t="n"/>
    </row>
    <row r="78" ht="15" customHeight="1" s="20">
      <c r="O78" s="32" t="n"/>
    </row>
    <row r="79" ht="15" customHeight="1" s="20">
      <c r="O79" s="32" t="n"/>
    </row>
    <row r="80" ht="15" customHeight="1" s="20">
      <c r="O80" s="32" t="n"/>
    </row>
    <row r="81" ht="15" customHeight="1" s="20">
      <c r="O81" s="32" t="n"/>
    </row>
    <row r="82" ht="15" customHeight="1" s="20">
      <c r="O82" s="32" t="n"/>
    </row>
    <row r="83" ht="15" customHeight="1" s="20">
      <c r="O83" s="32" t="n"/>
    </row>
    <row r="84" ht="15" customHeight="1" s="20">
      <c r="O84" s="32" t="n"/>
    </row>
    <row r="85" ht="15" customHeight="1" s="20">
      <c r="O85" s="32" t="n"/>
    </row>
    <row r="86" ht="15" customHeight="1" s="20">
      <c r="O86" s="32" t="n"/>
    </row>
    <row r="87" ht="15" customHeight="1" s="20">
      <c r="O87" s="32" t="n"/>
    </row>
    <row r="88" ht="15" customHeight="1" s="20">
      <c r="O88" s="32" t="n"/>
    </row>
    <row r="89" ht="15" customHeight="1" s="20">
      <c r="O89" s="32" t="n"/>
    </row>
    <row r="90" ht="15" customHeight="1" s="20">
      <c r="O90" s="32" t="n"/>
    </row>
    <row r="91" ht="15" customHeight="1" s="20">
      <c r="O91" s="32" t="n"/>
    </row>
    <row r="92" ht="15" customHeight="1" s="20">
      <c r="O92" s="32" t="n"/>
    </row>
    <row r="93" ht="15" customHeight="1" s="20">
      <c r="O93" s="32" t="n"/>
    </row>
    <row r="94" ht="15" customHeight="1" s="20">
      <c r="O94" s="32" t="n"/>
    </row>
    <row r="95" ht="15" customHeight="1" s="20">
      <c r="O95" s="32" t="n"/>
    </row>
    <row r="96" ht="15" customHeight="1" s="20">
      <c r="O96" s="32" t="n"/>
    </row>
    <row r="97" ht="15" customHeight="1" s="20">
      <c r="O97" s="32" t="n"/>
    </row>
    <row r="98" ht="15" customHeight="1" s="20">
      <c r="O98" s="32" t="n"/>
    </row>
    <row r="99" ht="15" customHeight="1" s="20">
      <c r="O99" s="32" t="n"/>
    </row>
    <row r="100" ht="15" customHeight="1" s="20">
      <c r="O100" s="32" t="n"/>
    </row>
    <row r="101" ht="15" customHeight="1" s="20">
      <c r="O101" s="32" t="n"/>
    </row>
    <row r="102" ht="15" customHeight="1" s="20">
      <c r="O102" s="32" t="n"/>
    </row>
    <row r="103" ht="15" customHeight="1" s="20">
      <c r="O103" s="32" t="n"/>
    </row>
    <row r="104" ht="15" customHeight="1" s="20">
      <c r="O104" s="32" t="n"/>
    </row>
    <row r="105" ht="15" customHeight="1" s="20">
      <c r="O105" s="32" t="n"/>
    </row>
    <row r="106" ht="15" customHeight="1" s="20">
      <c r="O106" s="32" t="n"/>
    </row>
    <row r="107" ht="15" customHeight="1" s="20">
      <c r="O107" s="32" t="n"/>
    </row>
    <row r="108" ht="15" customHeight="1" s="20">
      <c r="O108" s="32" t="n"/>
    </row>
    <row r="109" ht="15" customHeight="1" s="20">
      <c r="O109" s="32" t="n"/>
    </row>
    <row r="110" ht="15" customHeight="1" s="20">
      <c r="O110" s="32" t="n"/>
    </row>
    <row r="111" ht="15" customHeight="1" s="20">
      <c r="O111" s="32" t="n"/>
    </row>
    <row r="112" ht="15" customHeight="1" s="20">
      <c r="O112" s="32" t="n"/>
    </row>
    <row r="113" ht="15" customHeight="1" s="20">
      <c r="O113" s="32" t="n"/>
    </row>
    <row r="114" ht="15" customHeight="1" s="20">
      <c r="O114" s="32" t="n"/>
    </row>
    <row r="115" ht="15" customHeight="1" s="20">
      <c r="O115" s="32" t="n"/>
    </row>
    <row r="116" ht="15" customHeight="1" s="20">
      <c r="O116" s="32" t="n"/>
    </row>
    <row r="117" ht="15" customHeight="1" s="20">
      <c r="O117" s="32" t="n"/>
    </row>
    <row r="118" ht="15" customHeight="1" s="20">
      <c r="O118" s="32" t="n"/>
    </row>
    <row r="119" ht="15" customHeight="1" s="20">
      <c r="O119" s="32" t="n"/>
    </row>
    <row r="120" ht="15" customHeight="1" s="20">
      <c r="O120" s="32" t="n"/>
    </row>
    <row r="121" ht="15" customHeight="1" s="20">
      <c r="O121" s="32" t="n"/>
    </row>
    <row r="122" ht="15" customHeight="1" s="20">
      <c r="O122" s="32" t="n"/>
    </row>
    <row r="123" ht="15" customHeight="1" s="20">
      <c r="O123" s="32" t="n"/>
    </row>
    <row r="124" ht="15" customHeight="1" s="20">
      <c r="O124" s="32" t="n"/>
    </row>
    <row r="125" ht="15" customHeight="1" s="20">
      <c r="O125" s="32" t="n"/>
    </row>
    <row r="126" ht="15" customHeight="1" s="20">
      <c r="O126" s="32" t="n"/>
    </row>
    <row r="127" ht="15" customHeight="1" s="20">
      <c r="O127" s="32" t="n"/>
    </row>
    <row r="128" ht="15" customHeight="1" s="20">
      <c r="O128" s="32" t="n"/>
    </row>
    <row r="129" ht="15" customHeight="1" s="20">
      <c r="O129" s="32" t="n"/>
    </row>
    <row r="130" ht="15" customHeight="1" s="20">
      <c r="O130" s="32" t="n"/>
    </row>
    <row r="131" ht="15" customHeight="1" s="20">
      <c r="O131" s="32" t="n"/>
    </row>
    <row r="132" ht="15" customHeight="1" s="20">
      <c r="O132" s="32" t="n"/>
    </row>
    <row r="133" ht="15" customHeight="1" s="20">
      <c r="O133" s="32" t="n"/>
    </row>
    <row r="134" ht="15" customHeight="1" s="20">
      <c r="O134" s="32" t="n"/>
    </row>
    <row r="135" ht="15" customHeight="1" s="20">
      <c r="O135" s="32" t="n"/>
    </row>
    <row r="136" ht="15" customHeight="1" s="20">
      <c r="O136" s="32" t="n"/>
    </row>
    <row r="137" ht="15" customHeight="1" s="20">
      <c r="O137" s="32" t="n"/>
    </row>
    <row r="138" ht="15" customHeight="1" s="20">
      <c r="O138" s="32" t="n"/>
    </row>
    <row r="139" ht="15" customHeight="1" s="20">
      <c r="O139" s="32" t="n"/>
    </row>
    <row r="140" ht="15" customHeight="1" s="20">
      <c r="O140" s="32" t="n"/>
    </row>
    <row r="141" ht="15" customHeight="1" s="20">
      <c r="O141" s="32" t="n"/>
    </row>
    <row r="142" ht="15" customHeight="1" s="20">
      <c r="O142" s="32" t="n"/>
    </row>
    <row r="143" ht="15" customHeight="1" s="20">
      <c r="O143" s="32" t="n"/>
    </row>
    <row r="144" ht="15" customHeight="1" s="20">
      <c r="O144" s="32" t="n"/>
    </row>
    <row r="145" ht="15" customHeight="1" s="20">
      <c r="O145" s="32" t="n"/>
    </row>
    <row r="146" ht="15" customHeight="1" s="20">
      <c r="O146" s="32" t="n"/>
    </row>
    <row r="147" ht="15" customHeight="1" s="20">
      <c r="O147" s="32" t="n"/>
    </row>
    <row r="148" ht="15" customHeight="1" s="20">
      <c r="O148" s="32" t="n"/>
    </row>
    <row r="149" ht="15" customHeight="1" s="20">
      <c r="O149" s="32" t="n"/>
    </row>
    <row r="150" ht="15" customHeight="1" s="20">
      <c r="O150" s="32" t="n"/>
    </row>
    <row r="151" ht="15" customHeight="1" s="20">
      <c r="O151" s="32" t="n"/>
    </row>
    <row r="152" ht="15" customHeight="1" s="20">
      <c r="O152" s="32" t="n"/>
    </row>
    <row r="153" ht="15" customHeight="1" s="20">
      <c r="O153" s="32" t="n"/>
    </row>
    <row r="154" ht="15" customHeight="1" s="20">
      <c r="O154" s="32" t="n"/>
    </row>
    <row r="155" ht="15" customHeight="1" s="20">
      <c r="O155" s="32" t="n"/>
    </row>
    <row r="156" ht="15" customHeight="1" s="20">
      <c r="O156" s="32" t="n"/>
    </row>
    <row r="157" ht="15" customHeight="1" s="20">
      <c r="O157" s="32" t="n"/>
    </row>
    <row r="158" ht="15" customHeight="1" s="20">
      <c r="O158" s="32" t="n"/>
    </row>
    <row r="159" ht="15" customHeight="1" s="20">
      <c r="O159" s="32" t="n"/>
    </row>
    <row r="160" ht="15" customHeight="1" s="20">
      <c r="O160" s="32" t="n"/>
    </row>
    <row r="161" ht="15" customHeight="1" s="20">
      <c r="O161" s="32" t="n"/>
    </row>
    <row r="162" ht="15" customHeight="1" s="20">
      <c r="O162" s="32" t="n"/>
    </row>
    <row r="163" ht="15" customHeight="1" s="20">
      <c r="O163" s="32" t="n"/>
    </row>
    <row r="164" ht="15" customHeight="1" s="20">
      <c r="O164" s="32" t="n"/>
    </row>
    <row r="165" ht="15" customHeight="1" s="20">
      <c r="O165" s="32" t="n"/>
    </row>
    <row r="166" ht="15" customHeight="1" s="20">
      <c r="O166" s="32" t="n"/>
    </row>
    <row r="167" ht="15" customHeight="1" s="20">
      <c r="O167" s="32" t="n"/>
    </row>
    <row r="168" ht="15" customHeight="1" s="20">
      <c r="O168" s="32" t="n"/>
    </row>
    <row r="169" ht="15" customHeight="1" s="20">
      <c r="O169" s="32" t="n"/>
    </row>
    <row r="170" ht="15" customHeight="1" s="20">
      <c r="O170" s="32" t="n"/>
    </row>
    <row r="171" ht="15" customHeight="1" s="20">
      <c r="O171" s="32" t="n"/>
    </row>
    <row r="172" ht="15" customHeight="1" s="20">
      <c r="O172" s="32" t="n"/>
    </row>
    <row r="173" ht="15" customHeight="1" s="20">
      <c r="O173" s="32" t="n"/>
    </row>
    <row r="174" ht="15" customHeight="1" s="20">
      <c r="O174" s="32" t="n"/>
    </row>
    <row r="175" ht="15" customHeight="1" s="20">
      <c r="O175" s="32" t="n"/>
    </row>
    <row r="176" ht="15" customHeight="1" s="20">
      <c r="O176" s="32" t="n"/>
    </row>
    <row r="177" ht="15" customHeight="1" s="20">
      <c r="O177" s="32" t="n"/>
    </row>
    <row r="178" ht="15" customHeight="1" s="20">
      <c r="O178" s="32" t="n"/>
    </row>
    <row r="179" ht="15" customHeight="1" s="20">
      <c r="O179" s="32" t="n"/>
    </row>
    <row r="180" ht="15" customHeight="1" s="20">
      <c r="O180" s="32" t="n"/>
    </row>
    <row r="181" ht="15" customHeight="1" s="20">
      <c r="O181" s="32" t="n"/>
    </row>
    <row r="182" ht="15" customHeight="1" s="20">
      <c r="O182" s="32" t="n"/>
    </row>
    <row r="183" ht="15" customHeight="1" s="20">
      <c r="O183" s="32" t="n"/>
    </row>
    <row r="184" ht="15" customHeight="1" s="20">
      <c r="O184" s="32" t="n"/>
    </row>
    <row r="185" ht="15" customHeight="1" s="20">
      <c r="O185" s="32" t="n"/>
    </row>
    <row r="186" ht="15" customHeight="1" s="20">
      <c r="O186" s="32" t="n"/>
    </row>
    <row r="187" ht="15" customHeight="1" s="20">
      <c r="O187" s="32" t="n"/>
    </row>
    <row r="188" ht="15" customHeight="1" s="20">
      <c r="O188" s="32" t="n"/>
    </row>
    <row r="189" ht="15" customHeight="1" s="20">
      <c r="O189" s="32" t="n"/>
    </row>
    <row r="190" ht="15" customHeight="1" s="20">
      <c r="O190" s="32" t="n"/>
    </row>
    <row r="191" ht="15" customHeight="1" s="20">
      <c r="O191" s="32" t="n"/>
    </row>
    <row r="192" ht="15" customHeight="1" s="20">
      <c r="O192" s="32" t="n"/>
    </row>
    <row r="193" ht="15" customHeight="1" s="20">
      <c r="O193" s="32" t="n"/>
    </row>
    <row r="194" ht="15" customHeight="1" s="20">
      <c r="O194" s="32" t="n"/>
    </row>
    <row r="195" ht="15" customHeight="1" s="20">
      <c r="O195" s="32" t="n"/>
    </row>
    <row r="196" ht="15" customHeight="1" s="20">
      <c r="O196" s="32" t="n"/>
    </row>
    <row r="197" ht="15" customHeight="1" s="20">
      <c r="O197" s="32" t="n"/>
    </row>
    <row r="198" ht="15" customHeight="1" s="20">
      <c r="O198" s="32" t="n"/>
    </row>
    <row r="199" ht="15" customHeight="1" s="20">
      <c r="O199" s="32" t="n"/>
    </row>
    <row r="200" ht="15" customHeight="1" s="20">
      <c r="O200" s="32" t="n"/>
    </row>
    <row r="201" ht="15" customHeight="1" s="20">
      <c r="O201" s="32" t="n"/>
    </row>
    <row r="202" ht="15" customHeight="1" s="20">
      <c r="O202" s="32" t="n"/>
    </row>
    <row r="203" ht="15" customHeight="1" s="20">
      <c r="O203" s="32" t="n"/>
    </row>
    <row r="204" ht="15" customHeight="1" s="20">
      <c r="O204" s="32" t="n"/>
    </row>
    <row r="205" ht="15" customHeight="1" s="20">
      <c r="O205" s="32" t="n"/>
    </row>
    <row r="206" ht="15" customHeight="1" s="20">
      <c r="O206" s="32" t="n"/>
    </row>
    <row r="207" ht="15" customHeight="1" s="20">
      <c r="O207" s="32" t="n"/>
    </row>
    <row r="208" ht="15" customHeight="1" s="20">
      <c r="O208" s="32" t="n"/>
    </row>
    <row r="209" ht="15" customHeight="1" s="20">
      <c r="O209" s="32" t="n"/>
    </row>
    <row r="210" ht="15" customHeight="1" s="20">
      <c r="O210" s="32" t="n"/>
    </row>
    <row r="211" ht="15" customHeight="1" s="20">
      <c r="O211" s="32" t="n"/>
    </row>
    <row r="212" ht="15" customHeight="1" s="20">
      <c r="O212" s="32" t="n"/>
    </row>
    <row r="213" ht="15" customHeight="1" s="20">
      <c r="O213" s="32" t="n"/>
    </row>
    <row r="214" ht="15" customHeight="1" s="20">
      <c r="O214" s="32" t="n"/>
    </row>
    <row r="215" ht="15" customHeight="1" s="20">
      <c r="O215" s="32" t="n"/>
    </row>
    <row r="216" ht="15" customHeight="1" s="20">
      <c r="O216" s="32" t="n"/>
    </row>
    <row r="217" ht="15" customHeight="1" s="20">
      <c r="O217" s="32" t="n"/>
    </row>
    <row r="218" ht="15" customHeight="1" s="20">
      <c r="O218" s="32" t="n"/>
    </row>
    <row r="219" ht="15" customHeight="1" s="20">
      <c r="O219" s="32" t="n"/>
    </row>
    <row r="220" ht="15" customHeight="1" s="20">
      <c r="O220" s="32" t="n"/>
    </row>
    <row r="221" ht="15" customHeight="1" s="20">
      <c r="O221" s="32" t="n"/>
    </row>
    <row r="222" ht="15" customHeight="1" s="20">
      <c r="O222" s="32" t="n"/>
    </row>
    <row r="223" ht="15" customHeight="1" s="20">
      <c r="O223" s="32" t="n"/>
    </row>
    <row r="224" ht="15" customHeight="1" s="20">
      <c r="O224" s="32" t="n"/>
    </row>
    <row r="225" ht="15" customHeight="1" s="20">
      <c r="O225" s="32" t="n"/>
    </row>
    <row r="226" ht="15" customHeight="1" s="20">
      <c r="O226" s="32" t="n"/>
    </row>
    <row r="227" ht="15" customHeight="1" s="20">
      <c r="O227" s="32" t="n"/>
    </row>
    <row r="228" ht="15" customHeight="1" s="20">
      <c r="O228" s="32" t="n"/>
    </row>
    <row r="229" ht="15" customHeight="1" s="20">
      <c r="O229" s="32" t="n"/>
    </row>
    <row r="230" ht="15" customHeight="1" s="20">
      <c r="O230" s="32" t="n"/>
    </row>
    <row r="231" ht="15" customHeight="1" s="20">
      <c r="O231" s="32" t="n"/>
    </row>
    <row r="232" ht="15" customHeight="1" s="20">
      <c r="O232" s="32" t="n"/>
    </row>
    <row r="233" ht="15" customHeight="1" s="20">
      <c r="O233" s="32" t="n"/>
    </row>
    <row r="234" ht="15" customHeight="1" s="20">
      <c r="O234" s="32" t="n"/>
    </row>
    <row r="235" ht="15" customHeight="1" s="20">
      <c r="O235" s="32" t="n"/>
    </row>
    <row r="236" ht="15" customHeight="1" s="20">
      <c r="O236" s="32" t="n"/>
    </row>
    <row r="237" ht="15" customHeight="1" s="20">
      <c r="O237" s="32" t="n"/>
    </row>
    <row r="238" ht="15" customHeight="1" s="20">
      <c r="O238" s="32" t="n"/>
    </row>
    <row r="239" ht="15" customHeight="1" s="20">
      <c r="O239" s="32" t="n"/>
    </row>
    <row r="240" ht="15" customHeight="1" s="20">
      <c r="O240" s="32" t="n"/>
    </row>
    <row r="241" ht="15" customHeight="1" s="20">
      <c r="O241" s="32" t="n"/>
    </row>
    <row r="242" ht="15" customHeight="1" s="20">
      <c r="O242" s="32" t="n"/>
    </row>
    <row r="243" ht="15" customHeight="1" s="20">
      <c r="O243" s="32" t="n"/>
    </row>
    <row r="244" ht="15" customHeight="1" s="20">
      <c r="O244" s="32" t="n"/>
    </row>
    <row r="245" ht="15" customHeight="1" s="20">
      <c r="O245" s="32" t="n"/>
    </row>
    <row r="246" ht="15" customHeight="1" s="20">
      <c r="O246" s="32" t="n"/>
    </row>
    <row r="247" ht="15" customHeight="1" s="20">
      <c r="O247" s="32" t="n"/>
    </row>
    <row r="248" ht="15" customHeight="1" s="20">
      <c r="O248" s="32" t="n"/>
    </row>
    <row r="249" ht="15" customHeight="1" s="20">
      <c r="O249" s="32" t="n"/>
    </row>
    <row r="250" ht="15" customHeight="1" s="20">
      <c r="O250" s="32" t="n"/>
    </row>
    <row r="251" ht="15" customHeight="1" s="20">
      <c r="O251" s="32" t="n"/>
    </row>
    <row r="252" ht="15" customHeight="1" s="20">
      <c r="O252" s="32" t="n"/>
    </row>
    <row r="253" ht="15" customHeight="1" s="20">
      <c r="O253" s="32" t="n"/>
    </row>
    <row r="254" ht="15" customHeight="1" s="20">
      <c r="O254" s="32" t="n"/>
    </row>
    <row r="255" ht="15" customHeight="1" s="20">
      <c r="O255" s="32" t="n"/>
    </row>
    <row r="256" ht="15" customHeight="1" s="20">
      <c r="O256" s="32" t="n"/>
    </row>
    <row r="257" ht="15" customHeight="1" s="20">
      <c r="O257" s="32" t="n"/>
    </row>
    <row r="258" ht="15" customHeight="1" s="20">
      <c r="O258" s="32" t="n"/>
    </row>
    <row r="259" ht="15" customHeight="1" s="20">
      <c r="O259" s="32" t="n"/>
    </row>
    <row r="260" ht="15" customHeight="1" s="20">
      <c r="O260" s="32" t="n"/>
    </row>
    <row r="261" ht="15" customHeight="1" s="20">
      <c r="O261" s="32" t="n"/>
    </row>
    <row r="262" ht="15" customHeight="1" s="20">
      <c r="O262" s="32" t="n"/>
    </row>
    <row r="263" ht="15" customHeight="1" s="20">
      <c r="O263" s="32" t="n"/>
    </row>
    <row r="264" ht="15" customHeight="1" s="20">
      <c r="O264" s="32" t="n"/>
    </row>
    <row r="265" ht="15" customHeight="1" s="20">
      <c r="O265" s="32" t="n"/>
    </row>
    <row r="266" ht="15" customHeight="1" s="20">
      <c r="O266" s="32" t="n"/>
    </row>
    <row r="267" ht="15" customHeight="1" s="20">
      <c r="O267" s="32" t="n"/>
    </row>
    <row r="268" ht="15" customHeight="1" s="20">
      <c r="O268" s="32" t="n"/>
    </row>
    <row r="269" ht="15" customHeight="1" s="20">
      <c r="O269" s="32" t="n"/>
    </row>
    <row r="270" ht="15" customHeight="1" s="20">
      <c r="O270" s="32" t="n"/>
    </row>
    <row r="271" ht="15" customHeight="1" s="20">
      <c r="O271" s="32" t="n"/>
    </row>
    <row r="272" ht="15" customHeight="1" s="20">
      <c r="O272" s="32" t="n"/>
    </row>
    <row r="273" ht="15" customHeight="1" s="20">
      <c r="O273" s="32" t="n"/>
    </row>
    <row r="274" ht="15" customHeight="1" s="20">
      <c r="O274" s="32" t="n"/>
    </row>
    <row r="275" ht="15" customHeight="1" s="20">
      <c r="O275" s="32" t="n"/>
    </row>
    <row r="276" ht="15" customHeight="1" s="20">
      <c r="O276" s="32" t="n"/>
    </row>
    <row r="277" ht="15" customHeight="1" s="20">
      <c r="O277" s="32" t="n"/>
    </row>
    <row r="278" ht="15" customHeight="1" s="20">
      <c r="O278" s="32" t="n"/>
    </row>
    <row r="279" ht="15" customHeight="1" s="20">
      <c r="O279" s="32" t="n"/>
    </row>
    <row r="280" ht="15" customHeight="1" s="20">
      <c r="O280" s="32" t="n"/>
    </row>
    <row r="281" ht="15" customHeight="1" s="20">
      <c r="O281" s="32" t="n"/>
    </row>
    <row r="282" ht="15" customHeight="1" s="20">
      <c r="O282" s="32" t="n"/>
    </row>
    <row r="283" ht="15" customHeight="1" s="20">
      <c r="O283" s="32" t="n"/>
    </row>
    <row r="284" ht="15" customHeight="1" s="20">
      <c r="O284" s="32" t="n"/>
    </row>
    <row r="285" ht="15" customHeight="1" s="20">
      <c r="O285" s="32" t="n"/>
    </row>
    <row r="286" ht="15" customHeight="1" s="20">
      <c r="O286" s="32" t="n"/>
    </row>
    <row r="287" ht="15" customHeight="1" s="20">
      <c r="O287" s="32" t="n"/>
    </row>
    <row r="288" ht="15" customHeight="1" s="20">
      <c r="O288" s="32" t="n"/>
    </row>
    <row r="289" ht="15" customHeight="1" s="20">
      <c r="O289" s="32" t="n"/>
    </row>
    <row r="290" ht="15" customHeight="1" s="20">
      <c r="O290" s="32" t="n"/>
    </row>
    <row r="291" ht="15" customHeight="1" s="20">
      <c r="O291" s="32" t="n"/>
    </row>
    <row r="292" ht="15" customHeight="1" s="20">
      <c r="O292" s="32" t="n"/>
    </row>
    <row r="293" ht="15" customHeight="1" s="20">
      <c r="O293" s="32" t="n"/>
    </row>
    <row r="294" ht="15" customHeight="1" s="20">
      <c r="O294" s="32" t="n"/>
    </row>
    <row r="295" ht="15" customHeight="1" s="20">
      <c r="O295" s="32" t="n"/>
    </row>
    <row r="296" ht="15" customHeight="1" s="20">
      <c r="O296" s="32" t="n"/>
    </row>
    <row r="297" ht="15" customHeight="1" s="20">
      <c r="O297" s="32" t="n"/>
    </row>
    <row r="298" ht="15" customHeight="1" s="20">
      <c r="O298" s="32" t="n"/>
    </row>
    <row r="299" ht="15" customHeight="1" s="20">
      <c r="O299" s="32" t="n"/>
    </row>
    <row r="300" ht="15" customHeight="1" s="20">
      <c r="O300" s="32" t="n"/>
    </row>
    <row r="301" ht="15" customHeight="1" s="20">
      <c r="O301" s="32" t="n"/>
    </row>
    <row r="302" ht="15" customHeight="1" s="20">
      <c r="O302" s="32" t="n"/>
    </row>
    <row r="303" ht="15" customHeight="1" s="20">
      <c r="O303" s="32" t="n"/>
    </row>
    <row r="304" ht="15" customHeight="1" s="20">
      <c r="O304" s="32" t="n"/>
    </row>
    <row r="305" ht="15" customHeight="1" s="20">
      <c r="O305" s="32" t="n"/>
    </row>
    <row r="306" ht="15" customHeight="1" s="20">
      <c r="O306" s="32" t="n"/>
    </row>
    <row r="307" ht="15" customHeight="1" s="20">
      <c r="O307" s="32" t="n"/>
    </row>
    <row r="308" ht="15" customHeight="1" s="20">
      <c r="O308" s="32" t="n"/>
    </row>
    <row r="309" ht="15" customHeight="1" s="20">
      <c r="O309" s="32" t="n"/>
    </row>
    <row r="310" ht="15" customHeight="1" s="20">
      <c r="O310" s="32" t="n"/>
    </row>
    <row r="311" ht="15" customHeight="1" s="20">
      <c r="O311" s="32" t="n"/>
    </row>
    <row r="312" ht="15" customHeight="1" s="20">
      <c r="O312" s="32" t="n"/>
    </row>
    <row r="313" ht="15" customHeight="1" s="20">
      <c r="O313" s="32" t="n"/>
    </row>
    <row r="314" ht="15" customHeight="1" s="20">
      <c r="O314" s="32" t="n"/>
    </row>
    <row r="315" ht="15" customHeight="1" s="20">
      <c r="O315" s="32" t="n"/>
    </row>
    <row r="316" ht="15" customHeight="1" s="20">
      <c r="O316" s="32" t="n"/>
    </row>
    <row r="317" ht="15" customHeight="1" s="20">
      <c r="O317" s="32" t="n"/>
    </row>
    <row r="318" ht="15" customHeight="1" s="20">
      <c r="O318" s="32" t="n"/>
    </row>
    <row r="319" ht="15" customHeight="1" s="20">
      <c r="O319" s="32" t="n"/>
    </row>
    <row r="320" ht="15" customHeight="1" s="20">
      <c r="O320" s="32" t="n"/>
    </row>
    <row r="321" ht="15" customHeight="1" s="20">
      <c r="O321" s="32" t="n"/>
    </row>
    <row r="322" ht="15" customHeight="1" s="20">
      <c r="O322" s="32" t="n"/>
    </row>
    <row r="323" ht="15" customHeight="1" s="20">
      <c r="O323" s="32" t="n"/>
    </row>
    <row r="324" ht="15" customHeight="1" s="20">
      <c r="O324" s="32" t="n"/>
    </row>
    <row r="325" ht="15" customHeight="1" s="20">
      <c r="O325" s="32" t="n"/>
    </row>
    <row r="326" ht="15" customHeight="1" s="20">
      <c r="O326" s="32" t="n"/>
    </row>
    <row r="327" ht="15" customHeight="1" s="20">
      <c r="O327" s="32" t="n"/>
    </row>
    <row r="328" ht="15" customHeight="1" s="20">
      <c r="O328" s="32" t="n"/>
    </row>
    <row r="329" ht="15" customHeight="1" s="20">
      <c r="O329" s="32" t="n"/>
    </row>
    <row r="330" ht="15" customHeight="1" s="20">
      <c r="O330" s="32" t="n"/>
    </row>
    <row r="331" ht="15" customHeight="1" s="20">
      <c r="O331" s="32" t="n"/>
    </row>
    <row r="332" ht="15" customHeight="1" s="20">
      <c r="O332" s="32" t="n"/>
    </row>
    <row r="333" ht="15" customHeight="1" s="20">
      <c r="O333" s="32" t="n"/>
    </row>
    <row r="334" ht="15" customHeight="1" s="20">
      <c r="O334" s="32" t="n"/>
    </row>
    <row r="335" ht="15" customHeight="1" s="20">
      <c r="O335" s="32" t="n"/>
    </row>
    <row r="336" ht="15" customHeight="1" s="20">
      <c r="O336" s="32" t="n"/>
    </row>
    <row r="337" ht="15" customHeight="1" s="20">
      <c r="O337" s="32" t="n"/>
    </row>
    <row r="338" ht="15" customHeight="1" s="20">
      <c r="O338" s="32" t="n"/>
    </row>
    <row r="339" ht="15" customHeight="1" s="20">
      <c r="O339" s="32" t="n"/>
    </row>
    <row r="340" ht="15" customHeight="1" s="20">
      <c r="O340" s="32" t="n"/>
    </row>
    <row r="341" ht="15" customHeight="1" s="20">
      <c r="O341" s="32" t="n"/>
    </row>
    <row r="342" ht="15" customHeight="1" s="20">
      <c r="O342" s="32" t="n"/>
    </row>
    <row r="343" ht="15" customHeight="1" s="20">
      <c r="O343" s="32" t="n"/>
    </row>
    <row r="344" ht="15" customHeight="1" s="20">
      <c r="O344" s="32" t="n"/>
    </row>
    <row r="345" ht="15" customHeight="1" s="20">
      <c r="O345" s="32" t="n"/>
    </row>
    <row r="346" ht="15" customHeight="1" s="20">
      <c r="O346" s="32" t="n"/>
    </row>
    <row r="347" ht="15" customHeight="1" s="20">
      <c r="O347" s="32" t="n"/>
    </row>
    <row r="348" ht="15" customHeight="1" s="20">
      <c r="O348" s="32" t="n"/>
    </row>
    <row r="349" ht="15" customHeight="1" s="20">
      <c r="O349" s="32" t="n"/>
    </row>
    <row r="350" ht="15" customHeight="1" s="20">
      <c r="O350" s="32" t="n"/>
    </row>
    <row r="351" ht="15" customHeight="1" s="20">
      <c r="O351" s="32" t="n"/>
    </row>
    <row r="352" ht="15" customHeight="1" s="20">
      <c r="O352" s="32" t="n"/>
    </row>
    <row r="353" ht="15" customHeight="1" s="20">
      <c r="O353" s="32" t="n"/>
    </row>
    <row r="354" ht="15" customHeight="1" s="20">
      <c r="O354" s="32" t="n"/>
    </row>
    <row r="355" ht="15" customHeight="1" s="20">
      <c r="O355" s="32" t="n"/>
    </row>
    <row r="356" ht="15" customHeight="1" s="20">
      <c r="O356" s="32" t="n"/>
    </row>
    <row r="357" ht="15" customHeight="1" s="20">
      <c r="O357" s="32" t="n"/>
    </row>
    <row r="358" ht="15" customHeight="1" s="20">
      <c r="O358" s="32" t="n"/>
    </row>
    <row r="359" ht="15" customHeight="1" s="20">
      <c r="O359" s="32" t="n"/>
    </row>
    <row r="360" ht="15" customHeight="1" s="20">
      <c r="O360" s="32" t="n"/>
    </row>
    <row r="361" ht="15" customHeight="1" s="20">
      <c r="O361" s="32" t="n"/>
    </row>
    <row r="362" ht="15" customHeight="1" s="20">
      <c r="O362" s="32" t="n"/>
    </row>
    <row r="363" ht="15" customHeight="1" s="20">
      <c r="O363" s="32" t="n"/>
    </row>
    <row r="364" ht="15" customHeight="1" s="20">
      <c r="O364" s="32" t="n"/>
    </row>
    <row r="365" ht="15" customHeight="1" s="20">
      <c r="O365" s="32" t="n"/>
    </row>
    <row r="366" ht="15" customHeight="1" s="20">
      <c r="O366" s="32" t="n"/>
    </row>
    <row r="367" ht="15" customHeight="1" s="20">
      <c r="O367" s="32" t="n"/>
    </row>
    <row r="368" ht="15" customHeight="1" s="20">
      <c r="O368" s="32" t="n"/>
    </row>
    <row r="369" ht="15" customHeight="1" s="20">
      <c r="O369" s="32" t="n"/>
    </row>
    <row r="370" ht="15" customHeight="1" s="20">
      <c r="O370" s="32" t="n"/>
    </row>
    <row r="371" ht="15" customHeight="1" s="20">
      <c r="O371" s="32" t="n"/>
    </row>
    <row r="372" ht="15" customHeight="1" s="20">
      <c r="O372" s="32" t="n"/>
    </row>
    <row r="373" ht="15" customHeight="1" s="20">
      <c r="O373" s="32" t="n"/>
    </row>
    <row r="374" ht="15" customHeight="1" s="20">
      <c r="O374" s="32" t="n"/>
    </row>
    <row r="375" ht="15" customHeight="1" s="20">
      <c r="O375" s="32" t="n"/>
    </row>
    <row r="376" ht="15" customHeight="1" s="20">
      <c r="O376" s="32" t="n"/>
    </row>
    <row r="377" ht="15" customHeight="1" s="20">
      <c r="O377" s="32" t="n"/>
    </row>
    <row r="378" ht="15" customHeight="1" s="20">
      <c r="O378" s="32" t="n"/>
    </row>
    <row r="379" ht="15" customHeight="1" s="20">
      <c r="O379" s="32" t="n"/>
    </row>
    <row r="380" ht="15" customHeight="1" s="20">
      <c r="O380" s="32" t="n"/>
    </row>
    <row r="381" ht="15" customHeight="1" s="20">
      <c r="O381" s="32" t="n"/>
    </row>
    <row r="382" ht="15" customHeight="1" s="20">
      <c r="O382" s="32" t="n"/>
    </row>
    <row r="383" ht="15" customHeight="1" s="20">
      <c r="O383" s="32" t="n"/>
    </row>
    <row r="384" ht="15" customHeight="1" s="20">
      <c r="O384" s="32" t="n"/>
    </row>
    <row r="385" ht="15" customHeight="1" s="20">
      <c r="O385" s="32" t="n"/>
    </row>
    <row r="386" ht="15" customHeight="1" s="20">
      <c r="O386" s="32" t="n"/>
    </row>
    <row r="387" ht="15" customHeight="1" s="20">
      <c r="O387" s="32" t="n"/>
    </row>
    <row r="388" ht="15" customHeight="1" s="20">
      <c r="O388" s="32" t="n"/>
    </row>
    <row r="389" ht="15" customHeight="1" s="20">
      <c r="O389" s="32" t="n"/>
    </row>
    <row r="390" ht="15" customHeight="1" s="20">
      <c r="O390" s="32" t="n"/>
    </row>
    <row r="391" ht="15" customHeight="1" s="20">
      <c r="O391" s="32" t="n"/>
    </row>
    <row r="392" ht="15" customHeight="1" s="20">
      <c r="O392" s="32" t="n"/>
    </row>
    <row r="393" ht="15" customHeight="1" s="20">
      <c r="O393" s="32" t="n"/>
    </row>
    <row r="394" ht="15" customHeight="1" s="20">
      <c r="O394" s="32" t="n"/>
    </row>
    <row r="395" ht="15" customHeight="1" s="20">
      <c r="O395" s="32" t="n"/>
    </row>
    <row r="396" ht="15" customHeight="1" s="20">
      <c r="O396" s="32" t="n"/>
    </row>
    <row r="397" ht="15" customHeight="1" s="20">
      <c r="O397" s="32" t="n"/>
    </row>
    <row r="398" ht="15" customHeight="1" s="20">
      <c r="O398" s="32" t="n"/>
    </row>
    <row r="399" ht="15" customHeight="1" s="20">
      <c r="O399" s="32" t="n"/>
    </row>
    <row r="400" ht="15" customHeight="1" s="20">
      <c r="O400" s="32" t="n"/>
    </row>
    <row r="401" ht="15" customHeight="1" s="20">
      <c r="O401" s="32" t="n"/>
    </row>
    <row r="402" ht="15" customHeight="1" s="20">
      <c r="O402" s="32" t="n"/>
    </row>
    <row r="403" ht="15" customHeight="1" s="20">
      <c r="O403" s="32" t="n"/>
    </row>
    <row r="404" ht="15" customHeight="1" s="20">
      <c r="O404" s="32" t="n"/>
    </row>
    <row r="405" ht="15" customHeight="1" s="20">
      <c r="O405" s="32" t="n"/>
    </row>
    <row r="406" ht="15" customHeight="1" s="20">
      <c r="O406" s="32" t="n"/>
    </row>
    <row r="407" ht="15" customHeight="1" s="20">
      <c r="O407" s="32" t="n"/>
    </row>
    <row r="408" ht="15" customHeight="1" s="20">
      <c r="O408" s="32" t="n"/>
    </row>
    <row r="409" ht="15" customHeight="1" s="20">
      <c r="O409" s="32" t="n"/>
    </row>
    <row r="410" ht="15" customHeight="1" s="20">
      <c r="O410" s="32" t="n"/>
    </row>
    <row r="411" ht="15" customHeight="1" s="20">
      <c r="O411" s="32" t="n"/>
    </row>
    <row r="412" ht="15" customHeight="1" s="20">
      <c r="O412" s="32" t="n"/>
    </row>
    <row r="413" ht="15" customHeight="1" s="20">
      <c r="O413" s="32" t="n"/>
    </row>
    <row r="414" ht="15" customHeight="1" s="20">
      <c r="O414" s="32" t="n"/>
    </row>
    <row r="415" ht="15" customHeight="1" s="20">
      <c r="O415" s="32" t="n"/>
    </row>
    <row r="416" ht="15" customHeight="1" s="20">
      <c r="O416" s="32" t="n"/>
    </row>
    <row r="417" ht="15" customHeight="1" s="20">
      <c r="O417" s="32" t="n"/>
    </row>
    <row r="418" ht="15" customHeight="1" s="20">
      <c r="O418" s="32" t="n"/>
    </row>
    <row r="419" ht="15" customHeight="1" s="20">
      <c r="O419" s="32" t="n"/>
    </row>
    <row r="420" ht="15" customHeight="1" s="20">
      <c r="O420" s="32" t="n"/>
    </row>
    <row r="421" ht="15" customHeight="1" s="20">
      <c r="O421" s="32" t="n"/>
    </row>
    <row r="422" ht="15" customHeight="1" s="20">
      <c r="O422" s="32" t="n"/>
    </row>
    <row r="423" ht="15" customHeight="1" s="20">
      <c r="O423" s="32" t="n"/>
    </row>
    <row r="424" ht="15" customHeight="1" s="20">
      <c r="O424" s="32" t="n"/>
    </row>
    <row r="425" ht="15" customHeight="1" s="20">
      <c r="O425" s="32" t="n"/>
    </row>
    <row r="426" ht="15" customHeight="1" s="20">
      <c r="O426" s="32" t="n"/>
    </row>
    <row r="427" ht="15" customHeight="1" s="20">
      <c r="O427" s="32" t="n"/>
    </row>
    <row r="428" ht="15" customHeight="1" s="20">
      <c r="O428" s="32" t="n"/>
    </row>
    <row r="429" ht="15" customHeight="1" s="20">
      <c r="O429" s="32" t="n"/>
    </row>
    <row r="430" ht="15" customHeight="1" s="20">
      <c r="O430" s="32" t="n"/>
    </row>
    <row r="431" ht="15" customHeight="1" s="20">
      <c r="O431" s="32" t="n"/>
    </row>
    <row r="432" ht="15" customHeight="1" s="20">
      <c r="O432" s="32" t="n"/>
    </row>
    <row r="433" ht="15" customHeight="1" s="20">
      <c r="O433" s="32" t="n"/>
    </row>
    <row r="434" ht="15" customHeight="1" s="20">
      <c r="O434" s="32" t="n"/>
    </row>
    <row r="435" ht="15" customHeight="1" s="20">
      <c r="O435" s="32" t="n"/>
    </row>
    <row r="436" ht="15" customHeight="1" s="20">
      <c r="O436" s="32" t="n"/>
    </row>
    <row r="437" ht="15" customHeight="1" s="20">
      <c r="O437" s="32" t="n"/>
    </row>
    <row r="438" ht="15" customHeight="1" s="20">
      <c r="O438" s="32" t="n"/>
    </row>
    <row r="439" ht="15" customHeight="1" s="20">
      <c r="O439" s="32" t="n"/>
    </row>
    <row r="440" ht="15" customHeight="1" s="20">
      <c r="O440" s="32" t="n"/>
    </row>
    <row r="441" ht="15" customHeight="1" s="20">
      <c r="O441" s="32" t="n"/>
    </row>
    <row r="442" ht="15" customHeight="1" s="20">
      <c r="O442" s="32" t="n"/>
    </row>
    <row r="443" ht="15" customHeight="1" s="20">
      <c r="O443" s="32" t="n"/>
    </row>
    <row r="444" ht="15" customHeight="1" s="20">
      <c r="O444" s="32" t="n"/>
    </row>
    <row r="445" ht="15" customHeight="1" s="20">
      <c r="O445" s="32" t="n"/>
    </row>
    <row r="446" ht="15" customHeight="1" s="20">
      <c r="O446" s="32" t="n"/>
    </row>
    <row r="447" ht="15" customHeight="1" s="20">
      <c r="O447" s="32" t="n"/>
    </row>
    <row r="448" ht="15" customHeight="1" s="20">
      <c r="O448" s="32" t="n"/>
    </row>
    <row r="449" ht="15" customHeight="1" s="20">
      <c r="O449" s="32" t="n"/>
    </row>
    <row r="450" ht="15" customHeight="1" s="20">
      <c r="O450" s="32" t="n"/>
    </row>
    <row r="451" ht="15" customHeight="1" s="20">
      <c r="O451" s="32" t="n"/>
    </row>
    <row r="452" ht="15" customHeight="1" s="20">
      <c r="O452" s="32" t="n"/>
    </row>
    <row r="453" ht="15" customHeight="1" s="20">
      <c r="O453" s="32" t="n"/>
    </row>
    <row r="454" ht="15" customHeight="1" s="20">
      <c r="O454" s="32" t="n"/>
    </row>
    <row r="455" ht="15" customHeight="1" s="20">
      <c r="O455" s="32" t="n"/>
    </row>
    <row r="456" ht="15" customHeight="1" s="20">
      <c r="O456" s="32" t="n"/>
    </row>
    <row r="457" ht="15" customHeight="1" s="20">
      <c r="O457" s="32" t="n"/>
    </row>
    <row r="458" ht="15" customHeight="1" s="20">
      <c r="O458" s="32" t="n"/>
    </row>
    <row r="459" ht="15" customHeight="1" s="20">
      <c r="O459" s="32" t="n"/>
    </row>
    <row r="460" ht="15" customHeight="1" s="20">
      <c r="O460" s="32" t="n"/>
    </row>
    <row r="461" ht="15" customHeight="1" s="20">
      <c r="O461" s="32" t="n"/>
    </row>
    <row r="462" ht="15" customHeight="1" s="20">
      <c r="O462" s="32" t="n"/>
    </row>
    <row r="463" ht="15" customHeight="1" s="20">
      <c r="O463" s="32" t="n"/>
    </row>
    <row r="464" ht="15" customHeight="1" s="20">
      <c r="O464" s="32" t="n"/>
    </row>
    <row r="465" ht="15" customHeight="1" s="20">
      <c r="O465" s="32" t="n"/>
    </row>
    <row r="466" ht="15" customHeight="1" s="20">
      <c r="O466" s="32" t="n"/>
    </row>
    <row r="467" ht="15" customHeight="1" s="20">
      <c r="O467" s="32" t="n"/>
    </row>
    <row r="468" ht="15" customHeight="1" s="20">
      <c r="O468" s="32" t="n"/>
    </row>
    <row r="469" ht="15" customHeight="1" s="20">
      <c r="O469" s="32" t="n"/>
    </row>
    <row r="470" ht="15" customHeight="1" s="20">
      <c r="O470" s="32" t="n"/>
    </row>
    <row r="471" ht="15" customHeight="1" s="20">
      <c r="O471" s="32" t="n"/>
    </row>
    <row r="472" ht="15" customHeight="1" s="20">
      <c r="O472" s="32" t="n"/>
    </row>
    <row r="473" ht="15" customHeight="1" s="20">
      <c r="O473" s="32" t="n"/>
    </row>
    <row r="474" ht="15" customHeight="1" s="20">
      <c r="O474" s="32" t="n"/>
    </row>
    <row r="475" ht="15" customHeight="1" s="20">
      <c r="O475" s="32" t="n"/>
    </row>
    <row r="476" ht="15" customHeight="1" s="20">
      <c r="O476" s="32" t="n"/>
    </row>
    <row r="477" ht="15" customHeight="1" s="20">
      <c r="O477" s="32" t="n"/>
    </row>
    <row r="478" ht="15" customHeight="1" s="20">
      <c r="O478" s="32" t="n"/>
    </row>
    <row r="479" ht="15" customHeight="1" s="20">
      <c r="O479" s="32" t="n"/>
    </row>
    <row r="480" ht="15" customHeight="1" s="20">
      <c r="O480" s="32" t="n"/>
    </row>
    <row r="481" ht="15" customHeight="1" s="20">
      <c r="O481" s="32" t="n"/>
    </row>
    <row r="482" ht="15" customHeight="1" s="20">
      <c r="O482" s="32" t="n"/>
    </row>
    <row r="483" ht="15" customHeight="1" s="20">
      <c r="O483" s="32" t="n"/>
    </row>
    <row r="484" ht="15" customHeight="1" s="20">
      <c r="O484" s="32" t="n"/>
    </row>
    <row r="485" ht="15" customHeight="1" s="20">
      <c r="O485" s="32" t="n"/>
    </row>
    <row r="486" ht="15" customHeight="1" s="20">
      <c r="O486" s="32" t="n"/>
    </row>
    <row r="487" ht="15" customHeight="1" s="20">
      <c r="O487" s="32" t="n"/>
    </row>
    <row r="488" ht="15" customHeight="1" s="20">
      <c r="O488" s="32" t="n"/>
    </row>
    <row r="489" ht="15" customHeight="1" s="20">
      <c r="O489" s="32" t="n"/>
    </row>
    <row r="490" ht="15" customHeight="1" s="20">
      <c r="O490" s="32" t="n"/>
    </row>
    <row r="491" ht="15" customHeight="1" s="20">
      <c r="O491" s="32" t="n"/>
    </row>
    <row r="492" ht="15" customHeight="1" s="20">
      <c r="O492" s="32" t="n"/>
    </row>
    <row r="493" ht="15" customHeight="1" s="20">
      <c r="O493" s="32" t="n"/>
    </row>
    <row r="494" ht="15" customHeight="1" s="20">
      <c r="O494" s="32" t="n"/>
    </row>
    <row r="495" ht="15" customHeight="1" s="20">
      <c r="O495" s="32" t="n"/>
    </row>
    <row r="496" ht="15" customHeight="1" s="20">
      <c r="O496" s="32" t="n"/>
    </row>
    <row r="497" ht="15" customHeight="1" s="20">
      <c r="O497" s="32" t="n"/>
    </row>
    <row r="498" ht="15" customHeight="1" s="20">
      <c r="O498" s="32" t="n"/>
    </row>
    <row r="499" ht="15" customHeight="1" s="20">
      <c r="O499" s="32" t="n"/>
    </row>
    <row r="500" ht="15" customHeight="1" s="20">
      <c r="O500" s="32" t="n"/>
    </row>
    <row r="501" ht="15" customHeight="1" s="20">
      <c r="O501" s="32" t="n"/>
    </row>
    <row r="502" ht="15" customHeight="1" s="20">
      <c r="O502" s="32" t="n"/>
    </row>
    <row r="503" ht="15" customHeight="1" s="20">
      <c r="O503" s="32" t="n"/>
    </row>
    <row r="504" ht="15" customHeight="1" s="20">
      <c r="O504" s="32" t="n"/>
    </row>
    <row r="505" ht="15" customHeight="1" s="20">
      <c r="O505" s="32" t="n"/>
    </row>
    <row r="506" ht="15" customHeight="1" s="20">
      <c r="O506" s="32" t="n"/>
    </row>
    <row r="507" ht="15" customHeight="1" s="20">
      <c r="O507" s="32" t="n"/>
    </row>
    <row r="508" ht="15" customHeight="1" s="20">
      <c r="O508" s="32" t="n"/>
    </row>
    <row r="509" ht="15" customHeight="1" s="20">
      <c r="O509" s="32" t="n"/>
    </row>
    <row r="510" ht="15" customHeight="1" s="20">
      <c r="O510" s="32" t="n"/>
    </row>
    <row r="511" ht="15" customHeight="1" s="20">
      <c r="O511" s="32" t="n"/>
    </row>
    <row r="512" ht="15" customHeight="1" s="20">
      <c r="O512" s="32" t="n"/>
    </row>
    <row r="513" ht="15" customHeight="1" s="20">
      <c r="O513" s="32" t="n"/>
    </row>
    <row r="514" ht="15" customHeight="1" s="20">
      <c r="O514" s="32" t="n"/>
    </row>
    <row r="515" ht="15" customHeight="1" s="20">
      <c r="O515" s="32" t="n"/>
    </row>
    <row r="516" ht="15" customHeight="1" s="20">
      <c r="O516" s="32" t="n"/>
    </row>
    <row r="517" ht="15" customHeight="1" s="20">
      <c r="O517" s="32" t="n"/>
    </row>
    <row r="518" ht="15" customHeight="1" s="20">
      <c r="O518" s="32" t="n"/>
    </row>
    <row r="519" ht="15" customHeight="1" s="20">
      <c r="O519" s="32" t="n"/>
    </row>
    <row r="520" ht="15" customHeight="1" s="20">
      <c r="O520" s="32" t="n"/>
    </row>
    <row r="521" ht="15" customHeight="1" s="20">
      <c r="O521" s="32" t="n"/>
    </row>
    <row r="522" ht="15" customHeight="1" s="20">
      <c r="O522" s="32" t="n"/>
    </row>
    <row r="523" ht="15" customHeight="1" s="20">
      <c r="O523" s="32" t="n"/>
    </row>
    <row r="524" ht="15" customHeight="1" s="20">
      <c r="O524" s="32" t="n"/>
    </row>
    <row r="525" ht="15" customHeight="1" s="20">
      <c r="O525" s="32" t="n"/>
    </row>
    <row r="526" ht="15" customHeight="1" s="20">
      <c r="O526" s="32" t="n"/>
    </row>
    <row r="527" ht="15" customHeight="1" s="20">
      <c r="O527" s="32" t="n"/>
    </row>
    <row r="528" ht="15" customHeight="1" s="20">
      <c r="O528" s="32" t="n"/>
    </row>
    <row r="529" ht="15" customHeight="1" s="20">
      <c r="O529" s="32" t="n"/>
    </row>
    <row r="530" ht="15" customHeight="1" s="20">
      <c r="O530" s="32" t="n"/>
    </row>
    <row r="531" ht="15" customHeight="1" s="20">
      <c r="O531" s="32" t="n"/>
    </row>
    <row r="532" ht="15" customHeight="1" s="20">
      <c r="O532" s="32" t="n"/>
    </row>
    <row r="533" ht="15" customHeight="1" s="20">
      <c r="O533" s="32" t="n"/>
    </row>
    <row r="534" ht="15" customHeight="1" s="20">
      <c r="O534" s="32" t="n"/>
    </row>
    <row r="535" ht="15" customHeight="1" s="20">
      <c r="O535" s="32" t="n"/>
    </row>
    <row r="536" ht="15" customHeight="1" s="20">
      <c r="O536" s="32" t="n"/>
    </row>
    <row r="537" ht="15" customHeight="1" s="20">
      <c r="O537" s="32" t="n"/>
    </row>
    <row r="538" ht="15" customHeight="1" s="20">
      <c r="O538" s="32" t="n"/>
    </row>
    <row r="539" ht="15" customHeight="1" s="20">
      <c r="O539" s="32" t="n"/>
    </row>
    <row r="540" ht="15" customHeight="1" s="20">
      <c r="O540" s="32" t="n"/>
    </row>
    <row r="541" ht="15" customHeight="1" s="20">
      <c r="O541" s="32" t="n"/>
    </row>
    <row r="542" ht="15" customHeight="1" s="20">
      <c r="O542" s="32" t="n"/>
    </row>
    <row r="543" ht="15" customHeight="1" s="20">
      <c r="O543" s="32" t="n"/>
    </row>
    <row r="544" ht="15" customHeight="1" s="20">
      <c r="O544" s="32" t="n"/>
    </row>
    <row r="545" ht="15" customHeight="1" s="20">
      <c r="O545" s="32" t="n"/>
    </row>
    <row r="546" ht="15" customHeight="1" s="20">
      <c r="O546" s="32" t="n"/>
    </row>
    <row r="547" ht="15" customHeight="1" s="20">
      <c r="O547" s="32" t="n"/>
    </row>
    <row r="548" ht="15" customHeight="1" s="20">
      <c r="O548" s="32" t="n"/>
    </row>
    <row r="549" ht="15" customHeight="1" s="20">
      <c r="O549" s="32" t="n"/>
    </row>
    <row r="550" ht="15" customHeight="1" s="20">
      <c r="O550" s="32" t="n"/>
    </row>
    <row r="551" ht="15" customHeight="1" s="20">
      <c r="O551" s="32" t="n"/>
    </row>
    <row r="552" ht="15" customHeight="1" s="20">
      <c r="O552" s="32" t="n"/>
    </row>
    <row r="553" ht="15" customHeight="1" s="20">
      <c r="O553" s="32" t="n"/>
    </row>
    <row r="554" ht="15" customHeight="1" s="20">
      <c r="O554" s="32" t="n"/>
    </row>
    <row r="555" ht="15" customHeight="1" s="20">
      <c r="O555" s="32" t="n"/>
    </row>
    <row r="556" ht="15" customHeight="1" s="20">
      <c r="O556" s="32" t="n"/>
    </row>
    <row r="557" ht="15" customHeight="1" s="20">
      <c r="O557" s="32" t="n"/>
    </row>
    <row r="558" ht="15" customHeight="1" s="20">
      <c r="O558" s="32" t="n"/>
    </row>
    <row r="559" ht="15" customHeight="1" s="20">
      <c r="O559" s="32" t="n"/>
    </row>
    <row r="560" ht="15" customHeight="1" s="20">
      <c r="O560" s="32" t="n"/>
    </row>
    <row r="561" ht="15" customHeight="1" s="20">
      <c r="O561" s="32" t="n"/>
    </row>
    <row r="562" ht="15" customHeight="1" s="20">
      <c r="O562" s="32" t="n"/>
    </row>
    <row r="563" ht="15" customHeight="1" s="20">
      <c r="O563" s="32" t="n"/>
    </row>
    <row r="564" ht="15" customHeight="1" s="20">
      <c r="O564" s="32" t="n"/>
    </row>
    <row r="565" ht="15" customHeight="1" s="20">
      <c r="O565" s="32" t="n"/>
    </row>
    <row r="566" ht="15" customHeight="1" s="20">
      <c r="O566" s="32" t="n"/>
    </row>
    <row r="567" ht="15" customHeight="1" s="20">
      <c r="O567" s="32" t="n"/>
    </row>
    <row r="568" ht="15" customHeight="1" s="20">
      <c r="O568" s="32" t="n"/>
    </row>
    <row r="569" ht="15" customHeight="1" s="20">
      <c r="O569" s="32" t="n"/>
    </row>
    <row r="570" ht="15" customHeight="1" s="20">
      <c r="O570" s="32" t="n"/>
    </row>
    <row r="571" ht="15" customHeight="1" s="20">
      <c r="O571" s="32" t="n"/>
    </row>
    <row r="572" ht="15" customHeight="1" s="20">
      <c r="O572" s="32" t="n"/>
    </row>
    <row r="573" ht="15" customHeight="1" s="20">
      <c r="O573" s="32" t="n"/>
    </row>
    <row r="574" ht="15" customHeight="1" s="20">
      <c r="O574" s="32" t="n"/>
    </row>
    <row r="575" ht="15" customHeight="1" s="20">
      <c r="O575" s="32" t="n"/>
    </row>
    <row r="576" ht="15" customHeight="1" s="20">
      <c r="O576" s="32" t="n"/>
    </row>
    <row r="577" ht="15" customHeight="1" s="20">
      <c r="O577" s="32" t="n"/>
    </row>
    <row r="578" ht="15" customHeight="1" s="20">
      <c r="O578" s="32" t="n"/>
    </row>
    <row r="579" ht="15" customHeight="1" s="20">
      <c r="O579" s="32" t="n"/>
    </row>
    <row r="580" ht="15" customHeight="1" s="20">
      <c r="O580" s="32" t="n"/>
    </row>
    <row r="581" ht="15" customHeight="1" s="20">
      <c r="O581" s="32" t="n"/>
    </row>
    <row r="582" ht="15" customHeight="1" s="20">
      <c r="O582" s="32" t="n"/>
    </row>
    <row r="583" ht="15" customHeight="1" s="20">
      <c r="O583" s="32" t="n"/>
    </row>
    <row r="584" ht="15" customHeight="1" s="20">
      <c r="O584" s="32" t="n"/>
    </row>
    <row r="585" ht="15" customHeight="1" s="20">
      <c r="O585" s="32" t="n"/>
    </row>
    <row r="586" ht="15" customHeight="1" s="20">
      <c r="O586" s="32" t="n"/>
    </row>
    <row r="587" ht="15" customHeight="1" s="20">
      <c r="O587" s="32" t="n"/>
    </row>
    <row r="588" ht="15" customHeight="1" s="20">
      <c r="O588" s="32" t="n"/>
    </row>
    <row r="589" ht="15" customHeight="1" s="20">
      <c r="O589" s="32" t="n"/>
    </row>
    <row r="590" ht="15" customHeight="1" s="20">
      <c r="O590" s="32" t="n"/>
    </row>
    <row r="591" ht="15" customHeight="1" s="20">
      <c r="O591" s="32" t="n"/>
    </row>
    <row r="592" ht="15" customHeight="1" s="20">
      <c r="O592" s="32" t="n"/>
    </row>
    <row r="593" ht="15" customHeight="1" s="20">
      <c r="O593" s="32" t="n"/>
    </row>
    <row r="594" ht="15" customHeight="1" s="20">
      <c r="O594" s="32" t="n"/>
    </row>
    <row r="595" ht="15" customHeight="1" s="20">
      <c r="O595" s="32" t="n"/>
    </row>
    <row r="596" ht="15" customHeight="1" s="20">
      <c r="O596" s="32" t="n"/>
    </row>
    <row r="597" ht="15" customHeight="1" s="20">
      <c r="O597" s="32" t="n"/>
    </row>
    <row r="598" ht="15" customHeight="1" s="20">
      <c r="O598" s="32" t="n"/>
    </row>
    <row r="599" ht="15" customHeight="1" s="20">
      <c r="O599" s="32" t="n"/>
    </row>
    <row r="600" ht="15" customHeight="1" s="20">
      <c r="O600" s="32" t="n"/>
    </row>
    <row r="601" ht="15" customHeight="1" s="20">
      <c r="O601" s="32" t="n"/>
    </row>
    <row r="602" ht="15" customHeight="1" s="20">
      <c r="O602" s="32" t="n"/>
    </row>
    <row r="603" ht="15" customHeight="1" s="20">
      <c r="O603" s="32" t="n"/>
    </row>
    <row r="604" ht="15" customHeight="1" s="20">
      <c r="O604" s="32" t="n"/>
    </row>
    <row r="605" ht="15" customHeight="1" s="20">
      <c r="O605" s="32" t="n"/>
    </row>
    <row r="606" ht="15" customHeight="1" s="20">
      <c r="O606" s="32" t="n"/>
    </row>
    <row r="607" ht="15" customHeight="1" s="20">
      <c r="O607" s="32" t="n"/>
    </row>
    <row r="608" ht="15" customHeight="1" s="20">
      <c r="O608" s="32" t="n"/>
    </row>
    <row r="609" ht="15" customHeight="1" s="20">
      <c r="O609" s="32" t="n"/>
    </row>
    <row r="610" ht="15" customHeight="1" s="20">
      <c r="O610" s="32" t="n"/>
    </row>
    <row r="611" ht="15" customHeight="1" s="20">
      <c r="O611" s="32" t="n"/>
    </row>
    <row r="612" ht="15" customHeight="1" s="20">
      <c r="O612" s="32" t="n"/>
    </row>
    <row r="613" ht="15" customHeight="1" s="20">
      <c r="O613" s="32" t="n"/>
    </row>
    <row r="614" ht="15" customHeight="1" s="20">
      <c r="O614" s="32" t="n"/>
    </row>
    <row r="615" ht="15" customHeight="1" s="20">
      <c r="O615" s="32" t="n"/>
    </row>
    <row r="616" ht="15" customHeight="1" s="20">
      <c r="O616" s="32" t="n"/>
    </row>
    <row r="617" ht="15" customHeight="1" s="20">
      <c r="O617" s="32" t="n"/>
    </row>
    <row r="618" ht="15" customHeight="1" s="20">
      <c r="O618" s="32" t="n"/>
    </row>
    <row r="619" ht="15" customHeight="1" s="20">
      <c r="O619" s="32" t="n"/>
    </row>
    <row r="620" ht="15" customHeight="1" s="20">
      <c r="O620" s="32" t="n"/>
    </row>
    <row r="621" ht="15" customHeight="1" s="20">
      <c r="O621" s="32" t="n"/>
    </row>
    <row r="622" ht="15" customHeight="1" s="20">
      <c r="O622" s="32" t="n"/>
    </row>
    <row r="623" ht="15" customHeight="1" s="20">
      <c r="O623" s="32" t="n"/>
    </row>
    <row r="624" ht="15" customHeight="1" s="20">
      <c r="O624" s="32" t="n"/>
    </row>
    <row r="625" ht="15" customHeight="1" s="20">
      <c r="O625" s="32" t="n"/>
    </row>
    <row r="626" ht="15" customHeight="1" s="20">
      <c r="O626" s="32" t="n"/>
    </row>
    <row r="627" ht="15" customHeight="1" s="20">
      <c r="O627" s="32" t="n"/>
    </row>
    <row r="628" ht="15" customHeight="1" s="20">
      <c r="O628" s="32" t="n"/>
    </row>
    <row r="629" ht="15" customHeight="1" s="20">
      <c r="O629" s="32" t="n"/>
    </row>
    <row r="630" ht="15" customHeight="1" s="20">
      <c r="O630" s="32" t="n"/>
    </row>
    <row r="631" ht="15" customHeight="1" s="20">
      <c r="O631" s="32" t="n"/>
    </row>
    <row r="632" ht="15" customHeight="1" s="20">
      <c r="O632" s="32" t="n"/>
    </row>
    <row r="633" ht="15" customHeight="1" s="20">
      <c r="O633" s="32" t="n"/>
    </row>
    <row r="634" ht="15" customHeight="1" s="20">
      <c r="O634" s="32" t="n"/>
    </row>
    <row r="635" ht="15" customHeight="1" s="20">
      <c r="O635" s="32" t="n"/>
    </row>
    <row r="636" ht="15" customHeight="1" s="20">
      <c r="O636" s="32" t="n"/>
    </row>
    <row r="637" ht="15" customHeight="1" s="20">
      <c r="O637" s="32" t="n"/>
    </row>
    <row r="638" ht="15" customHeight="1" s="20">
      <c r="O638" s="32" t="n"/>
    </row>
    <row r="639" ht="15" customHeight="1" s="20">
      <c r="O639" s="32" t="n"/>
    </row>
    <row r="640" ht="15" customHeight="1" s="20">
      <c r="O640" s="32" t="n"/>
    </row>
    <row r="641" ht="15" customHeight="1" s="20">
      <c r="O641" s="32" t="n"/>
    </row>
    <row r="642" ht="15" customHeight="1" s="20">
      <c r="O642" s="32" t="n"/>
    </row>
    <row r="643" ht="15" customHeight="1" s="20">
      <c r="O643" s="32" t="n"/>
    </row>
    <row r="644" ht="15" customHeight="1" s="20">
      <c r="O644" s="32" t="n"/>
    </row>
    <row r="645" ht="15" customHeight="1" s="20">
      <c r="O645" s="32" t="n"/>
    </row>
    <row r="646" ht="15" customHeight="1" s="20">
      <c r="O646" s="32" t="n"/>
    </row>
    <row r="647" ht="15" customHeight="1" s="20">
      <c r="O647" s="32" t="n"/>
    </row>
    <row r="648" ht="15" customHeight="1" s="20">
      <c r="O648" s="32" t="n"/>
    </row>
    <row r="649" ht="15" customHeight="1" s="20">
      <c r="O649" s="32" t="n"/>
    </row>
    <row r="650" ht="15" customHeight="1" s="20">
      <c r="O650" s="32" t="n"/>
    </row>
    <row r="651" ht="15" customHeight="1" s="20">
      <c r="O651" s="32" t="n"/>
    </row>
    <row r="652" ht="15" customHeight="1" s="20">
      <c r="O652" s="32" t="n"/>
    </row>
    <row r="653" ht="15" customHeight="1" s="20">
      <c r="O653" s="32" t="n"/>
    </row>
    <row r="654" ht="15" customHeight="1" s="20">
      <c r="O654" s="32" t="n"/>
    </row>
    <row r="655" ht="15" customHeight="1" s="20">
      <c r="O655" s="32" t="n"/>
    </row>
    <row r="656" ht="15" customHeight="1" s="20">
      <c r="O656" s="32" t="n"/>
    </row>
    <row r="657" ht="15" customHeight="1" s="20">
      <c r="O657" s="32" t="n"/>
    </row>
    <row r="658" ht="15" customHeight="1" s="20">
      <c r="O658" s="32" t="n"/>
    </row>
    <row r="659" ht="15" customHeight="1" s="20">
      <c r="O659" s="32" t="n"/>
    </row>
    <row r="660" ht="15" customHeight="1" s="20">
      <c r="O660" s="32" t="n"/>
    </row>
    <row r="661" ht="15" customHeight="1" s="20">
      <c r="O661" s="32" t="n"/>
    </row>
    <row r="662" ht="15" customHeight="1" s="20">
      <c r="O662" s="32" t="n"/>
    </row>
    <row r="663" ht="15" customHeight="1" s="20">
      <c r="O663" s="32" t="n"/>
    </row>
    <row r="664" ht="15" customHeight="1" s="20">
      <c r="O664" s="32" t="n"/>
    </row>
    <row r="665" ht="15" customHeight="1" s="20">
      <c r="O665" s="32" t="n"/>
    </row>
    <row r="666" ht="15" customHeight="1" s="20">
      <c r="O666" s="32" t="n"/>
    </row>
    <row r="667" ht="15" customHeight="1" s="20">
      <c r="O667" s="32" t="n"/>
    </row>
    <row r="668" ht="15" customHeight="1" s="20">
      <c r="O668" s="32" t="n"/>
    </row>
    <row r="669" ht="15" customHeight="1" s="20">
      <c r="O669" s="32" t="n"/>
    </row>
    <row r="670" ht="15" customHeight="1" s="20">
      <c r="O670" s="32" t="n"/>
    </row>
    <row r="671" ht="15" customHeight="1" s="20">
      <c r="O671" s="32" t="n"/>
    </row>
    <row r="672" ht="15" customHeight="1" s="20">
      <c r="O672" s="32" t="n"/>
    </row>
    <row r="673" ht="15" customHeight="1" s="20">
      <c r="O673" s="32" t="n"/>
    </row>
    <row r="674" ht="15" customHeight="1" s="20">
      <c r="O674" s="32" t="n"/>
    </row>
    <row r="675" ht="15" customHeight="1" s="20">
      <c r="O675" s="32" t="n"/>
    </row>
    <row r="676" ht="15" customHeight="1" s="20">
      <c r="O676" s="32" t="n"/>
    </row>
    <row r="677" ht="15" customHeight="1" s="20">
      <c r="O677" s="32" t="n"/>
    </row>
    <row r="678" ht="15" customHeight="1" s="20">
      <c r="O678" s="32" t="n"/>
    </row>
    <row r="679" ht="15" customHeight="1" s="20">
      <c r="O679" s="32" t="n"/>
    </row>
    <row r="680" ht="15" customHeight="1" s="20">
      <c r="O680" s="32" t="n"/>
    </row>
    <row r="681" ht="15" customHeight="1" s="20">
      <c r="O681" s="32" t="n"/>
    </row>
    <row r="682" ht="15" customHeight="1" s="20">
      <c r="O682" s="32" t="n"/>
    </row>
    <row r="683" ht="15" customHeight="1" s="20">
      <c r="O683" s="32" t="n"/>
    </row>
    <row r="684" ht="15" customHeight="1" s="20">
      <c r="O684" s="32" t="n"/>
    </row>
    <row r="685" ht="15" customHeight="1" s="20">
      <c r="O685" s="32" t="n"/>
    </row>
    <row r="686" ht="15" customHeight="1" s="20">
      <c r="O686" s="32" t="n"/>
    </row>
    <row r="687" ht="15" customHeight="1" s="20">
      <c r="O687" s="32" t="n"/>
    </row>
    <row r="688" ht="15" customHeight="1" s="20">
      <c r="O688" s="32" t="n"/>
    </row>
    <row r="689" ht="15" customHeight="1" s="20">
      <c r="O689" s="32" t="n"/>
    </row>
    <row r="690" ht="15" customHeight="1" s="20">
      <c r="O690" s="32" t="n"/>
    </row>
    <row r="691" ht="15" customHeight="1" s="20">
      <c r="O691" s="32" t="n"/>
    </row>
    <row r="692" ht="15" customHeight="1" s="20">
      <c r="O692" s="32" t="n"/>
    </row>
    <row r="693" ht="15" customHeight="1" s="20">
      <c r="O693" s="32" t="n"/>
    </row>
    <row r="694" ht="15" customHeight="1" s="20">
      <c r="O694" s="32" t="n"/>
    </row>
    <row r="695" ht="15" customHeight="1" s="20">
      <c r="O695" s="32" t="n"/>
    </row>
    <row r="696" ht="15" customHeight="1" s="20">
      <c r="O696" s="32" t="n"/>
    </row>
    <row r="697" ht="15" customHeight="1" s="20">
      <c r="O697" s="32" t="n"/>
    </row>
    <row r="698" ht="15" customHeight="1" s="20">
      <c r="O698" s="32" t="n"/>
    </row>
    <row r="699" ht="15" customHeight="1" s="20">
      <c r="O699" s="32" t="n"/>
    </row>
    <row r="700" ht="15" customHeight="1" s="20">
      <c r="O700" s="32" t="n"/>
    </row>
    <row r="701" ht="15" customHeight="1" s="20">
      <c r="O701" s="32" t="n"/>
    </row>
    <row r="702" ht="15" customHeight="1" s="20">
      <c r="O702" s="32" t="n"/>
    </row>
    <row r="703" ht="15" customHeight="1" s="20">
      <c r="O703" s="32" t="n"/>
    </row>
    <row r="704" ht="15" customHeight="1" s="20">
      <c r="O704" s="32" t="n"/>
    </row>
    <row r="705" ht="15" customHeight="1" s="20">
      <c r="O705" s="32" t="n"/>
    </row>
    <row r="706" ht="15" customHeight="1" s="20">
      <c r="O706" s="32" t="n"/>
    </row>
    <row r="707" ht="15" customHeight="1" s="20">
      <c r="O707" s="32" t="n"/>
    </row>
    <row r="708" ht="15" customHeight="1" s="20">
      <c r="O708" s="32" t="n"/>
    </row>
    <row r="709" ht="15" customHeight="1" s="20">
      <c r="O709" s="32" t="n"/>
    </row>
    <row r="710" ht="15" customHeight="1" s="20">
      <c r="O710" s="32" t="n"/>
    </row>
    <row r="711" ht="15" customHeight="1" s="20">
      <c r="O711" s="32" t="n"/>
    </row>
    <row r="712" ht="15" customHeight="1" s="20">
      <c r="O712" s="32" t="n"/>
    </row>
    <row r="713" ht="15" customHeight="1" s="20">
      <c r="O713" s="32" t="n"/>
    </row>
    <row r="714" ht="15" customHeight="1" s="20">
      <c r="O714" s="32" t="n"/>
    </row>
    <row r="715" ht="15" customHeight="1" s="20">
      <c r="O715" s="32" t="n"/>
    </row>
    <row r="716" ht="15" customHeight="1" s="20">
      <c r="O716" s="32" t="n"/>
    </row>
    <row r="717" ht="15" customHeight="1" s="20">
      <c r="O717" s="32" t="n"/>
    </row>
    <row r="718" ht="15" customHeight="1" s="20">
      <c r="O718" s="32" t="n"/>
    </row>
    <row r="719" ht="15" customHeight="1" s="20">
      <c r="O719" s="32" t="n"/>
    </row>
    <row r="720" ht="15" customHeight="1" s="20">
      <c r="O720" s="32" t="n"/>
    </row>
    <row r="721" ht="15" customHeight="1" s="20">
      <c r="O721" s="32" t="n"/>
    </row>
    <row r="722" ht="15" customHeight="1" s="20">
      <c r="O722" s="32" t="n"/>
    </row>
    <row r="723" ht="15" customHeight="1" s="20">
      <c r="O723" s="32" t="n"/>
    </row>
    <row r="724" ht="15" customHeight="1" s="20">
      <c r="O724" s="32" t="n"/>
    </row>
    <row r="725" ht="15" customHeight="1" s="20">
      <c r="O725" s="32" t="n"/>
    </row>
    <row r="726" ht="15" customHeight="1" s="20">
      <c r="O726" s="32" t="n"/>
    </row>
    <row r="727" ht="15" customHeight="1" s="20">
      <c r="O727" s="32" t="n"/>
    </row>
    <row r="728" ht="15" customHeight="1" s="20">
      <c r="O728" s="32" t="n"/>
    </row>
    <row r="729" ht="15" customHeight="1" s="20">
      <c r="O729" s="32" t="n"/>
    </row>
    <row r="730" ht="15" customHeight="1" s="20">
      <c r="O730" s="32" t="n"/>
    </row>
    <row r="731" ht="15" customHeight="1" s="20">
      <c r="O731" s="32" t="n"/>
    </row>
    <row r="732" ht="15" customHeight="1" s="20">
      <c r="O732" s="32" t="n"/>
    </row>
    <row r="733" ht="15" customHeight="1" s="20">
      <c r="O733" s="32" t="n"/>
    </row>
    <row r="734" ht="15" customHeight="1" s="20">
      <c r="O734" s="32" t="n"/>
    </row>
    <row r="735" ht="15" customHeight="1" s="20">
      <c r="O735" s="32" t="n"/>
    </row>
    <row r="736" ht="15" customHeight="1" s="20">
      <c r="O736" s="32" t="n"/>
    </row>
    <row r="737" ht="15" customHeight="1" s="20">
      <c r="O737" s="32" t="n"/>
    </row>
    <row r="738" ht="15" customHeight="1" s="20">
      <c r="O738" s="32" t="n"/>
    </row>
    <row r="739" ht="15" customHeight="1" s="20">
      <c r="O739" s="32" t="n"/>
    </row>
    <row r="740" ht="15" customHeight="1" s="20">
      <c r="O740" s="32" t="n"/>
    </row>
    <row r="741" ht="15" customHeight="1" s="20">
      <c r="O741" s="32" t="n"/>
    </row>
    <row r="742" ht="15" customHeight="1" s="20">
      <c r="O742" s="32" t="n"/>
    </row>
    <row r="743" ht="15" customHeight="1" s="20">
      <c r="O743" s="32" t="n"/>
    </row>
    <row r="744" ht="15" customHeight="1" s="20">
      <c r="O744" s="32" t="n"/>
    </row>
    <row r="745" ht="15" customHeight="1" s="20">
      <c r="O745" s="32" t="n"/>
    </row>
    <row r="746" ht="15" customHeight="1" s="20">
      <c r="O746" s="32" t="n"/>
    </row>
    <row r="747" ht="15" customHeight="1" s="20">
      <c r="O747" s="32" t="n"/>
    </row>
    <row r="748" ht="15" customHeight="1" s="20">
      <c r="O748" s="32" t="n"/>
    </row>
    <row r="749" ht="15" customHeight="1" s="20">
      <c r="O749" s="32" t="n"/>
    </row>
    <row r="750" ht="15" customHeight="1" s="20">
      <c r="O750" s="32" t="n"/>
    </row>
    <row r="751" ht="15" customHeight="1" s="20">
      <c r="O751" s="32" t="n"/>
    </row>
    <row r="752" ht="15" customHeight="1" s="20">
      <c r="O752" s="32" t="n"/>
    </row>
    <row r="753" ht="15" customHeight="1" s="20">
      <c r="O753" s="32" t="n"/>
    </row>
    <row r="754" ht="15" customHeight="1" s="20">
      <c r="O754" s="32" t="n"/>
    </row>
    <row r="755" ht="15" customHeight="1" s="20">
      <c r="O755" s="32" t="n"/>
    </row>
    <row r="756" ht="15" customHeight="1" s="20">
      <c r="O756" s="32" t="n"/>
    </row>
    <row r="757" ht="15" customHeight="1" s="20">
      <c r="O757" s="32" t="n"/>
    </row>
    <row r="758" ht="15" customHeight="1" s="20">
      <c r="O758" s="32" t="n"/>
    </row>
    <row r="759" ht="15" customHeight="1" s="20">
      <c r="O759" s="32" t="n"/>
    </row>
    <row r="760" ht="15" customHeight="1" s="20">
      <c r="O760" s="32" t="n"/>
    </row>
    <row r="761" ht="15" customHeight="1" s="20">
      <c r="O761" s="32" t="n"/>
    </row>
    <row r="762" ht="15" customHeight="1" s="20">
      <c r="O762" s="32" t="n"/>
    </row>
    <row r="763" ht="15" customHeight="1" s="20">
      <c r="O763" s="32" t="n"/>
    </row>
    <row r="764" ht="15" customHeight="1" s="20">
      <c r="O764" s="32" t="n"/>
    </row>
    <row r="765" ht="15" customHeight="1" s="20">
      <c r="O765" s="32" t="n"/>
    </row>
    <row r="766" ht="15" customHeight="1" s="20">
      <c r="O766" s="32" t="n"/>
    </row>
    <row r="767" ht="15" customHeight="1" s="20">
      <c r="O767" s="32" t="n"/>
    </row>
    <row r="768" ht="15" customHeight="1" s="20">
      <c r="O768" s="32" t="n"/>
    </row>
    <row r="769" ht="15" customHeight="1" s="20">
      <c r="O769" s="32" t="n"/>
    </row>
    <row r="770" ht="15" customHeight="1" s="20">
      <c r="O770" s="32" t="n"/>
    </row>
    <row r="771" ht="15" customHeight="1" s="20">
      <c r="O771" s="32" t="n"/>
    </row>
    <row r="772" ht="15" customHeight="1" s="20">
      <c r="O772" s="32" t="n"/>
    </row>
    <row r="773" ht="15" customHeight="1" s="20">
      <c r="O773" s="32" t="n"/>
    </row>
    <row r="774" ht="15" customHeight="1" s="20">
      <c r="O774" s="32" t="n"/>
    </row>
    <row r="775" ht="15" customHeight="1" s="20">
      <c r="O775" s="32" t="n"/>
    </row>
    <row r="776" ht="15" customHeight="1" s="20">
      <c r="O776" s="32" t="n"/>
    </row>
    <row r="777" ht="15" customHeight="1" s="20">
      <c r="O777" s="32" t="n"/>
    </row>
    <row r="778" ht="15" customHeight="1" s="20">
      <c r="O778" s="32" t="n"/>
    </row>
    <row r="779" ht="15" customHeight="1" s="20">
      <c r="O779" s="32" t="n"/>
    </row>
    <row r="780" ht="15" customHeight="1" s="20">
      <c r="O780" s="32" t="n"/>
    </row>
    <row r="781" ht="15" customHeight="1" s="20">
      <c r="O781" s="32" t="n"/>
    </row>
    <row r="782" ht="15" customHeight="1" s="20">
      <c r="O782" s="32" t="n"/>
    </row>
    <row r="783" ht="15" customHeight="1" s="20">
      <c r="O783" s="32" t="n"/>
    </row>
    <row r="784" ht="15" customHeight="1" s="20">
      <c r="O784" s="32" t="n"/>
    </row>
    <row r="785" ht="15" customHeight="1" s="20">
      <c r="O785" s="32" t="n"/>
    </row>
    <row r="786" ht="15" customHeight="1" s="20">
      <c r="O786" s="32" t="n"/>
    </row>
    <row r="787" ht="15" customHeight="1" s="20">
      <c r="O787" s="32" t="n"/>
    </row>
    <row r="788" ht="15" customHeight="1" s="20">
      <c r="O788" s="32" t="n"/>
    </row>
    <row r="789" ht="15" customHeight="1" s="20">
      <c r="O789" s="32" t="n"/>
    </row>
    <row r="790" ht="15" customHeight="1" s="20">
      <c r="O790" s="32" t="n"/>
    </row>
    <row r="791" ht="15" customHeight="1" s="20">
      <c r="O791" s="32" t="n"/>
    </row>
    <row r="792" ht="15" customHeight="1" s="20">
      <c r="O792" s="32" t="n"/>
    </row>
    <row r="793" ht="15" customHeight="1" s="20">
      <c r="O793" s="32" t="n"/>
    </row>
    <row r="794" ht="15" customHeight="1" s="20">
      <c r="O794" s="32" t="n"/>
    </row>
    <row r="795" ht="15" customHeight="1" s="20">
      <c r="O795" s="32" t="n"/>
    </row>
    <row r="796" ht="15" customHeight="1" s="20">
      <c r="O796" s="32" t="n"/>
    </row>
    <row r="797" ht="15" customHeight="1" s="20">
      <c r="O797" s="32" t="n"/>
    </row>
    <row r="798" ht="15" customHeight="1" s="20">
      <c r="O798" s="32" t="n"/>
    </row>
    <row r="799" ht="15" customHeight="1" s="20">
      <c r="O799" s="32" t="n"/>
    </row>
    <row r="800" ht="15" customHeight="1" s="20">
      <c r="O800" s="32" t="n"/>
    </row>
    <row r="801" ht="15" customHeight="1" s="20">
      <c r="O801" s="32" t="n"/>
    </row>
    <row r="802" ht="15" customHeight="1" s="20">
      <c r="O802" s="32" t="n"/>
    </row>
    <row r="803" ht="15" customHeight="1" s="20">
      <c r="O803" s="32" t="n"/>
    </row>
    <row r="804" ht="15" customHeight="1" s="20">
      <c r="O804" s="32" t="n"/>
    </row>
    <row r="805" ht="15" customHeight="1" s="20">
      <c r="O805" s="32" t="n"/>
    </row>
    <row r="806" ht="15" customHeight="1" s="20">
      <c r="O806" s="32" t="n"/>
    </row>
    <row r="807" ht="15" customHeight="1" s="20">
      <c r="O807" s="32" t="n"/>
    </row>
    <row r="808" ht="15" customHeight="1" s="20">
      <c r="O808" s="32" t="n"/>
    </row>
    <row r="809" ht="15" customHeight="1" s="20">
      <c r="O809" s="32" t="n"/>
    </row>
    <row r="810" ht="15" customHeight="1" s="20">
      <c r="O810" s="32" t="n"/>
    </row>
    <row r="811" ht="15" customHeight="1" s="20">
      <c r="O811" s="32" t="n"/>
    </row>
    <row r="812" ht="15" customHeight="1" s="20">
      <c r="O812" s="32" t="n"/>
    </row>
    <row r="813" ht="15" customHeight="1" s="20">
      <c r="O813" s="32" t="n"/>
    </row>
    <row r="814" ht="15" customHeight="1" s="20">
      <c r="O814" s="32" t="n"/>
    </row>
    <row r="815" ht="15" customHeight="1" s="20">
      <c r="O815" s="32" t="n"/>
    </row>
    <row r="816" ht="15" customHeight="1" s="20">
      <c r="O816" s="32" t="n"/>
    </row>
    <row r="817" ht="15" customHeight="1" s="20">
      <c r="O817" s="32" t="n"/>
    </row>
    <row r="818" ht="15" customHeight="1" s="20">
      <c r="O818" s="32" t="n"/>
    </row>
    <row r="819" ht="15" customHeight="1" s="20">
      <c r="O819" s="32" t="n"/>
    </row>
    <row r="820" ht="15" customHeight="1" s="20">
      <c r="O820" s="32" t="n"/>
    </row>
    <row r="821" ht="15" customHeight="1" s="20">
      <c r="O821" s="32" t="n"/>
    </row>
    <row r="822" ht="15" customHeight="1" s="20">
      <c r="O822" s="32" t="n"/>
    </row>
    <row r="823" ht="15" customHeight="1" s="20">
      <c r="O823" s="32" t="n"/>
    </row>
    <row r="824" ht="15" customHeight="1" s="20">
      <c r="O824" s="32" t="n"/>
    </row>
    <row r="825" ht="15" customHeight="1" s="20">
      <c r="O825" s="32" t="n"/>
    </row>
    <row r="826" ht="15" customHeight="1" s="20">
      <c r="O826" s="32" t="n"/>
    </row>
    <row r="827" ht="15" customHeight="1" s="20">
      <c r="O827" s="32" t="n"/>
    </row>
    <row r="828" ht="15" customHeight="1" s="20">
      <c r="O828" s="32" t="n"/>
    </row>
    <row r="829" ht="15" customHeight="1" s="20">
      <c r="O829" s="32" t="n"/>
    </row>
    <row r="830" ht="15" customHeight="1" s="20">
      <c r="O830" s="32" t="n"/>
    </row>
    <row r="831" ht="15" customHeight="1" s="20">
      <c r="O831" s="32" t="n"/>
    </row>
    <row r="832" ht="15" customHeight="1" s="20">
      <c r="O832" s="32" t="n"/>
    </row>
    <row r="833" ht="15" customHeight="1" s="20">
      <c r="O833" s="32" t="n"/>
    </row>
    <row r="834" ht="15" customHeight="1" s="20">
      <c r="O834" s="32" t="n"/>
    </row>
    <row r="835" ht="15" customHeight="1" s="20">
      <c r="O835" s="32" t="n"/>
    </row>
    <row r="836" ht="15" customHeight="1" s="20">
      <c r="O836" s="32" t="n"/>
    </row>
    <row r="837" ht="15" customHeight="1" s="20">
      <c r="O837" s="32" t="n"/>
    </row>
    <row r="838" ht="15" customHeight="1" s="20">
      <c r="O838" s="32" t="n"/>
    </row>
    <row r="839" ht="15" customHeight="1" s="20">
      <c r="O839" s="32" t="n"/>
    </row>
    <row r="840" ht="15" customHeight="1" s="20">
      <c r="O840" s="32" t="n"/>
    </row>
    <row r="841" ht="15" customHeight="1" s="20">
      <c r="O841" s="32" t="n"/>
    </row>
    <row r="842" ht="15" customHeight="1" s="20">
      <c r="O842" s="32" t="n"/>
    </row>
    <row r="843" ht="15" customHeight="1" s="20">
      <c r="O843" s="32" t="n"/>
    </row>
    <row r="844" ht="15" customHeight="1" s="20">
      <c r="O844" s="32" t="n"/>
    </row>
    <row r="845" ht="15" customHeight="1" s="20">
      <c r="O845" s="32" t="n"/>
    </row>
    <row r="846" ht="15" customHeight="1" s="20">
      <c r="O846" s="32" t="n"/>
    </row>
    <row r="847" ht="15" customHeight="1" s="20">
      <c r="O847" s="32" t="n"/>
    </row>
    <row r="848" ht="15" customHeight="1" s="20">
      <c r="O848" s="32" t="n"/>
    </row>
    <row r="849" ht="15" customHeight="1" s="20">
      <c r="O849" s="32" t="n"/>
    </row>
    <row r="850" ht="15" customHeight="1" s="20">
      <c r="O850" s="32" t="n"/>
    </row>
    <row r="851" ht="15" customHeight="1" s="20">
      <c r="O851" s="32" t="n"/>
    </row>
    <row r="852" ht="15" customHeight="1" s="20">
      <c r="O852" s="32" t="n"/>
    </row>
    <row r="853" ht="15" customHeight="1" s="20">
      <c r="O853" s="32" t="n"/>
    </row>
    <row r="854" ht="15" customHeight="1" s="20">
      <c r="O854" s="32" t="n"/>
    </row>
    <row r="855" ht="15" customHeight="1" s="20">
      <c r="O855" s="32" t="n"/>
    </row>
    <row r="856" ht="15" customHeight="1" s="20">
      <c r="O856" s="32" t="n"/>
    </row>
    <row r="857" ht="15" customHeight="1" s="20">
      <c r="O857" s="32" t="n"/>
    </row>
    <row r="858" ht="15" customHeight="1" s="20">
      <c r="O858" s="32" t="n"/>
    </row>
    <row r="859" ht="15" customHeight="1" s="20">
      <c r="O859" s="32" t="n"/>
    </row>
    <row r="860" ht="15" customHeight="1" s="20">
      <c r="O860" s="32" t="n"/>
    </row>
    <row r="861" ht="15" customHeight="1" s="20">
      <c r="O861" s="32" t="n"/>
    </row>
    <row r="862" ht="15" customHeight="1" s="20">
      <c r="O862" s="32" t="n"/>
    </row>
    <row r="863" ht="15" customHeight="1" s="20">
      <c r="O863" s="32" t="n"/>
    </row>
    <row r="864" ht="15" customHeight="1" s="20">
      <c r="O864" s="32" t="n"/>
    </row>
    <row r="865" ht="15" customHeight="1" s="20">
      <c r="O865" s="32" t="n"/>
    </row>
    <row r="866" ht="15" customHeight="1" s="20">
      <c r="O866" s="32" t="n"/>
    </row>
    <row r="867" ht="15" customHeight="1" s="20">
      <c r="O867" s="32" t="n"/>
    </row>
    <row r="868" ht="15" customHeight="1" s="20">
      <c r="O868" s="32" t="n"/>
    </row>
    <row r="869" ht="15" customHeight="1" s="20">
      <c r="O869" s="32" t="n"/>
    </row>
    <row r="870" ht="15" customHeight="1" s="20">
      <c r="O870" s="32" t="n"/>
    </row>
    <row r="871" ht="15" customHeight="1" s="20">
      <c r="O871" s="32" t="n"/>
    </row>
    <row r="872" ht="15" customHeight="1" s="20">
      <c r="O872" s="32" t="n"/>
    </row>
    <row r="873" ht="15" customHeight="1" s="20">
      <c r="O873" s="32" t="n"/>
    </row>
    <row r="874" ht="15" customHeight="1" s="20">
      <c r="O874" s="32" t="n"/>
    </row>
    <row r="875" ht="15" customHeight="1" s="20">
      <c r="O875" s="32" t="n"/>
    </row>
    <row r="876" ht="15" customHeight="1" s="20">
      <c r="O876" s="32" t="n"/>
    </row>
    <row r="877" ht="15" customHeight="1" s="20">
      <c r="O877" s="32" t="n"/>
    </row>
    <row r="878" ht="15" customHeight="1" s="20">
      <c r="O878" s="32" t="n"/>
    </row>
    <row r="879" ht="15" customHeight="1" s="20">
      <c r="O879" s="32" t="n"/>
    </row>
    <row r="880" ht="15" customHeight="1" s="20">
      <c r="O880" s="32" t="n"/>
    </row>
    <row r="881" ht="15" customHeight="1" s="20">
      <c r="O881" s="32" t="n"/>
    </row>
    <row r="882" ht="15" customHeight="1" s="20">
      <c r="O882" s="32" t="n"/>
    </row>
    <row r="883" ht="15" customHeight="1" s="20">
      <c r="O883" s="32" t="n"/>
    </row>
    <row r="884" ht="15" customHeight="1" s="20">
      <c r="O884" s="32" t="n"/>
    </row>
    <row r="885" ht="15" customHeight="1" s="20">
      <c r="O885" s="32" t="n"/>
    </row>
    <row r="886" ht="15" customHeight="1" s="20">
      <c r="O886" s="32" t="n"/>
    </row>
    <row r="887" ht="15" customHeight="1" s="20">
      <c r="O887" s="32" t="n"/>
    </row>
    <row r="888" ht="15" customHeight="1" s="20">
      <c r="O888" s="32" t="n"/>
    </row>
    <row r="889" ht="15" customHeight="1" s="20">
      <c r="O889" s="32" t="n"/>
    </row>
    <row r="890" ht="15" customHeight="1" s="20">
      <c r="O890" s="32" t="n"/>
    </row>
    <row r="891" ht="15" customHeight="1" s="20">
      <c r="O891" s="32" t="n"/>
    </row>
    <row r="892" ht="15" customHeight="1" s="20">
      <c r="O892" s="32" t="n"/>
    </row>
    <row r="893" ht="15" customHeight="1" s="20">
      <c r="O893" s="32" t="n"/>
    </row>
    <row r="894" ht="15" customHeight="1" s="20">
      <c r="O894" s="32" t="n"/>
    </row>
    <row r="895" ht="15" customHeight="1" s="20">
      <c r="O895" s="32" t="n"/>
    </row>
    <row r="896" ht="15" customHeight="1" s="20">
      <c r="O896" s="32" t="n"/>
    </row>
    <row r="897" ht="15" customHeight="1" s="20">
      <c r="O897" s="32" t="n"/>
    </row>
    <row r="898" ht="15" customHeight="1" s="20">
      <c r="O898" s="32" t="n"/>
    </row>
    <row r="899" ht="15" customHeight="1" s="20">
      <c r="O899" s="32" t="n"/>
    </row>
    <row r="900" ht="15" customHeight="1" s="20">
      <c r="O900" s="32" t="n"/>
    </row>
    <row r="901" ht="15" customHeight="1" s="20">
      <c r="O901" s="32" t="n"/>
    </row>
    <row r="902" ht="15" customHeight="1" s="20">
      <c r="O902" s="32" t="n"/>
    </row>
    <row r="903" ht="15" customHeight="1" s="20">
      <c r="O903" s="32" t="n"/>
    </row>
    <row r="904" ht="15" customHeight="1" s="20">
      <c r="O904" s="32" t="n"/>
    </row>
    <row r="905" ht="15" customHeight="1" s="20">
      <c r="O905" s="32" t="n"/>
    </row>
    <row r="906" ht="15" customHeight="1" s="20">
      <c r="O906" s="32" t="n"/>
    </row>
    <row r="907" ht="15" customHeight="1" s="20">
      <c r="O907" s="32" t="n"/>
    </row>
    <row r="908" ht="15" customHeight="1" s="20">
      <c r="O908" s="32" t="n"/>
    </row>
    <row r="909" ht="15" customHeight="1" s="20">
      <c r="O909" s="32" t="n"/>
    </row>
    <row r="910" ht="15" customHeight="1" s="20">
      <c r="O910" s="32" t="n"/>
    </row>
    <row r="911" ht="15" customHeight="1" s="20">
      <c r="O911" s="32" t="n"/>
    </row>
    <row r="912" ht="15" customHeight="1" s="20">
      <c r="O912" s="32" t="n"/>
    </row>
    <row r="913" ht="15" customHeight="1" s="20">
      <c r="O913" s="32" t="n"/>
    </row>
    <row r="914" ht="15" customHeight="1" s="20">
      <c r="O914" s="32" t="n"/>
    </row>
    <row r="915" ht="15" customHeight="1" s="20">
      <c r="O915" s="32" t="n"/>
    </row>
    <row r="916" ht="15" customHeight="1" s="20">
      <c r="O916" s="32" t="n"/>
    </row>
    <row r="917" ht="15" customHeight="1" s="20">
      <c r="O917" s="32" t="n"/>
    </row>
    <row r="918" ht="15" customHeight="1" s="20">
      <c r="O918" s="32" t="n"/>
    </row>
    <row r="919" ht="15" customHeight="1" s="20">
      <c r="O919" s="32" t="n"/>
    </row>
    <row r="920" ht="15" customHeight="1" s="20">
      <c r="O920" s="32" t="n"/>
    </row>
    <row r="921" ht="15" customHeight="1" s="20">
      <c r="O921" s="32" t="n"/>
    </row>
    <row r="922" ht="15" customHeight="1" s="20">
      <c r="O922" s="32" t="n"/>
    </row>
    <row r="923" ht="15" customHeight="1" s="20">
      <c r="O923" s="32" t="n"/>
    </row>
    <row r="924" ht="15" customHeight="1" s="20">
      <c r="O924" s="32" t="n"/>
    </row>
    <row r="925" ht="15" customHeight="1" s="20">
      <c r="O925" s="32" t="n"/>
    </row>
    <row r="926" ht="15" customHeight="1" s="20">
      <c r="O926" s="32" t="n"/>
    </row>
    <row r="927" ht="15" customHeight="1" s="20">
      <c r="O927" s="32" t="n"/>
    </row>
    <row r="928" ht="15" customHeight="1" s="20">
      <c r="O928" s="32" t="n"/>
    </row>
    <row r="929" ht="15" customHeight="1" s="20">
      <c r="O929" s="32" t="n"/>
    </row>
    <row r="930" ht="15" customHeight="1" s="20">
      <c r="O930" s="32" t="n"/>
    </row>
    <row r="931" ht="15" customHeight="1" s="20">
      <c r="O931" s="32" t="n"/>
    </row>
    <row r="932" ht="15" customHeight="1" s="20">
      <c r="O932" s="32" t="n"/>
    </row>
    <row r="933" ht="15" customHeight="1" s="20">
      <c r="O933" s="32" t="n"/>
    </row>
    <row r="934" ht="15" customHeight="1" s="20">
      <c r="O934" s="32" t="n"/>
    </row>
    <row r="935" ht="15" customHeight="1" s="20">
      <c r="O935" s="32" t="n"/>
    </row>
    <row r="936" ht="15" customHeight="1" s="20">
      <c r="O936" s="32" t="n"/>
    </row>
    <row r="937" ht="15" customHeight="1" s="20">
      <c r="O937" s="32" t="n"/>
    </row>
    <row r="938" ht="15" customHeight="1" s="20">
      <c r="O938" s="32" t="n"/>
    </row>
    <row r="939" ht="15" customHeight="1" s="20">
      <c r="O939" s="32" t="n"/>
    </row>
    <row r="940" ht="15" customHeight="1" s="20">
      <c r="O940" s="32" t="n"/>
    </row>
    <row r="941" ht="15" customHeight="1" s="20">
      <c r="O941" s="32" t="n"/>
    </row>
    <row r="942" ht="15" customHeight="1" s="20">
      <c r="O942" s="32" t="n"/>
    </row>
    <row r="943" ht="15" customHeight="1" s="20">
      <c r="O943" s="32" t="n"/>
    </row>
    <row r="944" ht="15" customHeight="1" s="20">
      <c r="O944" s="32" t="n"/>
    </row>
    <row r="945" ht="15" customHeight="1" s="20">
      <c r="O945" s="32" t="n"/>
    </row>
    <row r="946" ht="15" customHeight="1" s="20">
      <c r="O946" s="32" t="n"/>
    </row>
    <row r="947" ht="15" customHeight="1" s="20">
      <c r="O947" s="32" t="n"/>
    </row>
    <row r="948" ht="15" customHeight="1" s="20">
      <c r="O948" s="32" t="n"/>
    </row>
    <row r="949" ht="15" customHeight="1" s="20">
      <c r="O949" s="32" t="n"/>
    </row>
    <row r="950" ht="15" customHeight="1" s="20">
      <c r="O950" s="32" t="n"/>
    </row>
    <row r="951" ht="15" customHeight="1" s="20">
      <c r="O951" s="32" t="n"/>
    </row>
    <row r="952" ht="15" customHeight="1" s="20">
      <c r="O952" s="32" t="n"/>
    </row>
    <row r="953" ht="15" customHeight="1" s="20">
      <c r="O953" s="32" t="n"/>
    </row>
    <row r="954" ht="15" customHeight="1" s="20">
      <c r="O954" s="32" t="n"/>
    </row>
    <row r="955" ht="15" customHeight="1" s="20">
      <c r="O955" s="32" t="n"/>
    </row>
    <row r="956" ht="15" customHeight="1" s="20">
      <c r="O956" s="32" t="n"/>
    </row>
    <row r="957" ht="15" customHeight="1" s="20">
      <c r="O957" s="32" t="n"/>
    </row>
    <row r="958" ht="15" customHeight="1" s="20">
      <c r="O958" s="32" t="n"/>
    </row>
    <row r="959" ht="15" customHeight="1" s="20">
      <c r="O959" s="32" t="n"/>
    </row>
    <row r="960" ht="15" customHeight="1" s="20">
      <c r="O960" s="32" t="n"/>
    </row>
    <row r="961" ht="15" customHeight="1" s="20">
      <c r="O961" s="32" t="n"/>
    </row>
    <row r="962" ht="15" customHeight="1" s="20">
      <c r="O962" s="32" t="n"/>
    </row>
    <row r="963" ht="15" customHeight="1" s="20">
      <c r="O963" s="32" t="n"/>
    </row>
    <row r="964" ht="15" customHeight="1" s="20">
      <c r="O964" s="32" t="n"/>
    </row>
    <row r="965" ht="15" customHeight="1" s="20">
      <c r="O965" s="32" t="n"/>
    </row>
    <row r="966" ht="15" customHeight="1" s="20">
      <c r="O966" s="32" t="n"/>
    </row>
    <row r="967" ht="15" customHeight="1" s="20">
      <c r="O967" s="32" t="n"/>
    </row>
    <row r="968" ht="15" customHeight="1" s="20">
      <c r="O968" s="32" t="n"/>
    </row>
    <row r="969" ht="15" customHeight="1" s="20">
      <c r="O969" s="32" t="n"/>
    </row>
    <row r="970" ht="15" customHeight="1" s="20">
      <c r="O970" s="32" t="n"/>
    </row>
    <row r="971" ht="15" customHeight="1" s="20">
      <c r="O971" s="32" t="n"/>
    </row>
    <row r="972" ht="15" customHeight="1" s="20">
      <c r="O972" s="32" t="n"/>
    </row>
    <row r="973" ht="15" customHeight="1" s="20">
      <c r="O973" s="32" t="n"/>
    </row>
    <row r="974" ht="15" customHeight="1" s="20">
      <c r="O974" s="32" t="n"/>
    </row>
    <row r="975" ht="15" customHeight="1" s="20">
      <c r="O975" s="32" t="n"/>
    </row>
    <row r="976" ht="15" customHeight="1" s="20">
      <c r="O976" s="32" t="n"/>
    </row>
    <row r="977" ht="15" customHeight="1" s="20">
      <c r="O977" s="32" t="n"/>
    </row>
    <row r="978" ht="15" customHeight="1" s="20">
      <c r="O978" s="32" t="n"/>
    </row>
    <row r="979" ht="15" customHeight="1" s="20">
      <c r="O979" s="32" t="n"/>
    </row>
    <row r="980" ht="15" customHeight="1" s="20">
      <c r="O980" s="32" t="n"/>
    </row>
    <row r="981" ht="15" customHeight="1" s="20">
      <c r="O981" s="32" t="n"/>
    </row>
    <row r="982" ht="15" customHeight="1" s="20">
      <c r="O982" s="32" t="n"/>
    </row>
    <row r="983" ht="15" customHeight="1" s="20">
      <c r="O983" s="32" t="n"/>
    </row>
    <row r="984" ht="15" customHeight="1" s="20">
      <c r="O984" s="32" t="n"/>
    </row>
    <row r="985" ht="15" customHeight="1" s="20">
      <c r="O985" s="32" t="n"/>
    </row>
    <row r="986" ht="15" customHeight="1" s="20">
      <c r="O986" s="32" t="n"/>
    </row>
    <row r="987" ht="15" customHeight="1" s="20">
      <c r="O987" s="32" t="n"/>
    </row>
    <row r="988" ht="15" customHeight="1" s="20">
      <c r="O988" s="32" t="n"/>
    </row>
    <row r="989" ht="15" customHeight="1" s="20">
      <c r="O989" s="32" t="n"/>
    </row>
    <row r="990" ht="15" customHeight="1" s="20">
      <c r="O990" s="32" t="n"/>
    </row>
    <row r="991" ht="15" customHeight="1" s="20">
      <c r="O991" s="32" t="n"/>
    </row>
    <row r="992" ht="15" customHeight="1" s="20">
      <c r="O992" s="32" t="n"/>
    </row>
    <row r="993" ht="15" customHeight="1" s="20">
      <c r="O993" s="32" t="n"/>
    </row>
    <row r="994" ht="15" customHeight="1" s="20">
      <c r="O994" s="32" t="n"/>
    </row>
    <row r="995" ht="15" customHeight="1" s="20">
      <c r="O995" s="32" t="n"/>
    </row>
    <row r="996" ht="15" customHeight="1" s="20">
      <c r="O996" s="32" t="n"/>
    </row>
    <row r="997" ht="15" customHeight="1" s="20">
      <c r="O997" s="32" t="n"/>
    </row>
    <row r="998" ht="15" customHeight="1" s="20">
      <c r="O998" s="32" t="n"/>
    </row>
    <row r="999" ht="15" customHeight="1" s="20">
      <c r="O999" s="32" t="n"/>
    </row>
    <row r="1000" ht="15" customHeight="1" s="20">
      <c r="O1000" s="32" t="n"/>
    </row>
  </sheetData>
  <autoFilter ref="A1:AI72"/>
  <dataValidations count="12">
    <dataValidation sqref="C2:C1000" showDropDown="0" showInputMessage="0" showErrorMessage="0" allowBlank="1" type="list" errorStyle="stop" operator="between">
      <formula1>Lookups!$D$2:$D$7</formula1>
      <formula2>0</formula2>
    </dataValidation>
    <dataValidation sqref="D2:D1000" showDropDown="0" showInputMessage="0" showErrorMessage="0" allowBlank="1" type="list" errorStyle="stop" operator="between">
      <formula1>Lookups!$E$2:$E$3</formula1>
      <formula2>0</formula2>
    </dataValidation>
    <dataValidation sqref="I2:I1000" showDropDown="0" showInputMessage="0" showErrorMessage="0" allowBlank="1" type="list" errorStyle="stop" operator="between">
      <formula1>Lookups!$F$2:$F$4</formula1>
      <formula2>0</formula2>
    </dataValidation>
    <dataValidation sqref="K2:K1000" showDropDown="0" showInputMessage="0" showErrorMessage="0" allowBlank="1" type="list" errorStyle="stop" operator="between">
      <formula1>Lookups!$G$2:$G$5</formula1>
      <formula2>0</formula2>
    </dataValidation>
    <dataValidation sqref="L2:L1000" showDropDown="0" showInputMessage="0" showErrorMessage="0" allowBlank="1" type="list" errorStyle="stop" operator="between">
      <formula1>Lookups!$H$2:$H$6</formula1>
      <formula2>0</formula2>
    </dataValidation>
    <dataValidation sqref="U2:U1000" showDropDown="0" showInputMessage="0" showErrorMessage="0" allowBlank="1" type="list" errorStyle="stop" operator="between">
      <formula1>Lookups!$I$2:$I$10</formula1>
      <formula2>0</formula2>
    </dataValidation>
    <dataValidation sqref="X2:X1000" showDropDown="0" showInputMessage="0" showErrorMessage="0" allowBlank="1" type="list" errorStyle="stop" operator="between">
      <formula1>Lookups!$J$2:$J$11</formula1>
      <formula2>0</formula2>
    </dataValidation>
    <dataValidation sqref="Y2:Y1000" showDropDown="0" showInputMessage="0" showErrorMessage="0" allowBlank="1" type="list" errorStyle="stop" operator="between">
      <formula1>Lookups!$K$2:$K$5</formula1>
      <formula2>0</formula2>
    </dataValidation>
    <dataValidation sqref="Z2:Z1000" showDropDown="0" showInputMessage="0" showErrorMessage="0" allowBlank="1" type="list" errorStyle="stop" operator="between">
      <formula1>Lookups!$L$2:$L$4</formula1>
      <formula2>0</formula2>
    </dataValidation>
    <dataValidation sqref="AB2:AB1000" showDropDown="0" showInputMessage="0" showErrorMessage="0" allowBlank="1" type="list" errorStyle="stop" operator="between">
      <formula1>Lookups!$M$2:$M$5</formula1>
      <formula2>0</formula2>
    </dataValidation>
    <dataValidation sqref="AD2:AD1000" showDropDown="0" showInputMessage="0" showErrorMessage="0" allowBlank="1" type="list" errorStyle="stop" operator="between">
      <formula1>Lookups!$N$2:$N$7</formula1>
      <formula2>0</formula2>
    </dataValidation>
    <dataValidation sqref="AH2:AH1000" showDropDown="0" showInputMessage="0" showErrorMessage="0" allowBlank="1" type="list" errorStyle="stop" operator="between">
      <formula1>Lookups!$O$2:$O$5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K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19" min="1" max="1"/>
    <col width="20" customWidth="1" style="19" min="2" max="2"/>
    <col width="16" customWidth="1" style="19" min="3" max="3"/>
    <col width="14" customWidth="1" style="19" min="4" max="4"/>
    <col width="11" customWidth="1" style="19" min="5" max="5"/>
    <col width="50" customWidth="1" style="19" min="6" max="6"/>
    <col width="30" customWidth="1" style="19" min="7" max="7"/>
    <col width="18" customWidth="1" style="19" min="8" max="8"/>
    <col width="11" customWidth="1" style="19" min="9" max="9"/>
    <col width="9" customWidth="1" style="19" min="10" max="10"/>
    <col width="40" customWidth="1" style="19" min="11" max="11"/>
  </cols>
  <sheetData>
    <row r="1" ht="34.5" customHeight="1" s="20">
      <c r="A1" s="24" t="inlineStr">
        <is>
          <t>Lead ID</t>
        </is>
      </c>
      <c r="B1" s="24" t="inlineStr">
        <is>
          <t>Event type</t>
        </is>
      </c>
      <c r="C1" s="24" t="inlineStr">
        <is>
          <t>Place</t>
        </is>
      </c>
      <c r="D1" s="24" t="inlineStr">
        <is>
          <t>County</t>
        </is>
      </c>
      <c r="E1" s="24" t="inlineStr">
        <is>
          <t>Date (ISO)</t>
        </is>
      </c>
      <c r="F1" s="24" t="inlineStr">
        <is>
          <t>Summary</t>
        </is>
      </c>
      <c r="G1" s="24" t="inlineStr">
        <is>
          <t>Archive ref (as cited)</t>
        </is>
      </c>
      <c r="H1" s="24" t="inlineStr">
        <is>
          <t>Cited by</t>
        </is>
      </c>
      <c r="I1" s="24" t="inlineStr">
        <is>
          <t>Verified in original?</t>
        </is>
      </c>
      <c r="J1" s="24" t="inlineStr">
        <is>
          <t>Priority</t>
        </is>
      </c>
      <c r="K1" s="24" t="inlineStr">
        <is>
          <t>Notes / conflicts</t>
        </is>
      </c>
    </row>
    <row r="2" ht="57" customHeight="1" s="20">
      <c r="A2" s="25" t="inlineStr">
        <is>
          <t>L001</t>
        </is>
      </c>
      <c r="B2" s="25" t="inlineStr">
        <is>
          <t>Request for troops</t>
        </is>
      </c>
      <c r="C2" s="25" t="inlineStr">
        <is>
          <t>Oxford</t>
        </is>
      </c>
      <c r="D2" s="25" t="inlineStr">
        <is>
          <t>Oxfordshire</t>
        </is>
      </c>
      <c r="E2" s="27" t="inlineStr">
        <is>
          <t>1800-09-04</t>
        </is>
      </c>
      <c r="F2" s="25" t="inlineStr">
        <is>
          <t>Troops (11th Light Dragoons) sent to Oxford; town clerk protests on behalf of volunteers; HO reply reassures them.</t>
        </is>
      </c>
      <c r="G2" s="25" t="inlineStr">
        <is>
          <t>HO 42/51 ff.36-7, 59-60; HO 50/388; HO 43/12 pp.106-7 (King to Taunton, 8 Sep 1800)</t>
        </is>
      </c>
      <c r="H2" s="25" t="inlineStr">
        <is>
          <t>Bend 2018; Gee (via other session)</t>
        </is>
      </c>
      <c r="I2" s="25" t="inlineStr">
        <is>
          <t>N</t>
        </is>
      </c>
      <c r="J2" s="25" t="inlineStr">
        <is>
          <t>High</t>
        </is>
      </c>
      <c r="K2" s="25" t="inlineStr">
        <is>
          <t>CONFLICT: Gee says Vice-Chancellor requested troops; Bend says Portland sent them unrequested on Rev. D. Hughes's letter, V-C later asked they stay. Other session dated the reply 1801 - wrong, it is 1800.</t>
        </is>
      </c>
    </row>
    <row r="3" ht="23.25" customHeight="1" s="20">
      <c r="A3" s="25" t="inlineStr">
        <is>
          <t>L002</t>
        </is>
      </c>
      <c r="B3" s="25" t="inlineStr">
        <is>
          <t>Request for troops</t>
        </is>
      </c>
      <c r="C3" s="25" t="inlineStr">
        <is>
          <t>Banbury</t>
        </is>
      </c>
      <c r="D3" s="25" t="inlineStr">
        <is>
          <t>Oxfordshire</t>
        </is>
      </c>
      <c r="E3" s="27" t="inlineStr">
        <is>
          <t>1800</t>
        </is>
      </c>
      <c r="F3" s="25" t="inlineStr">
        <is>
          <t>Mayor wants "soldiers unconnected with the place" because yeomanry sympathised with rioters.</t>
        </is>
      </c>
      <c r="G3" s="25" t="inlineStr">
        <is>
          <t>HO 42/51 f.116</t>
        </is>
      </c>
      <c r="H3" s="25" t="inlineStr">
        <is>
          <t>Gee (via other session)</t>
        </is>
      </c>
      <c r="I3" s="25" t="inlineStr">
        <is>
          <t>N</t>
        </is>
      </c>
      <c r="J3" s="25" t="inlineStr">
        <is>
          <t>High</t>
        </is>
      </c>
      <c r="K3" s="25" t="inlineStr">
        <is>
          <t>Local force distrusted - fits "civil power inadequate".</t>
        </is>
      </c>
    </row>
    <row r="4" ht="23.25" customHeight="1" s="20">
      <c r="A4" s="25" t="inlineStr">
        <is>
          <t>L003</t>
        </is>
      </c>
      <c r="B4" s="25" t="inlineStr">
        <is>
          <t>Request for troops</t>
        </is>
      </c>
      <c r="C4" s="25" t="inlineStr">
        <is>
          <t>Birmingham</t>
        </is>
      </c>
      <c r="D4" s="25" t="inlineStr">
        <is>
          <t>Warwickshire</t>
        </is>
      </c>
      <c r="E4" s="27" t="inlineStr">
        <is>
          <t>1800-11</t>
        </is>
      </c>
      <c r="F4" s="25" t="inlineStr">
        <is>
          <t>Troops sent on Lord Lieutenants' information without consulting magistrates, who objected.</t>
        </is>
      </c>
      <c r="G4" s="25" t="inlineStr">
        <is>
          <t>HO 43/12 pp.313-6; HO 42/53 ff.404-5</t>
        </is>
      </c>
      <c r="H4" s="25" t="inlineStr">
        <is>
          <t>Bend 2018</t>
        </is>
      </c>
      <c r="I4" s="25" t="inlineStr">
        <is>
          <t>N</t>
        </is>
      </c>
      <c r="J4" s="25" t="inlineStr">
        <is>
          <t>Medium</t>
        </is>
      </c>
      <c r="K4" s="25" t="inlineStr">
        <is>
          <t>Deployment WITHOUT request - code as unrequested, not as request.</t>
        </is>
      </c>
    </row>
    <row r="5" ht="34.5" customHeight="1" s="20">
      <c r="A5" s="25" t="inlineStr">
        <is>
          <t>L004</t>
        </is>
      </c>
      <c r="B5" s="25" t="inlineStr">
        <is>
          <t>Other</t>
        </is>
      </c>
      <c r="C5" s="25" t="inlineStr">
        <is>
          <t>Berkeley</t>
        </is>
      </c>
      <c r="D5" s="25" t="inlineStr">
        <is>
          <t>Gloucestershire</t>
        </is>
      </c>
      <c r="E5" s="27" t="inlineStr">
        <is>
          <t>1800-09-16</t>
        </is>
      </c>
      <c r="F5" s="25" t="inlineStr">
        <is>
          <t>Earl of Berkeley: restraint in sending for soldiers "till... absolutely necessary"; cross-county correspondence rumoured.</t>
        </is>
      </c>
      <c r="G5" s="25" t="inlineStr">
        <is>
          <t>HO 42/51 ff.168-9</t>
        </is>
      </c>
      <c r="H5" s="25" t="inlineStr">
        <is>
          <t>Bend 2018</t>
        </is>
      </c>
      <c r="I5" s="25" t="inlineStr">
        <is>
          <t>N</t>
        </is>
      </c>
      <c r="J5" s="25" t="inlineStr">
        <is>
          <t>Low</t>
        </is>
      </c>
      <c r="K5" s="25" t="inlineStr">
        <is>
          <t>Evidence of reluctance to request.</t>
        </is>
      </c>
    </row>
    <row r="6" ht="23.25" customHeight="1" s="20">
      <c r="A6" s="25" t="inlineStr">
        <is>
          <t>L005</t>
        </is>
      </c>
      <c r="B6" s="25" t="inlineStr">
        <is>
          <t>Corps armed/expanded</t>
        </is>
      </c>
      <c r="C6" s="25" t="inlineStr">
        <is>
          <t>Henley</t>
        </is>
      </c>
      <c r="D6" s="25" t="inlineStr">
        <is>
          <t>Oxfordshire</t>
        </is>
      </c>
      <c r="E6" s="27" t="inlineStr">
        <is>
          <t>1800</t>
        </is>
      </c>
      <c r="F6" s="25" t="inlineStr">
        <is>
          <t>Anonymous threat leads to armed-association patrols.</t>
        </is>
      </c>
      <c r="G6" s="25" t="inlineStr">
        <is>
          <t>HO 42/49 f.393</t>
        </is>
      </c>
      <c r="H6" s="25" t="inlineStr">
        <is>
          <t>Gee (via other session)</t>
        </is>
      </c>
      <c r="I6" s="25" t="inlineStr">
        <is>
          <t>N</t>
        </is>
      </c>
      <c r="J6" s="25" t="inlineStr">
        <is>
          <t>Medium</t>
        </is>
      </c>
      <c r="K6" s="25" t="n"/>
    </row>
    <row r="7" ht="34.5" customHeight="1" s="20">
      <c r="A7" s="25" t="inlineStr">
        <is>
          <t>L006</t>
        </is>
      </c>
      <c r="B7" s="25" t="inlineStr">
        <is>
          <t>Corps armed/expanded</t>
        </is>
      </c>
      <c r="C7" s="25" t="inlineStr">
        <is>
          <t>Hambledon &amp; Wickham</t>
        </is>
      </c>
      <c r="D7" s="25" t="inlineStr">
        <is>
          <t>Hampshire</t>
        </is>
      </c>
      <c r="E7" s="27" t="inlineStr">
        <is>
          <t>1800-03</t>
        </is>
      </c>
      <c r="F7" s="25" t="inlineStr">
        <is>
          <t>Volunteers kept in constant readiness against grain-price disorder; Lt-Col Palmer seeks pay for nightly patrols; WO objects only to pay.</t>
        </is>
      </c>
      <c r="G7" s="25" t="inlineStr">
        <is>
          <t>HO 50/48 ff.153, 165, 209, 246</t>
        </is>
      </c>
      <c r="H7" s="25" t="inlineStr">
        <is>
          <t>Gee (via other session)</t>
        </is>
      </c>
      <c r="I7" s="25" t="inlineStr">
        <is>
          <t>N</t>
        </is>
      </c>
      <c r="J7" s="25" t="inlineStr">
        <is>
          <t>Medium</t>
        </is>
      </c>
      <c r="K7" s="25" t="inlineStr">
        <is>
          <t>Money for internal-order duty.</t>
        </is>
      </c>
    </row>
    <row r="8" ht="23.25" customHeight="1" s="20">
      <c r="A8" s="25" t="inlineStr">
        <is>
          <t>L007</t>
        </is>
      </c>
      <c r="B8" s="25" t="inlineStr">
        <is>
          <t>Request for troops</t>
        </is>
      </c>
      <c r="C8" s="25" t="inlineStr">
        <is>
          <t>Stony / Fenny Stratford</t>
        </is>
      </c>
      <c r="D8" s="25" t="inlineStr">
        <is>
          <t>Buckinghamshire</t>
        </is>
      </c>
      <c r="E8" s="27" t="inlineStr">
        <is>
          <t>1796-03-25</t>
        </is>
      </c>
      <c r="F8" s="25" t="inlineStr">
        <is>
          <t>Newport &amp; Buckingham Yeomanry in riot context.</t>
        </is>
      </c>
      <c r="G8" s="25" t="inlineStr">
        <is>
          <t>HO 50/330 (Nugent [Buckingham], 25 Mar 1796)</t>
        </is>
      </c>
      <c r="H8" s="25" t="inlineStr">
        <is>
          <t>Gee (via other session)</t>
        </is>
      </c>
      <c r="I8" s="25" t="inlineStr">
        <is>
          <t>N</t>
        </is>
      </c>
      <c r="J8" s="25" t="inlineStr">
        <is>
          <t>High</t>
        </is>
      </c>
      <c r="K8" s="25" t="inlineStr">
        <is>
          <t>Check whether this is a request or a report.</t>
        </is>
      </c>
    </row>
    <row r="9" ht="23.25" customHeight="1" s="20">
      <c r="A9" s="25" t="inlineStr">
        <is>
          <t>L008</t>
        </is>
      </c>
      <c r="B9" s="25" t="inlineStr">
        <is>
          <t>Request for troops</t>
        </is>
      </c>
      <c r="C9" s="25" t="inlineStr">
        <is>
          <t>Tavistock</t>
        </is>
      </c>
      <c r="D9" s="25" t="inlineStr">
        <is>
          <t>Devon</t>
        </is>
      </c>
      <c r="E9" s="27" t="inlineStr">
        <is>
          <t>1801-03-14</t>
        </is>
      </c>
      <c r="F9" s="25" t="inlineStr">
        <is>
          <t>Riot-related correspondence.</t>
        </is>
      </c>
      <c r="G9" s="25" t="inlineStr">
        <is>
          <t>HO 50/49 (Bray to Dundas, 14 Mar 1801)</t>
        </is>
      </c>
      <c r="H9" s="25" t="inlineStr">
        <is>
          <t>Gee (via other session)</t>
        </is>
      </c>
      <c r="I9" s="25" t="inlineStr">
        <is>
          <t>N</t>
        </is>
      </c>
      <c r="J9" s="25" t="inlineStr">
        <is>
          <t>High</t>
        </is>
      </c>
      <c r="K9" s="25" t="n"/>
    </row>
    <row r="10" ht="23.25" customHeight="1" s="20">
      <c r="A10" s="25" t="inlineStr">
        <is>
          <t>L009</t>
        </is>
      </c>
      <c r="B10" s="25" t="inlineStr">
        <is>
          <t>Other</t>
        </is>
      </c>
      <c r="C10" s="25" t="inlineStr">
        <is>
          <t>Sheffield</t>
        </is>
      </c>
      <c r="D10" s="25" t="inlineStr">
        <is>
          <t>Yorkshire (W. Riding)</t>
        </is>
      </c>
      <c r="E10" s="27" t="inlineStr">
        <is>
          <t>c.1800-01</t>
        </is>
      </c>
      <c r="F10" s="25" t="inlineStr">
        <is>
          <t>Reliability enquiries on the corps; HO advises not to call it on active duty.</t>
        </is>
      </c>
      <c r="G10" s="25" t="inlineStr">
        <is>
          <t>HO 50/49</t>
        </is>
      </c>
      <c r="H10" s="25" t="inlineStr">
        <is>
          <t>Gee (via other session)</t>
        </is>
      </c>
      <c r="I10" s="25" t="inlineStr">
        <is>
          <t>N</t>
        </is>
      </c>
      <c r="J10" s="25" t="inlineStr">
        <is>
          <t>Medium</t>
        </is>
      </c>
      <c r="K10" s="25" t="inlineStr">
        <is>
          <t>A government response on corps reliability.</t>
        </is>
      </c>
    </row>
    <row r="11" ht="34.5" customHeight="1" s="20">
      <c r="A11" s="25" t="inlineStr">
        <is>
          <t>L010</t>
        </is>
      </c>
      <c r="B11" s="25" t="inlineStr">
        <is>
          <t>Corps founded</t>
        </is>
      </c>
      <c r="C11" s="25" t="inlineStr">
        <is>
          <t>Kettering &amp; Rothwell</t>
        </is>
      </c>
      <c r="D11" s="25" t="inlineStr">
        <is>
          <t>Northamptonshire</t>
        </is>
      </c>
      <c r="E11" s="27" t="inlineStr">
        <is>
          <t>1798-05-25</t>
        </is>
      </c>
      <c r="F11" s="25" t="inlineStr">
        <is>
          <t>Associations recommended to the Lord Lieutenant "entirely in terms of their usefulness against disturbances" after 1795 Kettering food riot.</t>
        </is>
      </c>
      <c r="G11" s="25" t="inlineStr">
        <is>
          <t>HO 50/42 (James Curry to Earl of Northampton)</t>
        </is>
      </c>
      <c r="H11" s="25" t="inlineStr">
        <is>
          <t>Gee (via other session)</t>
        </is>
      </c>
      <c r="I11" s="25" t="inlineStr">
        <is>
          <t>N</t>
        </is>
      </c>
      <c r="J11" s="25" t="inlineStr">
        <is>
          <t>Medium</t>
        </is>
      </c>
      <c r="K11" s="25" t="inlineStr">
        <is>
          <t>Key-quote candidate.</t>
        </is>
      </c>
    </row>
    <row r="12" ht="23.25" customHeight="1" s="20">
      <c r="A12" s="25" t="inlineStr">
        <is>
          <t>L011</t>
        </is>
      </c>
      <c r="B12" s="25" t="inlineStr">
        <is>
          <t>Corps founded</t>
        </is>
      </c>
      <c r="C12" s="25" t="inlineStr">
        <is>
          <t>Hampshire (county)</t>
        </is>
      </c>
      <c r="D12" s="25" t="inlineStr">
        <is>
          <t>Hampshire</t>
        </is>
      </c>
      <c r="E12" s="27" t="inlineStr">
        <is>
          <t>1794-06-11</t>
        </is>
      </c>
      <c r="F12" s="25" t="inlineStr">
        <is>
          <t>Plan for a county-wide "Association for assisting the Civil Power" to suppress seditious tumults at magistrates' call.</t>
        </is>
      </c>
      <c r="G12" s="25" t="inlineStr">
        <is>
          <t>Hampshire RO 65 M 85/1</t>
        </is>
      </c>
      <c r="H12" s="25" t="inlineStr">
        <is>
          <t>Gee (via other session)</t>
        </is>
      </c>
      <c r="I12" s="25" t="inlineStr">
        <is>
          <t>N</t>
        </is>
      </c>
      <c r="J12" s="25" t="inlineStr">
        <is>
          <t>Medium</t>
        </is>
      </c>
      <c r="K12" s="25" t="inlineStr">
        <is>
          <t>Key-quote candidate. County record office, not TNA.</t>
        </is>
      </c>
    </row>
    <row r="13" ht="23.25" customHeight="1" s="20">
      <c r="A13" s="25" t="inlineStr">
        <is>
          <t>L012</t>
        </is>
      </c>
      <c r="B13" s="25" t="inlineStr">
        <is>
          <t>Corps armed/expanded</t>
        </is>
      </c>
      <c r="C13" s="25" t="inlineStr">
        <is>
          <t>Windsor</t>
        </is>
      </c>
      <c r="D13" s="25" t="inlineStr">
        <is>
          <t>Berkshire</t>
        </is>
      </c>
      <c r="E13" s="27" t="inlineStr">
        <is>
          <t>1803-08</t>
        </is>
      </c>
      <c r="F13" s="25" t="inlineStr">
        <is>
          <t>Magistrates, after repeated riots, request leave to levy an additional troop of fencible cavalry.</t>
        </is>
      </c>
      <c r="G13" s="25" t="inlineStr">
        <is>
          <t>Berkshire RO D/ERa O8/2 (5)</t>
        </is>
      </c>
      <c r="H13" s="25" t="inlineStr">
        <is>
          <t>Gee (via other session)</t>
        </is>
      </c>
      <c r="I13" s="25" t="inlineStr">
        <is>
          <t>N</t>
        </is>
      </c>
      <c r="J13" s="25" t="inlineStr">
        <is>
          <t>Low</t>
        </is>
      </c>
      <c r="K13" s="25" t="inlineStr">
        <is>
          <t>1803 - outside 1790s window; confirm period with JV.</t>
        </is>
      </c>
    </row>
    <row r="14" ht="23.25" customHeight="1" s="20">
      <c r="A14" s="25" t="inlineStr">
        <is>
          <t>L013</t>
        </is>
      </c>
      <c r="B14" s="25" t="inlineStr">
        <is>
          <t>Corps armed/expanded</t>
        </is>
      </c>
      <c r="C14" s="25" t="inlineStr">
        <is>
          <t>Hampton Lucy</t>
        </is>
      </c>
      <c r="D14" s="25" t="inlineStr">
        <is>
          <t>Warwickshire</t>
        </is>
      </c>
      <c r="E14" s="27" t="inlineStr">
        <is>
          <t>1807-10-07</t>
        </is>
      </c>
      <c r="F14" s="25" t="inlineStr">
        <is>
          <t>Volunteers' unauthorised paid permanent duty allowed though "irregular".</t>
        </is>
      </c>
      <c r="G14" s="25" t="inlineStr">
        <is>
          <t>HO 51/86 (Hawkesbury to Warwick)</t>
        </is>
      </c>
      <c r="H14" s="25" t="inlineStr">
        <is>
          <t>Gee (via other session)</t>
        </is>
      </c>
      <c r="I14" s="25" t="inlineStr">
        <is>
          <t>N</t>
        </is>
      </c>
      <c r="J14" s="25" t="inlineStr">
        <is>
          <t>Low</t>
        </is>
      </c>
      <c r="K14" s="25" t="inlineStr">
        <is>
          <t>1807 - outside window.</t>
        </is>
      </c>
    </row>
    <row r="15" ht="34.5" customHeight="1" s="20">
      <c r="A15" s="25" t="inlineStr">
        <is>
          <t>L014</t>
        </is>
      </c>
      <c r="B15" s="25" t="inlineStr">
        <is>
          <t>Other</t>
        </is>
      </c>
      <c r="C15" s="25" t="inlineStr">
        <is>
          <t>National</t>
        </is>
      </c>
      <c r="D15" s="25" t="inlineStr">
        <is>
          <t>-</t>
        </is>
      </c>
      <c r="E15" s="27" t="inlineStr">
        <is>
          <t>1797-04</t>
        </is>
      </c>
      <c r="F15" s="25" t="inlineStr">
        <is>
          <t>Draft circular: volunteer/yeomanry COs to help magistrates apprehend persons in treasonable proceedings (June 1797 proclamation).</t>
        </is>
      </c>
      <c r="G15" s="25" t="inlineStr">
        <is>
          <t>HO 50/55</t>
        </is>
      </c>
      <c r="H15" s="25" t="inlineStr">
        <is>
          <t>Gee (via other session)</t>
        </is>
      </c>
      <c r="I15" s="25" t="inlineStr">
        <is>
          <t>N</t>
        </is>
      </c>
      <c r="J15" s="25" t="inlineStr">
        <is>
          <t>Medium</t>
        </is>
      </c>
      <c r="K15" s="25" t="inlineStr">
        <is>
          <t>Policy context.</t>
        </is>
      </c>
    </row>
    <row r="16" ht="34.5" customHeight="1" s="20">
      <c r="A16" s="25" t="inlineStr">
        <is>
          <t>L015</t>
        </is>
      </c>
      <c r="B16" s="25" t="inlineStr">
        <is>
          <t>Other</t>
        </is>
      </c>
      <c r="C16" s="25" t="inlineStr">
        <is>
          <t>National</t>
        </is>
      </c>
      <c r="D16" s="25" t="inlineStr">
        <is>
          <t>-</t>
        </is>
      </c>
      <c r="E16" s="27" t="inlineStr">
        <is>
          <t>1798-03-05</t>
        </is>
      </c>
      <c r="F16" s="25" t="inlineStr">
        <is>
          <t>Dundas circulars proposing armed associations to relieve regulars in "the preservation of internal tranquillity and the maintenance of a proper police".</t>
        </is>
      </c>
      <c r="G16" s="25" t="inlineStr">
        <is>
          <t>Worcs RO BA 2868/4 705:73 (Dundas to Coventry, 5 Mar &amp; 6 Apr 1798)</t>
        </is>
      </c>
      <c r="H16" s="25" t="inlineStr">
        <is>
          <t>Gee (via other session)</t>
        </is>
      </c>
      <c r="I16" s="25" t="inlineStr">
        <is>
          <t>N</t>
        </is>
      </c>
      <c r="J16" s="25" t="inlineStr">
        <is>
          <t>Medium</t>
        </is>
      </c>
      <c r="K16" s="25" t="inlineStr">
        <is>
          <t>Key-quote candidate (government rationale).</t>
        </is>
      </c>
    </row>
    <row r="17" ht="34.5" customHeight="1" s="20">
      <c r="A17" s="25" t="inlineStr">
        <is>
          <t>L016</t>
        </is>
      </c>
      <c r="B17" s="25" t="inlineStr">
        <is>
          <t>Request for troops</t>
        </is>
      </c>
      <c r="C17" s="25" t="inlineStr">
        <is>
          <t>London</t>
        </is>
      </c>
      <c r="D17" s="25" t="inlineStr">
        <is>
          <t>Middlesex / City</t>
        </is>
      </c>
      <c r="E17" s="27" t="inlineStr">
        <is>
          <t>1794-08 to 1800-09</t>
        </is>
      </c>
      <c r="F17" s="25" t="inlineStr">
        <is>
          <t>London &amp; Westminster Light Horse Volunteers called out or on readiness at least 26 times, half in 1795; requests from Lord Mayor and police magistrates.</t>
        </is>
      </c>
      <c r="G17" s="25" t="inlineStr">
        <is>
          <t>PRO 30/3/2 (list of correspondence); PRO 30/3/25 (CO's reports) - Bosanquet Papers</t>
        </is>
      </c>
      <c r="H17" s="25" t="inlineStr">
        <is>
          <t>Gee (via other session)</t>
        </is>
      </c>
      <c r="I17" s="25" t="inlineStr">
        <is>
          <t>N</t>
        </is>
      </c>
      <c r="J17" s="25" t="inlineStr">
        <is>
          <t>High</t>
        </is>
      </c>
      <c r="K17" s="25" t="inlineStr">
        <is>
          <t>Best run of request + response in one place. Includes our log rows HO42-0014 and HO42-0017.</t>
        </is>
      </c>
    </row>
    <row r="18" ht="45.75" customHeight="1" s="20">
      <c r="A18" s="25" t="inlineStr">
        <is>
          <t>L017</t>
        </is>
      </c>
      <c r="B18" s="25" t="inlineStr">
        <is>
          <t>Request for troops</t>
        </is>
      </c>
      <c r="C18" s="25" t="inlineStr">
        <is>
          <t>London</t>
        </is>
      </c>
      <c r="D18" s="25" t="inlineStr">
        <is>
          <t>Middlesex</t>
        </is>
      </c>
      <c r="E18" s="27" t="inlineStr">
        <is>
          <t>1795-06-28</t>
        </is>
      </c>
      <c r="F18" s="25" t="inlineStr">
        <is>
          <t>HO directs Lord Mayor to request metropolitan corps before LCS meetings; HO requests LHV and St James's Association directly (1795-97).</t>
        </is>
      </c>
      <c r="G18" s="25" t="inlineStr">
        <is>
          <t>HO 65/1 (Portland to Lord Mayor 28 Jun 1795; King to Herries 24 Oct 1795; Portland to St James's Assoc. 28 Jul 1797)</t>
        </is>
      </c>
      <c r="H18" s="25" t="inlineStr">
        <is>
          <t>Gee (via other session)</t>
        </is>
      </c>
      <c r="I18" s="25" t="inlineStr">
        <is>
          <t>N</t>
        </is>
      </c>
      <c r="J18" s="25" t="inlineStr">
        <is>
          <t>Medium</t>
        </is>
      </c>
      <c r="K18" s="25" t="inlineStr">
        <is>
          <t>Requests initiated by HO, not by locality - code separately.</t>
        </is>
      </c>
    </row>
    <row r="19" ht="23.25" customHeight="1" s="20">
      <c r="A19" s="25" t="inlineStr">
        <is>
          <t>L018</t>
        </is>
      </c>
      <c r="B19" s="25" t="inlineStr">
        <is>
          <t>Other</t>
        </is>
      </c>
      <c r="C19" s="25" t="inlineStr">
        <is>
          <t>England (food riots)</t>
        </is>
      </c>
      <c r="D19" s="25" t="inlineStr">
        <is>
          <t>-</t>
        </is>
      </c>
      <c r="E19" s="27" t="inlineStr">
        <is>
          <t>1793-1801</t>
        </is>
      </c>
      <c r="F19" s="25" t="inlineStr">
        <is>
          <t>Wells tabulates 202 food disturbances with force used (volunteers 86, regulars 62, both 26).</t>
        </is>
      </c>
      <c r="G19" s="25" t="inlineStr">
        <is>
          <t>Wells, Wretched Faces, pp.419-440</t>
        </is>
      </c>
      <c r="H19" s="25" t="inlineStr">
        <is>
          <t>Gee (via other session)</t>
        </is>
      </c>
      <c r="I19" s="25" t="inlineStr">
        <is>
          <t>N</t>
        </is>
      </c>
      <c r="J19" s="25" t="inlineStr">
        <is>
          <t>High</t>
        </is>
      </c>
      <c r="K19" s="25" t="inlineStr">
        <is>
          <t>Candidate riot denominator. Get the table.</t>
        </is>
      </c>
    </row>
    <row r="20" ht="34.5" customHeight="1" s="20">
      <c r="A20" s="25" t="inlineStr">
        <is>
          <t>L019</t>
        </is>
      </c>
      <c r="B20" s="25" t="inlineStr">
        <is>
          <t>Other</t>
        </is>
      </c>
      <c r="C20" s="25" t="inlineStr">
        <is>
          <t>Tavistock</t>
        </is>
      </c>
      <c r="D20" s="25" t="inlineStr">
        <is>
          <t>Devon</t>
        </is>
      </c>
      <c r="E20" s="27" t="inlineStr">
        <is>
          <t>1794-05-29</t>
        </is>
      </c>
      <c r="F20" s="25" t="inlineStr">
        <is>
          <t>F. Buller forwards letter from Mr Carter JP on "disturbances amongst the woolcombers", which "will not be confined to Tavistock".</t>
        </is>
      </c>
      <c r="G20" s="25" t="inlineStr">
        <is>
          <t>HO 42/30 f.324 (covering letter); enclosure not found at f.325</t>
        </is>
      </c>
      <c r="H20" s="25" t="inlineStr">
        <is>
          <t>HO 42 read 7 Oct 2026</t>
        </is>
      </c>
      <c r="I20" s="25" t="inlineStr">
        <is>
          <t>Partly</t>
        </is>
      </c>
      <c r="J20" s="25" t="inlineStr">
        <is>
          <t>Medium</t>
        </is>
      </c>
      <c r="K20" s="25" t="inlineStr">
        <is>
          <t>Enclosure missing - may be a request; search nearby folios / HO 43/5 for reply c. 30 May 1794.</t>
        </is>
      </c>
    </row>
    <row r="21" ht="45.75" customHeight="1" s="20">
      <c r="A21" s="25" t="inlineStr">
        <is>
          <t>L020</t>
        </is>
      </c>
      <c r="B21" s="25" t="inlineStr">
        <is>
          <t>Other</t>
        </is>
      </c>
      <c r="C21" s="25" t="inlineStr">
        <is>
          <t>Littlehampton (nr Arundel)</t>
        </is>
      </c>
      <c r="D21" s="25" t="inlineStr">
        <is>
          <t>Sussex</t>
        </is>
      </c>
      <c r="E21" s="27" t="inlineStr">
        <is>
          <t>1794-08-24</t>
        </is>
      </c>
      <c r="F21" s="25" t="inlineStr">
        <is>
          <t>Informant: privates of the Oxford and Surrey militia regiments in cantonment there said during the winter "they would join the French if they landed" and "should live better" in that case; landlord says disaffection general.</t>
        </is>
      </c>
      <c r="G21" s="25" t="inlineStr">
        <is>
          <t>HO 42/33 f.255</t>
        </is>
      </c>
      <c r="H21" s="25" t="inlineStr">
        <is>
          <t>HO 42 read 7 Oct 2026</t>
        </is>
      </c>
      <c r="I21" s="25" t="inlineStr">
        <is>
          <t>Y</t>
        </is>
      </c>
      <c r="J21" s="25" t="inlineStr">
        <is>
          <t>Low</t>
        </is>
      </c>
      <c r="K21" s="25" t="inlineStr">
        <is>
          <t>Militia reliability (context for Q5 and for why regulars were requested). Not a request or corps event.</t>
        </is>
      </c>
    </row>
    <row r="22" ht="34.5" customHeight="1" s="20">
      <c r="A22" s="25" t="inlineStr">
        <is>
          <t>L021</t>
        </is>
      </c>
      <c r="B22" s="25" t="inlineStr">
        <is>
          <t>Other</t>
        </is>
      </c>
      <c r="C22" s="25" t="inlineStr">
        <is>
          <t>West Riding</t>
        </is>
      </c>
      <c r="D22" s="25" t="inlineStr">
        <is>
          <t>Yorkshire (W. Riding)</t>
        </is>
      </c>
      <c r="E22" s="27" t="inlineStr">
        <is>
          <t>1792-12-05</t>
        </is>
      </c>
      <c r="F22" s="25" t="inlineStr">
        <is>
          <t>Officer in Yorkshire: three parts out of four of each West Riding militia battalion are hired substitutes; relevant to deployment when embodied.</t>
        </is>
      </c>
      <c r="G22" s="25" t="inlineStr">
        <is>
          <t>HO 42/23_02 f.136 (extract)</t>
        </is>
      </c>
      <c r="H22" s="25" t="inlineStr">
        <is>
          <t>HO 42 read 27 Oct 2026</t>
        </is>
      </c>
      <c r="I22" s="25" t="inlineStr">
        <is>
          <t>Y</t>
        </is>
      </c>
      <c r="J22" s="25" t="inlineStr">
        <is>
          <t>Low</t>
        </is>
      </c>
      <c r="K22" s="25" t="inlineStr">
        <is>
          <t>Militia composition/reliability context (Dec 1792 embodiment of militia).</t>
        </is>
      </c>
    </row>
    <row r="23" ht="34.5" customHeight="1" s="20">
      <c r="A23" s="25" t="inlineStr">
        <is>
          <t>L022</t>
        </is>
      </c>
      <c r="B23" s="25" t="inlineStr">
        <is>
          <t>Other</t>
        </is>
      </c>
      <c r="C23" s="25" t="inlineStr">
        <is>
          <t>Arundel</t>
        </is>
      </c>
      <c r="D23" s="25" t="inlineStr">
        <is>
          <t>Sussex</t>
        </is>
      </c>
      <c r="E23" s="27" t="inlineStr">
        <is>
          <t>1792-12-06</t>
        </is>
      </c>
      <c r="F23" s="25" t="inlineStr">
        <is>
          <t>Soldiers ordered to leave Arundel demanded three halfpence a day more pay before doing their duty; other "unfavourable reports".</t>
        </is>
      </c>
      <c r="G23" s="25" t="inlineStr">
        <is>
          <t>HO 42/23_02 f.148</t>
        </is>
      </c>
      <c r="H23" s="25" t="inlineStr">
        <is>
          <t>HO 42 read 27 Oct 2026</t>
        </is>
      </c>
      <c r="I23" s="25" t="inlineStr">
        <is>
          <t>Y</t>
        </is>
      </c>
      <c r="J23" s="25" t="inlineStr">
        <is>
          <t>Low</t>
        </is>
      </c>
      <c r="K23" s="25" t="inlineStr">
        <is>
          <t>Troop reliability/pay grievance, Dec 1792.</t>
        </is>
      </c>
    </row>
    <row r="24" ht="79.5" customHeight="1" s="20">
      <c r="A24" s="25" t="inlineStr">
        <is>
          <t>L023</t>
        </is>
      </c>
      <c r="B24" s="25" t="inlineStr">
        <is>
          <t>Request for troops</t>
        </is>
      </c>
      <c r="C24" s="25" t="inlineStr">
        <is>
          <t>Birmingham</t>
        </is>
      </c>
      <c r="D24" s="25" t="inlineStr">
        <is>
          <t>Warwickshire</t>
        </is>
      </c>
      <c r="E24" s="27" t="inlineStr">
        <is>
          <t>1792-12-10</t>
        </is>
      </c>
      <c r="F24" s="25" t="inlineStr">
        <is>
          <t>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is>
      </c>
      <c r="G24" s="25" t="inlineStr">
        <is>
          <t>HO 42/23_04 f.288 (HO copy); Garbett's letter to Hawkesbury not seen</t>
        </is>
      </c>
      <c r="H24" s="25" t="inlineStr">
        <is>
          <t>HO 42 read 27 Oct 2026</t>
        </is>
      </c>
      <c r="I24" s="25" t="inlineStr">
        <is>
          <t>Partly</t>
        </is>
      </c>
      <c r="J24" s="25" t="inlineStr">
        <is>
          <t>Medium</t>
        </is>
      </c>
      <c r="K24" s="25" t="inlineStr">
        <is>
          <t>Find Garbett's letter (possible request to keep/augment troops). Route: via Lord Hawkesbury.</t>
        </is>
      </c>
    </row>
    <row r="25" ht="34.5" customHeight="1" s="20">
      <c r="A25" s="25" t="inlineStr">
        <is>
          <t>L024</t>
        </is>
      </c>
      <c r="B25" s="25" t="inlineStr">
        <is>
          <t>Other</t>
        </is>
      </c>
      <c r="C25" s="25" t="inlineStr">
        <is>
          <t>London</t>
        </is>
      </c>
      <c r="D25" s="25" t="inlineStr">
        <is>
          <t>Middlesex</t>
        </is>
      </c>
      <c r="E25" s="27" t="inlineStr">
        <is>
          <t>1792-12-08</t>
        </is>
      </c>
      <c r="F25" s="25" t="inlineStr">
        <is>
          <t>Informant: the Guards are dissatisfied over pay; "if any tumults should happen they will not oppose the mob, but will join them."</t>
        </is>
      </c>
      <c r="G25" s="25" t="inlineStr">
        <is>
          <t>HO 42/23_04 f.255</t>
        </is>
      </c>
      <c r="H25" s="25" t="inlineStr">
        <is>
          <t>HO 42 read 27 Oct 2026</t>
        </is>
      </c>
      <c r="I25" s="25" t="inlineStr">
        <is>
          <t>Y</t>
        </is>
      </c>
      <c r="J25" s="25" t="inlineStr">
        <is>
          <t>Low</t>
        </is>
      </c>
      <c r="K25" s="25" t="inlineStr">
        <is>
          <t>Troop reliability (London), Dec 1792.</t>
        </is>
      </c>
    </row>
    <row r="26" ht="45.75" customHeight="1" s="20">
      <c r="A26" s="25" t="inlineStr">
        <is>
          <t>L025</t>
        </is>
      </c>
      <c r="B26" s="25" t="inlineStr">
        <is>
          <t>Other</t>
        </is>
      </c>
      <c r="C26" s="25" t="inlineStr">
        <is>
          <t>Walker / Newcastle collieries</t>
        </is>
      </c>
      <c r="D26" s="25" t="inlineStr">
        <is>
          <t>Northumberland</t>
        </is>
      </c>
      <c r="E26" s="27" t="inlineStr">
        <is>
          <t>1793-02-23</t>
        </is>
      </c>
      <c r="F26" s="25" t="inlineStr">
        <is>
          <t>Colliery agent Thos Barnes: pitmen at Walker stopped work, threw coals at him; warrants withdrawn under pressure of assembled pitmen; "The arm of Justice in this Country is Nerveless"; he will not act without protection. Wage petition.</t>
        </is>
      </c>
      <c r="G26" s="25" t="inlineStr">
        <is>
          <t>HO 42/23_05 ff.315-316 (misfiled; dated Feb 1793)</t>
        </is>
      </c>
      <c r="H26" s="25" t="inlineStr">
        <is>
          <t>HO 42 read 27 Oct 2026</t>
        </is>
      </c>
      <c r="I26" s="25" t="inlineStr">
        <is>
          <t>Y</t>
        </is>
      </c>
      <c r="J26" s="25" t="inlineStr">
        <is>
          <t>Medium</t>
        </is>
      </c>
      <c r="K26" s="25" t="inlineStr">
        <is>
          <t>Labour dispute report, no explicit troop request; civil power inadequacy claim. Check HO 42/24-25 for follow-up request.</t>
        </is>
      </c>
    </row>
    <row r="27" ht="68.25" customHeight="1" s="20">
      <c r="A27" s="25" t="inlineStr">
        <is>
          <t>L026</t>
        </is>
      </c>
      <c r="B27" s="25" t="inlineStr">
        <is>
          <t>Other</t>
        </is>
      </c>
      <c r="C27" s="25" t="inlineStr">
        <is>
          <t>Manchester</t>
        </is>
      </c>
      <c r="D27" s="25" t="inlineStr">
        <is>
          <t>Lancashire</t>
        </is>
      </c>
      <c r="E27" s="27" t="inlineStr">
        <is>
          <t>1792-12-12</t>
        </is>
      </c>
      <c r="F27" s="25" t="inlineStr">
        <is>
          <t>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is>
      </c>
      <c r="G27" s="25" t="inlineStr">
        <is>
          <t>HO 42/23_06 ff.376-379, 384B (Walker's letter of 12 Dec not seen)</t>
        </is>
      </c>
      <c r="H27" s="25" t="inlineStr">
        <is>
          <t>HO 42 read 27 Oct 2026</t>
        </is>
      </c>
      <c r="I27" s="25" t="inlineStr">
        <is>
          <t>Partly</t>
        </is>
      </c>
      <c r="J27" s="25" t="inlineStr">
        <is>
          <t>Medium</t>
        </is>
      </c>
      <c r="K27" s="25" t="inlineStr">
        <is>
          <t>Loyalist riot against radicals; no troop request seen. Check Walker's 12 Dec letter and magistrates' reply (HO 42/23_07+).</t>
        </is>
      </c>
    </row>
    <row r="28" ht="57" customHeight="1" s="20">
      <c r="A28" s="25" t="inlineStr">
        <is>
          <t>L027</t>
        </is>
      </c>
      <c r="B28" s="25" t="inlineStr">
        <is>
          <t>Other</t>
        </is>
      </c>
      <c r="C28" s="25" t="inlineStr">
        <is>
          <t>England (county returns)</t>
        </is>
      </c>
      <c r="D28" s="25" t="inlineStr">
        <is>
          <t>[Multiple]</t>
        </is>
      </c>
      <c r="E28" s="27" t="inlineStr">
        <is>
          <t>1795-11</t>
        </is>
      </c>
      <c r="F28" s="25" t="inlineStr">
        <is>
          <t>Magistrates' returns to Portland's Oct-Nov 1795 circular on the 1795 harvest: crop yields (wheat, barley, oats, pease) by hundred/parish vs average years, for many counties (Cornwall, Devon, Northants, Lancashire, Kent, Surrey, Middlesex...).</t>
        </is>
      </c>
      <c r="G28" s="25" t="inlineStr">
        <is>
          <t>HO 42/36_01 ff.1-66 (and probably further 36_ files)</t>
        </is>
      </c>
      <c r="H28" s="25" t="inlineStr">
        <is>
          <t>HO 42 read 30 Oct 2026</t>
        </is>
      </c>
      <c r="I28" s="25" t="inlineStr">
        <is>
          <t>Y</t>
        </is>
      </c>
      <c r="J28" s="25" t="inlineStr">
        <is>
          <t>Medium</t>
        </is>
      </c>
      <c r="K28" s="25" t="inlineStr">
        <is>
          <t>Possible HARVEST-SHORTFALL data by locality (Nov 1795) - a candidate control variable for JV. Not events.</t>
        </is>
      </c>
    </row>
  </sheetData>
  <autoFilter ref="A1:K28"/>
  <dataValidations count="3">
    <dataValidation sqref="B2:B500" showDropDown="0" showInputMessage="0" showErrorMessage="0" allowBlank="1" type="list" errorStyle="stop" operator="between">
      <formula1>Lookups!$D$2:$D$7</formula1>
      <formula2>0</formula2>
    </dataValidation>
    <dataValidation sqref="I2:I500" showDropDown="0" showInputMessage="0" showErrorMessage="0" allowBlank="1" type="list" errorStyle="stop" operator="between">
      <formula1>"Y,N"</formula1>
      <formula2>0</formula2>
    </dataValidation>
    <dataValidation sqref="J2:J500"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B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9" min="1" max="1"/>
    <col width="100" customWidth="1" style="19" min="2" max="2"/>
  </cols>
  <sheetData>
    <row r="1" ht="15" customHeight="1" s="20">
      <c r="A1" s="33" t="inlineStr">
        <is>
          <t>HO 42 extraction log - legend &amp; conventions</t>
        </is>
      </c>
      <c r="B1" s="34" t="n"/>
    </row>
    <row r="2" ht="15" customHeight="1" s="20">
      <c r="A2" s="35" t="n"/>
      <c r="B2" s="34" t="n"/>
    </row>
    <row r="3" ht="15" customHeight="1" s="20">
      <c r="A3" s="35" t="inlineStr">
        <is>
          <t>Purpose</t>
        </is>
      </c>
      <c r="B3" s="34" t="inlineStr">
        <is>
          <t>Log events in HO 42 (Home Office domestic correspondence) for the Voth/UBS project.</t>
        </is>
      </c>
    </row>
    <row r="4" ht="23.25" customHeight="1" s="20">
      <c r="A4" s="35" t="inlineStr">
        <is>
          <t>Priority</t>
        </is>
      </c>
      <c r="B4" s="34" t="inlineStr">
        <is>
          <t>Requests for troops are ~10x more important than granting decisions (per JV). Barracks: in scope. Corps founded/armed (esp. 'to suppress Insurrections'): key quotes.</t>
        </is>
      </c>
    </row>
    <row r="5" ht="23.25" customHeight="1" s="20">
      <c r="A5" s="35" t="inlineStr">
        <is>
          <t>Responses</t>
        </is>
      </c>
      <c r="B5" s="34" t="inlineStr">
        <is>
          <t>HO 43 (Home Secretary's replies) is NOT digitised and not in these PDFs; response columns (K-O) are blank unless a docket/endorsement appears in HO 42 itself. Treat as descriptive background only.</t>
        </is>
      </c>
    </row>
    <row r="6" ht="15" customHeight="1" s="20">
      <c r="A6" s="35" t="inlineStr">
        <is>
          <t>Geography</t>
        </is>
      </c>
      <c r="B6" s="34" t="inlineStr">
        <is>
          <t>England only. Wales and Scotland are out of scope (per JV) - do not log.</t>
        </is>
      </c>
    </row>
    <row r="7" ht="15" customHeight="1" s="20">
      <c r="A7" s="35" t="n"/>
      <c r="B7" s="34" t="n"/>
    </row>
    <row r="8" ht="15" customHeight="1" s="20">
      <c r="A8" s="35" t="inlineStr">
        <is>
          <t>Event type (controlled vocabulary)</t>
        </is>
      </c>
      <c r="B8" s="34" t="n"/>
    </row>
    <row r="9" ht="15" customHeight="1" s="20">
      <c r="A9" s="35" t="inlineStr">
        <is>
          <t>Request for troops</t>
        </is>
      </c>
      <c r="B9" s="34" t="inlineStr">
        <is>
          <t>Civil magistrate/corporation asks government for regular troops, militia or military aid against disturbance/insurrection.</t>
        </is>
      </c>
    </row>
    <row r="10" ht="15" customHeight="1" s="20">
      <c r="A10" s="35" t="inlineStr">
        <is>
          <t>Corps founded</t>
        </is>
      </c>
      <c r="B10" s="34" t="inlineStr">
        <is>
          <t>A new volunteer/militia/armed-association corps raised (offer, resolutions, or King's approbation).</t>
        </is>
      </c>
    </row>
    <row r="11" ht="15" customHeight="1" s="20">
      <c r="A11" s="35" t="inlineStr">
        <is>
          <t>Corps armed/expanded</t>
        </is>
      </c>
      <c r="B11" s="34" t="inlineStr">
        <is>
          <t>Existing corps seeking or granted more men, arms, field pieces or funding.</t>
        </is>
      </c>
    </row>
    <row r="12" ht="15" customHeight="1" s="20">
      <c r="A12" s="35" t="inlineStr">
        <is>
          <t>Barracks</t>
        </is>
      </c>
      <c r="B12" s="34" t="inlineStr">
        <is>
          <t>Request to build or site barracks (often riot/internal-order driven).</t>
        </is>
      </c>
    </row>
    <row r="13" ht="15" customHeight="1" s="20">
      <c r="A13" s="35" t="inlineStr">
        <is>
          <t>Corps forming (context)</t>
        </is>
      </c>
      <c r="B13" s="34" t="inlineStr">
        <is>
          <t>Mentions that associations/corps are being raised, without a discrete offer document.</t>
        </is>
      </c>
    </row>
    <row r="14" ht="15" customHeight="1" s="20">
      <c r="A14" s="35" t="n"/>
      <c r="B14" s="34" t="n"/>
    </row>
    <row r="15" ht="15" customHeight="1" s="20">
      <c r="A15" s="35" t="inlineStr">
        <is>
          <t>Column groups</t>
        </is>
      </c>
      <c r="B15" s="34" t="n"/>
    </row>
    <row r="16" ht="15" customHeight="1" s="20">
      <c r="A16" s="35" t="inlineStr">
        <is>
          <t>ID / triage (grey)</t>
        </is>
      </c>
      <c r="B16" s="34" t="inlineStr">
        <is>
          <t>Row ID, Episode ID, Event type, Key quote?</t>
        </is>
      </c>
    </row>
    <row r="17" ht="15" customHeight="1" s="20">
      <c r="A17" s="35" t="inlineStr">
        <is>
          <t>Source (blue)</t>
        </is>
      </c>
      <c r="B17" s="34" t="inlineStr">
        <is>
          <t>Call number, File, PDF page, Folio, Folio basis, Link, Image status</t>
        </is>
      </c>
    </row>
    <row r="18" ht="15" customHeight="1" s="20">
      <c r="A18" s="35" t="inlineStr">
        <is>
          <t>Text (yellow)</t>
        </is>
      </c>
      <c r="B18" s="34" t="inlineStr">
        <is>
          <t>Transcription status, key quote</t>
        </is>
      </c>
    </row>
    <row r="19" ht="15" customHeight="1" s="20">
      <c r="A19" s="35" t="inlineStr">
        <is>
          <t>Where / when (green)</t>
        </is>
      </c>
      <c r="B19" s="34" t="inlineStr">
        <is>
          <t>Dates, place, county (England only)</t>
        </is>
      </c>
    </row>
    <row r="20" ht="15" customHeight="1" s="20">
      <c r="A20" s="35" t="inlineStr">
        <is>
          <t>Who (orange)</t>
        </is>
      </c>
      <c r="B20" s="34" t="inlineStr">
        <is>
          <t>Writer, role, addressee, Home Secretary in office</t>
        </is>
      </c>
    </row>
    <row r="21" ht="15" customHeight="1" s="20">
      <c r="A21" s="35" t="inlineStr">
        <is>
          <t>Request detail (red)</t>
        </is>
      </c>
      <c r="B21" s="34" t="inlineStr">
        <is>
          <t>Fill for requests and barracks rows: disturbance, request kind, civil power inadequate, force requested, military nearby</t>
        </is>
      </c>
    </row>
    <row r="22" ht="15" customHeight="1" s="20">
      <c r="A22" s="35" t="inlineStr">
        <is>
          <t>Response (grey)</t>
        </is>
      </c>
      <c r="B22" s="34" t="inlineStr">
        <is>
          <t>HO 43 / dockets - background only</t>
        </is>
      </c>
    </row>
    <row r="23" ht="15" customHeight="1" s="20">
      <c r="A23" s="35" t="n"/>
      <c r="B23" s="34" t="n"/>
    </row>
    <row r="24" ht="15" customHeight="1" s="20">
      <c r="A24" s="35" t="inlineStr">
        <is>
          <t>Column notes</t>
        </is>
      </c>
      <c r="B24" s="34" t="inlineStr">
        <is>
          <t>Hover over any header in Events for its definition. Dropdown values live on the Lookups sheet; add new values there.</t>
        </is>
      </c>
    </row>
    <row r="25" ht="23.25" customHeight="1" s="20">
      <c r="A25" s="35" t="inlineStr">
        <is>
          <t>Folio vs PDF page</t>
        </is>
      </c>
      <c r="B25" s="34" t="inlineStr">
        <is>
          <t>TNA HO 42 PDFs were made from microfilm before a later re-foliation. Record the stamped folio AND the PDF page; set Folio basis. Existing rows marked "Unclear - check".</t>
        </is>
      </c>
    </row>
    <row r="26" ht="15" customHeight="1" s="20">
      <c r="A26" s="35" t="inlineStr">
        <is>
          <t>Dates</t>
        </is>
      </c>
      <c r="B26" s="34" t="inlineStr">
        <is>
          <t>Date (ISO) is typed as text YYYY-MM-DD - Excel cannot hold pre-1900 dates. Year and Home Secretary are formulas off it.</t>
        </is>
      </c>
    </row>
    <row r="27" ht="23.25" customHeight="1" s="20">
      <c r="A27" s="35" t="inlineStr">
        <is>
          <t>Episodes</t>
        </is>
      </c>
      <c r="B27" s="34" t="inlineStr">
        <is>
          <t>One episode = one incident. Several letters about the same riot share an Episode ID. The regression unit is likely the episode, not the letter.</t>
        </is>
      </c>
    </row>
    <row r="28" ht="23.25" customHeight="1" s="20">
      <c r="A28" s="35" t="inlineStr">
        <is>
          <t>Auto-filled fields</t>
        </is>
      </c>
      <c r="B28" s="34" t="inlineStr">
        <is>
          <t>Episode, county, role, disturbance, request kind, civil power, force, military nearby were filled from the existing quotes and notes on 7 Oct 2026 - verify against the letters. Uncertain cases flagged "CHECK:" in Notes.</t>
        </is>
      </c>
    </row>
    <row r="29" ht="15" customHeight="1" s="20">
      <c r="A29" s="35" t="n"/>
      <c r="B29" s="34" t="n"/>
    </row>
    <row r="30" ht="15" customHeight="1" s="20">
      <c r="A30" s="35" t="inlineStr">
        <is>
          <t>Coverage of this draft</t>
        </is>
      </c>
      <c r="B30" s="34" t="n"/>
    </row>
    <row r="31" ht="15" customHeight="1" s="20">
      <c r="A31" s="35" t="inlineStr">
        <is>
          <t>Fully read -&gt; rows derived</t>
        </is>
      </c>
      <c r="B31" s="34" t="inlineStr">
        <is>
          <t>HO 42/16 (01-05); HO 42/34 (01-05); HO 42/30_01; HO 42/33 (01-03) - read folio-by-folio.</t>
        </is>
      </c>
    </row>
    <row r="32" ht="34.5" customHeight="1" s="20">
      <c r="A32" s="35" t="inlineStr">
        <is>
          <t>Coverage - status (7 Oct 2026)</t>
        </is>
      </c>
      <c r="B32" s="34" t="inlineStr">
        <is>
          <t>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t>
        </is>
      </c>
    </row>
    <row r="33"/>
    <row r="34" ht="23.25" customHeight="1" s="20">
      <c r="A34" s="22" t="inlineStr">
        <is>
          <t>Leads sheet</t>
        </is>
      </c>
      <c r="B34" s="34" t="inlineStr">
        <is>
          <t>Events cited by secondary works (Gee, Bend) but NOT yet seen in the original. Move a lead to Events only after reading the document; then set Verified = Y here.</t>
        </is>
      </c>
    </row>
    <row r="35"/>
    <row r="36" ht="45.75" customHeight="1" s="20">
      <c r="A36" s="36" t="inlineStr">
        <is>
          <t>SOURCE SWITCH: HO 40 from 1812</t>
        </is>
      </c>
      <c r="B36" s="34" t="inlineStr">
        <is>
          <t>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9" min="1" max="15"/>
  </cols>
  <sheetData>
    <row r="1" ht="15" customHeight="1" s="20">
      <c r="A1" s="22" t="inlineStr">
        <is>
          <t>Home Sec from (ISO)</t>
        </is>
      </c>
      <c r="B1" s="22" t="inlineStr">
        <is>
          <t>Home Secretary</t>
        </is>
      </c>
      <c r="C1" s="22" t="n"/>
      <c r="D1" s="22" t="inlineStr">
        <is>
          <t>Event type</t>
        </is>
      </c>
      <c r="E1" s="22" t="inlineStr">
        <is>
          <t>Key quote?</t>
        </is>
      </c>
      <c r="F1" s="22" t="inlineStr">
        <is>
          <t>Folio basis</t>
        </is>
      </c>
      <c r="G1" s="22" t="inlineStr">
        <is>
          <t>Image status</t>
        </is>
      </c>
      <c r="H1" s="22" t="inlineStr">
        <is>
          <t>Transcription status</t>
        </is>
      </c>
      <c r="I1" s="22" t="inlineStr">
        <is>
          <t>Writer role</t>
        </is>
      </c>
      <c r="J1" s="22" t="inlineStr">
        <is>
          <t>Disturbance type</t>
        </is>
      </c>
      <c r="K1" s="22" t="inlineStr">
        <is>
          <t>Request kind</t>
        </is>
      </c>
      <c r="L1" s="22" t="inlineStr">
        <is>
          <t>Civil power inadequate?</t>
        </is>
      </c>
      <c r="M1" s="22" t="inlineStr">
        <is>
          <t>Military already nearby?</t>
        </is>
      </c>
      <c r="N1" s="22" t="inlineStr">
        <is>
          <t>Outcome</t>
        </is>
      </c>
      <c r="O1" s="22" t="inlineStr">
        <is>
          <t>Response source</t>
        </is>
      </c>
    </row>
    <row r="2" ht="15" customHeight="1" s="20">
      <c r="A2" s="37" t="inlineStr">
        <is>
          <t>1789-06-05</t>
        </is>
      </c>
      <c r="B2" s="23" t="inlineStr">
        <is>
          <t>Grenville</t>
        </is>
      </c>
      <c r="C2" s="23" t="n"/>
      <c r="D2" s="23" t="inlineStr">
        <is>
          <t>Request for troops</t>
        </is>
      </c>
      <c r="E2" s="23" t="inlineStr">
        <is>
          <t>Y</t>
        </is>
      </c>
      <c r="F2" s="23" t="inlineStr">
        <is>
          <t>Folio stamp</t>
        </is>
      </c>
      <c r="G2" s="23" t="inlineStr">
        <is>
          <t>Digitised (TNA PDF)</t>
        </is>
      </c>
      <c r="H2" s="23" t="inlineStr">
        <is>
          <t>Key quote only</t>
        </is>
      </c>
      <c r="I2" s="23" t="inlineStr">
        <is>
          <t>Magistrate / JP</t>
        </is>
      </c>
      <c r="J2" s="23" t="inlineStr">
        <is>
          <t>Food / provisions</t>
        </is>
      </c>
      <c r="K2" s="23" t="inlineStr">
        <is>
          <t>Actual</t>
        </is>
      </c>
      <c r="L2" s="23" t="inlineStr">
        <is>
          <t>Y</t>
        </is>
      </c>
      <c r="M2" s="23" t="inlineStr">
        <is>
          <t>Y</t>
        </is>
      </c>
      <c r="N2" s="23" t="inlineStr">
        <is>
          <t>Approved</t>
        </is>
      </c>
      <c r="O2" s="23" t="inlineStr">
        <is>
          <t>HO 42 docket</t>
        </is>
      </c>
    </row>
    <row r="3" ht="15" customHeight="1" s="20">
      <c r="A3" s="37" t="inlineStr">
        <is>
          <t>1791-06-08</t>
        </is>
      </c>
      <c r="B3" s="23" t="inlineStr">
        <is>
          <t>Dundas</t>
        </is>
      </c>
      <c r="C3" s="23" t="n"/>
      <c r="D3" s="23" t="inlineStr">
        <is>
          <t>Corps founded</t>
        </is>
      </c>
      <c r="E3" s="23" t="inlineStr">
        <is>
          <t>N</t>
        </is>
      </c>
      <c r="F3" s="23" t="inlineStr">
        <is>
          <t>PDF page</t>
        </is>
      </c>
      <c r="G3" s="23" t="inlineStr">
        <is>
          <t>Own photo taken</t>
        </is>
      </c>
      <c r="H3" s="23" t="inlineStr">
        <is>
          <t>Key quote; full text held</t>
        </is>
      </c>
      <c r="I3" s="23" t="inlineStr">
        <is>
          <t>Mayor / corporation</t>
        </is>
      </c>
      <c r="J3" s="23" t="inlineStr">
        <is>
          <t>Labour / industrial</t>
        </is>
      </c>
      <c r="K3" s="23" t="inlineStr">
        <is>
          <t>Pre-emptive</t>
        </is>
      </c>
      <c r="L3" s="23" t="inlineStr">
        <is>
          <t>N</t>
        </is>
      </c>
      <c r="M3" s="23" t="inlineStr">
        <is>
          <t>N</t>
        </is>
      </c>
      <c r="N3" s="23" t="inlineStr">
        <is>
          <t>Denied</t>
        </is>
      </c>
      <c r="O3" s="23" t="inlineStr">
        <is>
          <t>HO 43</t>
        </is>
      </c>
    </row>
    <row r="4" ht="15" customHeight="1" s="20">
      <c r="A4" s="37" t="inlineStr">
        <is>
          <t>1794-07-11</t>
        </is>
      </c>
      <c r="B4" s="23" t="inlineStr">
        <is>
          <t>Portland</t>
        </is>
      </c>
      <c r="C4" s="23" t="n"/>
      <c r="D4" s="23" t="inlineStr">
        <is>
          <t>Corps armed/expanded</t>
        </is>
      </c>
      <c r="E4" s="23" t="n"/>
      <c r="F4" s="23" t="inlineStr">
        <is>
          <t>Unclear - check</t>
        </is>
      </c>
      <c r="G4" s="23" t="inlineStr">
        <is>
          <t>Needs photo</t>
        </is>
      </c>
      <c r="H4" s="23" t="inlineStr">
        <is>
          <t>Full transcription</t>
        </is>
      </c>
      <c r="I4" s="23" t="inlineStr">
        <is>
          <t>Lord Lieutenant</t>
        </is>
      </c>
      <c r="J4" s="23" t="inlineStr">
        <is>
          <t>Anti-machinery</t>
        </is>
      </c>
      <c r="K4" s="23" t="inlineStr">
        <is>
          <t>Contingent</t>
        </is>
      </c>
      <c r="L4" s="23" t="inlineStr">
        <is>
          <t>Unclear</t>
        </is>
      </c>
      <c r="M4" s="23" t="inlineStr">
        <is>
          <t>Volunteers only</t>
        </is>
      </c>
      <c r="N4" s="23" t="inlineStr">
        <is>
          <t>Partly approved</t>
        </is>
      </c>
      <c r="O4" s="23" t="inlineStr">
        <is>
          <t>Other</t>
        </is>
      </c>
    </row>
    <row r="5" ht="15" customHeight="1" s="20">
      <c r="A5" s="37" t="inlineStr">
        <is>
          <t>1801-07-30</t>
        </is>
      </c>
      <c r="B5" s="23" t="inlineStr">
        <is>
          <t>Pelham</t>
        </is>
      </c>
      <c r="C5" s="23" t="n"/>
      <c r="D5" s="23" t="inlineStr">
        <is>
          <t>Barracks</t>
        </is>
      </c>
      <c r="E5" s="23" t="n"/>
      <c r="F5" s="23" t="n"/>
      <c r="G5" s="23" t="inlineStr">
        <is>
          <t>Not needed</t>
        </is>
      </c>
      <c r="H5" s="23" t="inlineStr">
        <is>
          <t>Machine (VLM) draft</t>
        </is>
      </c>
      <c r="I5" s="23" t="inlineStr">
        <is>
          <t>Military officer</t>
        </is>
      </c>
      <c r="J5" s="23" t="inlineStr">
        <is>
          <t>Election</t>
        </is>
      </c>
      <c r="K5" s="23" t="inlineStr">
        <is>
          <t>Report only</t>
        </is>
      </c>
      <c r="L5" s="23" t="n"/>
      <c r="M5" s="23" t="inlineStr">
        <is>
          <t>Unclear</t>
        </is>
      </c>
      <c r="N5" s="23" t="inlineStr">
        <is>
          <t>Forwarded</t>
        </is>
      </c>
      <c r="O5" s="23" t="inlineStr">
        <is>
          <t>None found</t>
        </is>
      </c>
    </row>
    <row r="6" ht="15" customHeight="1" s="20">
      <c r="A6" s="37" t="inlineStr">
        <is>
          <t>1803-08-17</t>
        </is>
      </c>
      <c r="B6" s="23" t="inlineStr">
        <is>
          <t>C. Yorke</t>
        </is>
      </c>
      <c r="C6" s="23" t="n"/>
      <c r="D6" s="23" t="inlineStr">
        <is>
          <t>Corps forming (context)</t>
        </is>
      </c>
      <c r="E6" s="23" t="n"/>
      <c r="F6" s="23" t="n"/>
      <c r="G6" s="23" t="n"/>
      <c r="H6" s="23" t="inlineStr">
        <is>
          <t>VLM checked</t>
        </is>
      </c>
      <c r="I6" s="23" t="inlineStr">
        <is>
          <t>Volunteer / militia officer</t>
        </is>
      </c>
      <c r="J6" s="23" t="inlineStr">
        <is>
          <t>Radical / political</t>
        </is>
      </c>
      <c r="K6" s="23" t="n"/>
      <c r="L6" s="23" t="n"/>
      <c r="M6" s="23" t="n"/>
      <c r="N6" s="23" t="inlineStr">
        <is>
          <t>Not needed</t>
        </is>
      </c>
      <c r="O6" s="23" t="n"/>
    </row>
    <row r="7" ht="15" customHeight="1" s="20">
      <c r="A7" s="37" t="inlineStr">
        <is>
          <t>1804-05-12</t>
        </is>
      </c>
      <c r="B7" s="23" t="inlineStr">
        <is>
          <t>Hawkesbury</t>
        </is>
      </c>
      <c r="C7" s="23" t="n"/>
      <c r="D7" s="23" t="inlineStr">
        <is>
          <t>Other</t>
        </is>
      </c>
      <c r="E7" s="23" t="n"/>
      <c r="F7" s="23" t="n"/>
      <c r="G7" s="23" t="n"/>
      <c r="H7" s="23" t="n"/>
      <c r="I7" s="23" t="inlineStr">
        <is>
          <t>Loyalist association</t>
        </is>
      </c>
      <c r="J7" s="23" t="inlineStr">
        <is>
          <t>Recruitment / crimping</t>
        </is>
      </c>
      <c r="K7" s="23" t="n"/>
      <c r="L7" s="23" t="n"/>
      <c r="M7" s="23" t="n"/>
      <c r="N7" s="23" t="inlineStr">
        <is>
          <t>Unknown</t>
        </is>
      </c>
      <c r="O7" s="23" t="n"/>
    </row>
    <row r="8" ht="15" customHeight="1" s="20">
      <c r="A8" s="37" t="inlineStr">
        <is>
          <t>1806-02-05</t>
        </is>
      </c>
      <c r="B8" s="23" t="inlineStr">
        <is>
          <t>Spencer</t>
        </is>
      </c>
      <c r="C8" s="23" t="n"/>
      <c r="D8" s="23" t="n"/>
      <c r="E8" s="23" t="n"/>
      <c r="F8" s="23" t="n"/>
      <c r="G8" s="23" t="n"/>
      <c r="H8" s="23" t="n"/>
      <c r="I8" s="23" t="inlineStr">
        <is>
          <t>MP / peer</t>
        </is>
      </c>
      <c r="J8" s="23" t="inlineStr">
        <is>
          <t>Militia ballot</t>
        </is>
      </c>
      <c r="K8" s="23" t="n"/>
      <c r="L8" s="23" t="n"/>
      <c r="M8" s="23" t="n"/>
      <c r="N8" s="23" t="n"/>
      <c r="O8" s="23" t="n"/>
    </row>
    <row r="9" ht="15" customHeight="1" s="20">
      <c r="A9" s="37" t="inlineStr">
        <is>
          <t>1807-03-25</t>
        </is>
      </c>
      <c r="B9" s="23" t="inlineStr">
        <is>
          <t>Hawkesbury</t>
        </is>
      </c>
      <c r="C9" s="23" t="n"/>
      <c r="D9" s="23" t="n"/>
      <c r="E9" s="23" t="n"/>
      <c r="F9" s="23" t="n"/>
      <c r="G9" s="23" t="n"/>
      <c r="H9" s="23" t="n"/>
      <c r="I9" s="23" t="inlineStr">
        <is>
          <t>Other official</t>
        </is>
      </c>
      <c r="J9" s="23" t="inlineStr">
        <is>
          <t>Preventive / general</t>
        </is>
      </c>
      <c r="K9" s="23" t="n"/>
      <c r="L9" s="23" t="n"/>
      <c r="M9" s="23" t="n"/>
      <c r="N9" s="23" t="n"/>
      <c r="O9" s="23" t="n"/>
    </row>
    <row r="10" ht="15" customHeight="1" s="20">
      <c r="A10" s="37" t="inlineStr">
        <is>
          <t>1809-11-01</t>
        </is>
      </c>
      <c r="B10" s="23" t="inlineStr">
        <is>
          <t>Ryder</t>
        </is>
      </c>
      <c r="C10" s="23" t="n"/>
      <c r="D10" s="23" t="n"/>
      <c r="E10" s="23" t="n"/>
      <c r="F10" s="23" t="n"/>
      <c r="G10" s="23" t="n"/>
      <c r="H10" s="23" t="n"/>
      <c r="I10" s="23" t="inlineStr">
        <is>
          <t>Private individual</t>
        </is>
      </c>
      <c r="J10" s="23" t="inlineStr">
        <is>
          <t>Enclosure</t>
        </is>
      </c>
      <c r="K10" s="23" t="n"/>
      <c r="L10" s="23" t="n"/>
      <c r="M10" s="23" t="n"/>
      <c r="N10" s="23" t="n"/>
      <c r="O10" s="23" t="n"/>
    </row>
    <row r="11" ht="15" customHeight="1" s="20">
      <c r="A11" s="37" t="inlineStr">
        <is>
          <t>1812-06-11</t>
        </is>
      </c>
      <c r="B11" s="23" t="inlineStr">
        <is>
          <t>Sidmouth</t>
        </is>
      </c>
      <c r="C11" s="23" t="n"/>
      <c r="D11" s="23" t="n"/>
      <c r="E11" s="23" t="n"/>
      <c r="F11" s="23" t="n"/>
      <c r="G11" s="23" t="n"/>
      <c r="H11" s="23" t="n"/>
      <c r="I11" s="23" t="n"/>
      <c r="J11" s="23" t="inlineStr">
        <is>
          <t>Other / unclear</t>
        </is>
      </c>
      <c r="K11" s="23" t="n"/>
      <c r="L11" s="23" t="n"/>
      <c r="M11" s="23" t="n"/>
      <c r="N11" s="23" t="n"/>
      <c r="O11" s="23" t="n"/>
    </row>
    <row r="12" ht="15" customHeight="1" s="20">
      <c r="A12" s="37" t="inlineStr">
        <is>
          <t>1822-01-17</t>
        </is>
      </c>
      <c r="B12" s="23" t="inlineStr">
        <is>
          <t>Peel</t>
        </is>
      </c>
      <c r="C12" s="23" t="n"/>
      <c r="D12" s="23" t="n"/>
      <c r="E12" s="23" t="n"/>
      <c r="F12" s="23" t="n"/>
      <c r="G12" s="23" t="n"/>
      <c r="H12" s="23" t="n"/>
      <c r="I12" s="23" t="n"/>
      <c r="J12" s="23" t="n"/>
      <c r="K12" s="23" t="n"/>
      <c r="L12" s="23" t="n"/>
      <c r="M12" s="23" t="n"/>
      <c r="N12" s="23" t="n"/>
      <c r="O12" s="23" t="n"/>
    </row>
    <row r="13" ht="15" customHeight="1" s="20">
      <c r="A13" s="23" t="n"/>
      <c r="B13" s="23" t="n"/>
      <c r="C13" s="23" t="n"/>
      <c r="D13" s="23" t="n"/>
      <c r="E13" s="23" t="n"/>
      <c r="F13" s="23" t="n"/>
      <c r="G13" s="23" t="n"/>
      <c r="H13" s="23" t="n"/>
      <c r="I13" s="23" t="n"/>
      <c r="J13" s="23" t="n"/>
      <c r="K13" s="23" t="n"/>
      <c r="L13" s="23" t="n"/>
      <c r="M13" s="23" t="n"/>
      <c r="N13" s="23" t="n"/>
      <c r="O13" s="23" t="n"/>
    </row>
    <row r="14" ht="15" customHeight="1" s="20">
      <c r="A14" s="23" t="inlineStr">
        <is>
          <t>Source: standard lists of Secretaries of State for the Home Department (start of term). Context column only.</t>
        </is>
      </c>
      <c r="B14" s="23" t="n"/>
      <c r="C14" s="23" t="n"/>
      <c r="D14" s="23" t="n"/>
      <c r="E14" s="23" t="n"/>
      <c r="F14" s="23" t="n"/>
      <c r="G14" s="23" t="n"/>
      <c r="H14" s="23" t="n"/>
      <c r="I14" s="23" t="n"/>
      <c r="J14" s="23" t="n"/>
      <c r="K14" s="23" t="n"/>
      <c r="L14" s="23" t="n"/>
      <c r="M14" s="23" t="n"/>
      <c r="N14" s="23" t="n"/>
      <c r="O14" s="2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2026-10-07T14:07:47Z</dcterms:created>
  <dcterms:modified xmlns:dcterms="http://purl.org/dc/terms/" xmlns:xsi="http://www.w3.org/2001/XMLSchema-instance" xsi:type="dcterms:W3CDTF">2026-10-30T17:42:36Z</dcterms:modified>
  <cp:revision>0</cp:revision>
</cp:coreProperties>
</file>