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Events!$A$1:$AI$116</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<sst xmlns="http://schemas.openxmlformats.org/spreadsheetml/2006/main" count="3464" uniqueCount="1742">
  <si>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</si>
  <si>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</si>
  <si>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</si>
  <si>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</si>
  <si>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</si>
  <si>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</si>
  <si>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</si>
  <si>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</si>
  <si>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</si>
  <si>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</si>
  <si>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</si>
  <si>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</si>
  <si>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</si>
  <si>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</si>
  <si>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</si>
  <si>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</si>
  <si>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</si>
  <si>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</si>
  <si>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</si>
  <si>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</si>
  <si>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</si>
  <si>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</si>
  <si>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</si>
  <si>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</si>
  <si>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</si>
  <si>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</si>
  <si>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</si>
  <si>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</si>
  <si>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</si>
  <si>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</si>
  <si>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</si>
  <si>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</si>
  <si>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</si>
  <si>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</si>
  <si>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</si>
  <si>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</si>
  <si>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</si>
  <si>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</si>
  <si>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</si>
  <si>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</si>
  <si>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</si>
  <si>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</si>
  <si>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</si>
  <si>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</si>
  <si>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</si>
  <si>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</si>
  <si>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</si>
  <si>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</si>
  <si>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</si>
  <si>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</si>
  <si>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</si>
  <si>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</si>
  <si>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</si>
  <si>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</si>
  <si>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</si>
  <si>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</si>
  <si>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</si>
  <si>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</si>
  <si>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</si>
  <si>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</si>
  <si>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</si>
  <si>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</si>
  <si>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</si>
  <si>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</si>
  <si>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</si>
  <si>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</si>
  <si>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</si>
  <si>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</si>
  <si>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</si>
  <si>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</si>
  <si>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</si>
  <si>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</si>
  <si>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</si>
  <si>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</si>
  <si>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</si>
  <si>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</si>
  <si>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</si>
  <si>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</si>
  <si>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</si>
  <si>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</si>
  <si>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</si>
  <si>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</si>
  <si>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</si>
  <si>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</si>
  <si>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</si>
  <si>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</si>
  <si>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</si>
  <si>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</si>
  <si>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</si>
  <si>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</si>
  <si>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</si>
  <si>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</si>
  <si>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</si>
  <si>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</si>
  <si>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</si>
  <si>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</si>
  <si>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</si>
  <si>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</si>
  <si>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</si>
  <si>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</si>
  <si>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</si>
  <si>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</si>
  <si>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</si>
  <si>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</si>
  <si>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</si>
  <si>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</si>
  <si>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</si>
  <si>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</si>
  <si>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</si>
  <si>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</si>
  <si>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</si>
  <si>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</si>
  <si>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</si>
  <si>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</si>
  <si>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</si>
  <si>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</si>
  <si>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</si>
  <si>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</si>
  <si>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</si>
  <si>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</si>
  <si>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</si>
  <si>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</si>
  <si>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</si>
  <si>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</si>
  <si>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</si>
  <si>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</si>
  <si>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</si>
  <si>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</si>
  <si>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</si>
  <si>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</si>
  <si>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</si>
  <si>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</si>
  <si>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</si>
  <si>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</si>
  <si>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</si>
  <si>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</si>
  <si>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</si>
  <si>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</si>
  <si>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</si>
  <si>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</si>
  <si>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</si>
  <si>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</si>
  <si>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</si>
  <si>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</si>
  <si>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</si>
  <si>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</si>
  <si>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</si>
  <si>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</si>
  <si>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</si>
  <si>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</si>
  <si>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</si>
  <si>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</si>
  <si>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</si>
  <si>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</si>
  <si>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</si>
  <si>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</si>
  <si>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</si>
  <si>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</si>
  <si>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</si>
  <si>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</si>
  <si>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</si>
  <si>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</si>
  <si>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</si>
  <si>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</si>
  <si>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</si>
  <si>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</si>
  <si>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</si>
  <si>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</si>
  <si>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</si>
  <si>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</si>
  <si>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</si>
  <si>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</si>
  <si>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</si>
  <si>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</si>
  <si>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</si>
  <si>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</si>
  <si>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</si>
  <si>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</si>
  <si>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</si>
  <si>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</si>
  <si>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</si>
  <si>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</si>
  <si>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</si>
  <si>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</si>
  <si>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</si>
  <si>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</si>
  <si>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</si>
  <si>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</si>
  <si>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</si>
  <si>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</si>
  <si>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</si>
  <si>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</si>
  <si>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</si>
  <si>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</si>
  <si>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</si>
  <si>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</si>
  <si>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</si>
  <si>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</si>
  <si>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</si>
  <si>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</si>
  <si>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</si>
  <si>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</si>
  <si>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</si>
  <si>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</si>
  <si>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</si>
  <si>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</si>
  <si>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</si>
  <si>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</si>
  <si>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</si>
  <si>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</si>
  <si>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</si>
  <si>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</si>
  <si>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</si>
  <si>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</si>
  <si>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</si>
  <si>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</si>
  <si>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</si>
  <si>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</si>
  <si>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</si>
  <si>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</si>
  <si>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</si>
  <si>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</si>
  <si>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</si>
  <si>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</si>
  <si>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</si>
  <si>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</si>
  <si>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</si>
  <si>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</si>
  <si>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</si>
  <si>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</si>
  <si>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</si>
  <si>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</si>
  <si>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</si>
  <si>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</si>
  <si>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</si>
  <si>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</si>
  <si>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</si>
  <si>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</si>
  <si>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</si>
  <si>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</si>
  <si>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</si>
  <si>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</si>
  <si>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</si>
  <si>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</si>
  <si>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</si>
  <si>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</si>
  <si>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</si>
  <si>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</si>
  <si>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</si>
  <si>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</si>
  <si>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</si>
  <si>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</si>
  <si>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</si>
  <si>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</si>
  <si>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</si>
  <si>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</si>
  <si>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</si>
  <si>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</si>
  <si>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</si>
  <si>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</si>
  <si>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</si>
  <si>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</si>
  <si>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</si>
  <si>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</si>
  <si>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</si>
  <si>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</si>
  <si>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</si>
  <si>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</si>
  <si>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</si>
  <si>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</si>
  <si>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</si>
  <si>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</si>
  <si>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</si>
  <si>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</si>
  <si>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</si>
  <si>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</si>
  <si>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</si>
  <si>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</si>
  <si>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</si>
  <si>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</si>
  <si>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</si>
  <si>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</si>
  <si>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</si>
  <si>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</si>
  <si>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</si>
  <si>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</si>
  <si>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</si>
  <si>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</si>
  <si>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</si>
  <si>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</si>
  <si>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</si>
  <si>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</si>
  <si>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</si>
  <si>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</si>
  <si>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</si>
  <si>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</si>
  <si>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</si>
  <si>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</si>
  <si>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</si>
  <si>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</si>
  <si>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</si>
  <si>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</si>
  <si>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</si>
  <si>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</si>
  <si>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</si>
  <si>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</si>
  <si>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</si>
  <si>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</si>
  <si>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</si>
  <si>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</si>
  <si>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</si>
  <si>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</si>
  <si>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</si>
  <si>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</si>
  <si>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</si>
  <si>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</si>
  <si>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</si>
  <si>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</si>
  <si>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</si>
  <si>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</si>
  <si>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</si>
  <si>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</si>
  <si>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</si>
  <si>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</si>
  <si>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</si>
  <si>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</si>
  <si>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</si>
  <si>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</si>
  <si>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</si>
  <si>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</si>
  <si>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</si>
  <si>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</si>
  <si>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</si>
  <si>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</si>
  <si>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</si>
  <si>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</si>
  <si>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</si>
  <si>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</si>
  <si>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</si>
  <si>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</si>
  <si>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</si>
  <si>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</si>
  <si>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</si>
  <si>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</si>
  <si>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</si>
  <si>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</si>
  <si>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</si>
  <si>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</si>
  <si>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</si>
  <si>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</si>
  <si>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</si>
  <si>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</si>
  <si>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</si>
  <si>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</si>
  <si>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</si>
  <si>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</si>
  <si>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</si>
  <si>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</si>
  <si>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</si>
  <si>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</si>
  <si>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</si>
  <si>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</si>
  <si>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</si>
  <si>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</si>
  <si>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</si>
  <si>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</si>
  <si>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</si>
  <si>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</si>
  <si>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</si>
  <si>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</si>
  <si>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</si>
  <si>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</si>
  <si>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</si>
  <si>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</si>
  <si>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</si>
  <si>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</si>
  <si>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</si>
  <si>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</si>
  <si>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</si>
  <si>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</si>
  <si>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</si>
  <si>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</si>
  <si>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</si>
  <si>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</si>
  <si>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</si>
  <si>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</si>
  <si>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</si>
  <si>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</si>
  <si>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</si>
  <si>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</si>
  <si>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</si>
  <si>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</si>
  <si>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</si>
  <si>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</si>
  <si>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</si>
  <si>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</si>
  <si>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</si>
  <si>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</si>
  <si>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</si>
  <si>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</si>
  <si>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</si>
  <si>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</si>
  <si>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</si>
  <si>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</si>
  <si>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</si>
  <si>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</si>
  <si>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</si>
  <si>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</si>
  <si>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</si>
  <si>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</si>
  <si>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</si>
  <si>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</si>
  <si>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</si>
  <si>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</si>
  <si>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</si>
  <si>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</si>
  <si>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</si>
  <si>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</si>
  <si>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</si>
  <si>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</si>
  <si>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</si>
  <si>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</si>
  <si>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</si>
  <si>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</si>
  <si>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</si>
  <si>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</si>
  <si>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</si>
  <si>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</si>
  <si>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</si>
  <si>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</si>
  <si>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</si>
  <si>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</si>
  <si>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</si>
  <si>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</si>
  <si>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</si>
  <si>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</si>
  <si>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</si>
  <si>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</si>
  <si>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</si>
  <si>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</si>
  <si>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</si>
  <si>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</si>
  <si>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</si>
  <si>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</si>
  <si>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</si>
  <si>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</si>
  <si>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</si>
  <si>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</si>
  <si>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</si>
  <si>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</si>
  <si>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</si>
  <si>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</si>
  <si>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</si>
  <si>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</si>
  <si>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</si>
  <si>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</si>
  <si>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</si>
  <si>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</si>
  <si>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</si>
  <si>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</si>
  <si>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</si>
  <si>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</si>
  <si>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</si>
  <si>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</si>
  <si>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</si>
  <si>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</si>
  <si>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</si>
  <si>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</si>
  <si>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</si>
  <si>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</si>
  <si>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</si>
  <si>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</si>
  <si>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</si>
  <si>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</si>
  <si>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</si>
  <si>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</si>
  <si>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</si>
  <si>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</si>
  <si>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</si>
  <si>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</si>
  <si>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</si>
  <si>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</si>
  <si>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</si>
  <si>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</si>
  <si>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</si>
  <si>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</si>
  <si>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</si>
  <si>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</si>
  <si>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</si>
  <si>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</si>
  <si>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</si>
  <si>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</si>
  <si>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</si>
  <si>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</si>
  <si>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</si>
  <si>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</si>
  <si>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</si>
  <si>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</si>
  <si>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</si>
  <si>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</si>
  <si>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</si>
  <si>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</si>
  <si>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</si>
  <si>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</si>
  <si>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</si>
  <si>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</si>
  <si>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</si>
  <si>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</si>
  <si>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</si>
  <si>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</si>
  <si>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</si>
  <si>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</si>
  <si>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</si>
  <si>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</si>
  <si>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</si>
  <si>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</si>
  <si>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</si>
  <si>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</si>
  <si>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</si>
  <si>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</si>
  <si>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</si>
  <si>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</si>
  <si>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</si>
  <si>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</si>
  <si>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</si>
  <si>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</si>
  <si>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</si>
  <si>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</si>
  <si>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</si>
  <si>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</si>
  <si>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</si>
  <si>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</si>
  <si>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</si>
  <si>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</si>
  <si>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</si>
  <si>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</si>
  <si>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</si>
  <si>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</si>
  <si>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</si>
  <si>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</si>
  <si>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</si>
  <si>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</si>
  <si>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</si>
  <si>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</si>
  <si>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</si>
  <si>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</si>
  <si>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</si>
  <si>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</si>
  <si>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</si>
  <si>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</si>
  <si>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</si>
  <si>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</si>
  <si>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</si>
  <si>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</si>
  <si>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</si>
  <si>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</si>
  <si>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</si>
  <si>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</si>
  <si>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</si>
  <si>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</si>
  <si>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</si>
  <si>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</si>
  <si>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</si>
  <si>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</si>
  <si>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</si>
  <si>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</si>
  <si>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</si>
  <si>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</si>
  <si>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</si>
  <si>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</si>
  <si>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</si>
  <si>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</si>
  <si>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</si>
  <si>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</si>
  <si>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</si>
  <si>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</si>
  <si>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</si>
  <si>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</si>
  <si>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</si>
  <si>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</si>
  <si>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</si>
  <si>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</si>
  <si>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</si>
  <si>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</si>
  <si>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</si>
  <si>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</si>
  <si>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</si>
  <si>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</si>
  <si>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</si>
  <si>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</si>
  <si>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</si>
  <si>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</si>
  <si>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</si>
  <si>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</si>
  <si>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</si>
  <si>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</si>
  <si>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</si>
  <si>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</si>
  <si>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</si>
  <si>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</si>
  <si>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</si>
  <si>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</si>
  <si>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</si>
  <si>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</si>
  <si>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</si>
  <si>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</si>
  <si>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</si>
  <si>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</si>
  <si>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</si>
  <si>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</si>
  <si>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</si>
  <si>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</si>
  <si>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</si>
  <si>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</si>
  <si>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</si>
  <si>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</si>
  <si>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</si>
  <si>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</si>
  <si>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</si>
  <si>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</si>
  <si>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</si>
  <si>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</si>
  <si>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</si>
  <si>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</si>
  <si>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</si>
  <si>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</si>
  <si>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</si>
  <si>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</si>
  <si>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</si>
  <si>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</si>
  <si>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</si>
  <si>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</si>
  <si>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</si>
  <si>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</si>
  <si>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</si>
  <si>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</si>
  <si>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</si>
  <si>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</si>
  <si>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</si>
  <si>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</si>
  <si>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</si>
  <si>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</si>
  <si>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</si>
  <si>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</si>
  <si>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</si>
  <si>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</si>
  <si>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</si>
  <si>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</si>
  <si>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</si>
  <si>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</si>
  <si>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</si>
  <si>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</si>
  <si>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</si>
  <si>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</si>
  <si>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</si>
  <si>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</si>
  <si>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</si>
  <si>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</si>
  <si>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</si>
  <si>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</si>
  <si>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</si>
  <si>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</si>
  <si>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</si>
  <si>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</si>
  <si>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</si>
  <si>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</si>
  <si>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</si>
  <si>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</si>
  <si>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</si>
  <si>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</si>
  <si>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</si>
  <si>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</si>
  <si>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</si>
  <si>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</si>
  <si>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</si>
  <si>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</si>
  <si>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</si>
  <si>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</si>
  <si>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</si>
  <si>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</si>
  <si>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</si>
  <si>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</si>
  <si>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</si>
  <si>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</si>
  <si>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</si>
  <si>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</si>
  <si>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</si>
  <si>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</si>
  <si>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</si>
  <si>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</si>
  <si>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</si>
  <si>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</si>
  <si>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</si>
  <si>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</si>
  <si>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</si>
  <si>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</si>
  <si>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</si>
  <si>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</si>
  <si>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</si>
  <si>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</si>
  <si>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</si>
  <si>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</si>
  <si>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</si>
  <si>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</si>
  <si>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</si>
  <si>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</si>
  <si>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</si>
  <si>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</si>
  <si>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</si>
  <si>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</si>
  <si>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</si>
  <si>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</si>
  <si>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</si>
  <si>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</si>
  <si>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</si>
  <si>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</si>
  <si>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</si>
  <si>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</si>
  <si>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</si>
  <si>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</si>
  <si>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</si>
  <si>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</si>
  <si>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</si>
  <si>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</si>
  <si>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</si>
  <si>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</si>
  <si>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</si>
  <si>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</si>
  <si>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</si>
  <si>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</si>
  <si>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</si>
  <si>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</si>
  <si>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</si>
  <si>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</si>
  <si>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</si>
  <si>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</si>
  <si>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</si>
  <si>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</si>
  <si>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</si>
  <si>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</si>
  <si>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</si>
  <si>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</si>
  <si>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</si>
  <si>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</si>
  <si>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</si>
  <si>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</si>
  <si>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</si>
  <si>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</si>
  <si>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</si>
  <si>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</si>
  <si>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</si>
  <si>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</si>
  <si>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</si>
  <si>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</si>
  <si>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</si>
  <si>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</si>
  <si>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</si>
  <si>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</si>
  <si>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</si>
  <si>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</si>
  <si>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</si>
  <si>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</si>
  <si>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</si>
  <si>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</si>
  <si>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</si>
  <si>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</si>
  <si>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</si>
  <si>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</si>
  <si>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</si>
  <si>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</si>
  <si>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</si>
  <si>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</si>
  <si>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</si>
  <si>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</si>
  <si>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</si>
  <si>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</si>
  <si>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</si>
  <si>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</si>
  <si>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</si>
  <si>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</si>
  <si>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</si>
  <si>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</si>
  <si>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</si>
  <si>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</si>
  <si>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</si>
  <si>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</si>
  <si>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</si>
  <si>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</si>
  <si>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</si>
  <si>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</si>
  <si>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</si>
  <si>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</si>
  <si>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</si>
  <si>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</si>
  <si>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</si>
  <si>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</si>
  <si>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</si>
  <si>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</si>
  <si>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</si>
  <si>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</si>
  <si>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</si>
  <si>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</si>
  <si>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</si>
  <si>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</si>
  <si>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</si>
  <si>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</si>
  <si>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</si>
  <si>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</si>
  <si>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</si>
  <si>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</si>
  <si>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</si>
  <si>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</si>
  <si>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</si>
  <si>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</si>
  <si>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</si>
  <si>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</si>
  <si>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</si>
  <si>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</si>
  <si>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</si>
  <si>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</si>
  <si>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</si>
  <si>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</si>
  <si>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</si>
  <si>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</si>
  <si>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</si>
  <si>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</si>
  <si>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</si>
  <si>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</si>
  <si>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</si>
  <si>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</si>
  <si>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</si>
  <si>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</si>
  <si>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</si>
  <si>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</si>
  <si>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</si>
  <si>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</si>
  <si>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</si>
  <si>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</si>
  <si>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</si>
  <si>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</si>
  <si>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</si>
  <si>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</si>
  <si>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</si>
  <si>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</si>
  <si>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</si>
  <si>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</si>
  <si>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</si>
  <si>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</si>
  <si>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</si>
  <si>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</si>
  <si>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</si>
  <si>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</si>
  <si>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</si>
  <si>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</si>
  <si>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</si>
  <si>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</si>
  <si>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</si>
  <si>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</si>
  <si>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</si>
  <si>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</si>
  <si>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</si>
  <si>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</si>
  <si>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</si>
  <si>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</si>
  <si>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</si>
  <si>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</si>
  <si>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</si>
  <si>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</si>
  <si>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</si>
  <si>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</si>
  <si>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</si>
  <si>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</si>
  <si>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</si>
  <si>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</si>
  <si>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</si>
  <si>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</si>
  <si>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</si>
  <si>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</si>
  <si>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</si>
  <si>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</si>
  <si>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</si>
  <si>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</si>
  <si>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</si>
  <si>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</si>
  <si>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</si>
  <si>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</si>
  <si>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</si>
  <si>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</si>
  <si>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</si>
  <si>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</si>
  <si>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</si>
  <si>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</si>
  <si>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</si>
  <si>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</si>
  <si>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</si>
  <si>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</si>
  <si>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</si>
  <si>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</si>
  <si>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</si>
  <si>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</si>
  <si>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</si>
  <si>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</si>
  <si>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</si>
  <si>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</si>
  <si>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</si>
  <si>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</si>
  <si>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</si>
  <si>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</si>
  <si>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</si>
  <si>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</si>
  <si>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</si>
  <si>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</si>
  <si>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</si>
  <si>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</si>
  <si>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</si>
  <si>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</si>
  <si>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</si>
  <si>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</si>
  <si>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</si>
  <si>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</si>
  <si>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</si>
  <si>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</si>
  <si>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</si>
  <si>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</si>
  <si>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</si>
  <si>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</si>
  <si>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</si>
  <si>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</si>
  <si>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</si>
  <si>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</si>
  <si>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</si>
  <si>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</si>
  <si>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</si>
  <si>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</si>
  <si>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</si>
  <si>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</si>
  <si>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</si>
  <si>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</si>
  <si>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</si>
  <si>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</si>
  <si>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</si>
  <si>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</si>
  <si>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</si>
  <si>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</si>
  <si>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</si>
  <si>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</si>
  <si>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</si>
  <si>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</si>
  <si>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</si>
  <si>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</si>
  <si>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</si>
  <si>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</si>
  <si>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</si>
  <si>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</si>
  <si>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</si>
  <si>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</si>
  <si>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</si>
  <si>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</si>
  <si>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</si>
  <si>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</si>
  <si>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</si>
  <si>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</si>
  <si>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</si>
  <si>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</si>
  <si>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</si>
  <si>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</si>
  <si>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</si>
  <si>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</si>
  <si>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</si>
  <si>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</si>
  <si>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</si>
  <si>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</si>
  <si>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</si>
  <si>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</si>
  <si>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</si>
  <si>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</si>
  <si>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</si>
  <si>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</si>
  <si>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</si>
  <si>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</si>
  <si>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</si>
  <si>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</si>
  <si>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</si>
  <si>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</si>
  <si>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</si>
  <si>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</si>
  <si>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</si>
  <si>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</si>
  <si>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</si>
  <si>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</si>
  <si>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</si>
  <si>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</si>
  <si>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</si>
  <si>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</si>
  <si>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</si>
  <si>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</si>
  <si>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</si>
  <si>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</si>
  <si>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</si>
  <si>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</si>
  <si>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</si>
  <si>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</si>
  <si>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</si>
  <si>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</si>
  <si>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</si>
  <si>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</si>
  <si>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</si>
  <si>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</si>
  <si>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</si>
  <si>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</si>
  <si>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</si>
  <si>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</si>
  <si>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</si>
  <si>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</si>
  <si>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</si>
  <si>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</si>
  <si>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</si>
  <si>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</si>
  <si>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</si>
  <si>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</si>
  <si>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</si>
  <si>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</si>
  <si>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</si>
  <si>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</si>
  <si>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</si>
  <si>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</si>
  <si>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</si>
  <si>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</si>
  <si>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</si>
  <si>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</si>
  <si>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</si>
  <si>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</si>
  <si>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</si>
  <si>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</si>
  <si>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</si>
  <si>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</si>
  <si>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</si>
  <si>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</si>
  <si>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</si>
  <si>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</si>
  <si>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</si>
  <si>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</si>
  <si>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</si>
  <si>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</si>
  <si>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</si>
  <si>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</si>
  <si>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</si>
  <si>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</si>
  <si>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</si>
  <si>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</si>
  <si>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</si>
  <si>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</si>
  <si>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</si>
  <si>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</si>
  <si>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</si>
  <si>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</si>
  <si>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</si>
  <si>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</si>
  <si>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</si>
  <si>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</si>
  <si>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</si>
  <si>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</si>
  <si>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</si>
  <si>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</si>
  <si>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</si>
  <si>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</si>
  <si>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</si>
  <si>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</si>
  <si>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</si>
  <si>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</si>
  <si>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</si>
  <si>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</si>
  <si>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</si>
  <si>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</si>
  <si>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</si>
  <si>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</si>
  <si>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</si>
  <si>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</si>
  <si>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</si>
  <si>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</si>
  <si>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</si>
  <si>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</si>
  <si>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</si>
  <si>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</si>
  <si>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</si>
  <si>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</si>
  <si>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</si>
  <si>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</si>
  <si>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</si>
  <si>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</si>
  <si>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</si>
  <si>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</si>
  <si>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</si>
  <si>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</si>
  <si>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</si>
  <si>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</si>
  <si>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</si>
  <si>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</si>
  <si>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</si>
  <si>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</si>
  <si>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</si>
  <si>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</si>
  <si>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</si>
  <si>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</si>
  <si>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</si>
  <si>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</si>
  <si>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</si>
  <si>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</si>
  <si>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</si>
  <si>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</si>
  <si>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</si>
  <si>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</si>
  <si>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</si>
  <si>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</si>
  <si>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</si>
  <si>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</si>
  <si>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</si>
  <si>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</si>
  <si>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</si>
  <si>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</si>
  <si>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</si>
  <si>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</si>
  <si>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</si>
  <si>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</si>
  <si>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</si>
  <si>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</si>
  <si>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</si>
  <si>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</si>
  <si>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</si>
  <si>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</si>
  <si>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</si>
  <si>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</si>
  <si>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</si>
  <si>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</si>
  <si>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</si>
  <si>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</si>
  <si>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</si>
  <si>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</si>
  <si>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</si>
  <si>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</si>
  <si>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</si>
  <si>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</si>
  <si>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</si>
  <si>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</si>
  <si>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</si>
  <si>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</si>
  <si>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</si>
  <si>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</si>
  <si>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</si>
  <si>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</si>
  <si>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</si>
  <si>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</si>
  <si>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</si>
  <si>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</si>
  <si>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</si>
  <si>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</si>
  <si>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</si>
  <si>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</si>
  <si>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</si>
  <si>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</si>
  <si>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</si>
  <si>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</si>
  <si>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</si>
  <si>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</si>
  <si>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</si>
  <si>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</si>
  <si>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</si>
  <si>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</si>
  <si>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</si>
  <si>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</si>
  <si>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</si>
  <si>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</si>
  <si>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</si>
  <si>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</si>
  <si>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</si>
  <si>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</si>
  <si>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</si>
  <si>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</si>
  <si>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</si>
  <si>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</si>
  <si>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</si>
  <si>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</si>
  <si>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</si>
  <si>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</si>
  <si>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</si>
  <si>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</si>
  <si>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</si>
  <si>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</si>
  <si>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</si>
  <si>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</si>
  <si>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</si>
  <si>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</si>
  <si>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</si>
  <si>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</si>
  <si>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</si>
  <si>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</si>
  <si>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</si>
  <si>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</si>
  <si>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</si>
  <si>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</si>
  <si>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</si>
  <si>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</si>
  <si>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</si>
  <si>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</si>
  <si>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</si>
  <si>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</si>
  <si>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</si>
  <si>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</si>
  <si>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</si>
  <si>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</si>
  <si>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</si>
  <si>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</si>
  <si>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</si>
  <si>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</si>
  <si>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</si>
  <si>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</si>
  <si>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</si>
  <si>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</si>
  <si>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</si>
  <si>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</si>
  <si>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</si>
  <si>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</si>
  <si>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</si>
  <si>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</si>
  <si>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</si>
  <si>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</si>
  <si>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</si>
  <si>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</si>
  <si>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</si>
  <si>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</si>
  <si>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</si>
  <si>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</si>
  <si>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</si>
  <si>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</si>
  <si>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</si>
  <si>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</si>
  <si>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</si>
  <si>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</si>
  <si>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</si>
  <si>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</si>
  <si>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</si>
  <si>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</si>
  <si>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</si>
  <si>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</si>
  <si>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</si>
  <si>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</si>
  <si>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</si>
  <si>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</si>
  <si>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</si>
  <si>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</si>
  <si>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</si>
  <si>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</si>
  <si>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</si>
  <si>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</si>
  <si>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</si>
  <si>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</si>
  <si>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</si>
  <si>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</si>
  <si>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</si>
  <si>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</si>
  <si>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</si>
  <si>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</si>
  <si>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</si>
  <si>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</si>
  <si>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</si>
  <si>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</si>
  <si>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</si>
  <si>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</si>
  <si>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</si>
  <si>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</si>
  <si>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</si>
  <si>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</si>
  <si>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</si>
  <si>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</si>
  <si>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</si>
  <si>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</si>
  <si>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</si>
  <si>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</si>
  <si>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</si>
  <si>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</si>
  <si>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</si>
  <si>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</si>
  <si>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</si>
  <si>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</si>
  <si>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</si>
  <si>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</si>
  <si>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</si>
  <si>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</si>
  <si>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</si>
  <si>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</si>
  <si>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</si>
  <si>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</si>
  <si>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</si>
  <si>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</si>
  <si>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</si>
  <si>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</si>
  <si>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</si>
  <si>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</si>
  <si>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</si>
  <si>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</si>
  <si>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</si>
  <si>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</si>
  <si>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</si>
  <si>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</si>
  <si>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</si>
  <si>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</si>
  <si>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</si>
  <si>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</si>
  <si>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</si>
  <si>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</si>
  <si>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</si>
  <si>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</si>
  <si>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</si>
  <si>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</si>
  <si>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</si>
  <si>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</si>
  <si>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</si>
  <si>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</si>
  <si>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</si>
  <si>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</si>
  <si>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</si>
  <si>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</si>
  <si>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</si>
  <si>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</si>
  <si>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</si>
  <si>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</si>
  <si>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</si>
  <si>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</si>
  <si>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</si>
  <si>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</si>
  <si>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</si>
  <si>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</si>
  <si>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</si>
  <si>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</si>
  <si>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</si>
  <si>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</si>
  <si>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</si>
  <si>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</si>
  <si>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</si>
  <si>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</si>
  <si>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</si>
  <si>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</si>
  <si>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</si>
  <si>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</si>
  <si>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</si>
  <si>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</si>
  <si>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</si>
  <si>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</si>
  <si>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</si>
  <si>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</si>
  <si>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</si>
  <si>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</si>
  <si>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</si>
  <si>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</si>
  <si>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</si>
  <si>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</si>
  <si>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</si>
  <si>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</si>
  <si>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</si>
  <si>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</si>
  <si>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</si>
  <si>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</si>
  <si>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</si>
  <si>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</si>
  <si>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</si>
  <si>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</si>
  <si>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</si>
  <si>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</si>
  <si>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</si>
  <si>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</si>
  <si>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</si>
  <si>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</si>
  <si>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</si>
  <si>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</si>
  <si>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</si>
  <si>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</si>
  <si>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</si>
  <si>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</si>
  <si>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</si>
  <si>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</si>
  <si>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</si>
  <si>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</si>
  <si>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</si>
  <si>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</si>
  <si>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</si>
  <si>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</si>
  <si>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</si>
  <si>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</si>
  <si>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</si>
  <si>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</si>
  <si>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</si>
  <si>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</si>
  <si>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HO42-0109</t>
  </si>
  <si>
    <t xml:space="preserve">E92</t>
  </si>
  <si>
    <t xml:space="preserve">HO 42/52</t>
  </si>
  <si>
    <t xml:space="preserve">HO-42-52_01.pdf</t>
  </si>
  <si>
    <t xml:space="preserve">13</t>
  </si>
  <si>
    <t xml:space="preserve">f.13</t>
  </si>
  <si>
    <t xml:space="preserve">Bilston, 1 Oct 1800 (Rev. Haden? to Portland): "I was called from my Bed yesterday Morning soon after five o'Clock to quell a Riot in the Neighbourhood. Two Boats laden with Wheat &amp; Flour were stopt by the Mob at a place called the Bradley? Iron Works. As soon as I could collect the Military (with the Bilston Cavalry) I proceeded immediately to the spot where I found several thousands collected together... After having read the Proclamation and waited the Hour required by the Act of Parliament, I requested the Military to disperse them, which they did in a great measure by riding among them and striking such of them as were refractory with the flat part of the Sword."</t>
  </si>
  <si>
    <t xml:space="preserve">30 Sep - 1 Oct 1800</t>
  </si>
  <si>
    <t xml:space="preserve">1800-09-30</t>
  </si>
  <si>
    <t xml:space="preserve">Bilston (canal near ironworks)</t>
  </si>
  <si>
    <t xml:space="preserve">[Bilston magistrate - Rev. A.B. Haden?]</t>
  </si>
  <si>
    <t xml:space="preserve">Military + Bilston (yeomanry) Cavalry collected locally</t>
  </si>
  <si>
    <t xml:space="preserve">ROUTE: local. Canal grain boats stopped; Riot Act + hour waited (textbook procedure). Same Haden later denied a guard (HO42-0084, 1801). CHECK writer.</t>
  </si>
  <si>
    <t xml:space="preserve">HO42-0110</t>
  </si>
  <si>
    <t xml:space="preserve">E93</t>
  </si>
  <si>
    <t xml:space="preserve">HO-42-52_04.pdf</t>
  </si>
  <si>
    <t xml:space="preserve">8, 10</t>
  </si>
  <si>
    <t xml:space="preserve">ff.195, 197</t>
  </si>
  <si>
    <t xml:space="preserve">Magistrates of the Hundred of Risbridge (Suffolk), 19 Oct 1800: "It was thought proper to submit to your Grace our unanimous request that some assistance of Cavalry may be added to the defence of volunteer Corps mentioned in the letter of the Revd Mr Jones to your Grace. We have no doubt but that the two Volunteer Corps of Infantry of Col. Elwes and The Revd Mr Jones are sufficient for the Protection of the Parishes to which they belong and the immediate vicinity but as there is a considerable extent of Country northward of these Parishes". Rev. Jones, Clare 19 Oct: incendiary letter found; extra constables sworn, 'every man in the parish whom we thought worthy to be trusted to the amount of eighty' came forward.</t>
  </si>
  <si>
    <t xml:space="preserve">17-19 Oct 1800</t>
  </si>
  <si>
    <t xml:space="preserve">1800-10-19</t>
  </si>
  <si>
    <t xml:space="preserve">Clare / Hundred of Risbridge</t>
  </si>
  <si>
    <t xml:space="preserve">Clare</t>
  </si>
  <si>
    <t xml:space="preserve">Magistrates of Risbridge Hundred (T. Ruggles, J.H.T. Elwes, Rev. Barnard, Rev. Jones, Rev. Hayward)</t>
  </si>
  <si>
    <t xml:space="preserve">Some cavalry to support the two volunteer infantry corps</t>
  </si>
  <si>
    <t xml:space="preserve">Volunteers adequate locally but cavalry wanted for wider area; Haverhill precedent of extra constables. Incendiary letter (Clare).</t>
  </si>
  <si>
    <t xml:space="preserve">HO42-0111</t>
  </si>
  <si>
    <t xml:space="preserve">E94</t>
  </si>
  <si>
    <t xml:space="preserve">HO 42/53</t>
  </si>
  <si>
    <t xml:space="preserve">HO-42-53_01.pdf</t>
  </si>
  <si>
    <t xml:space="preserve">29-31</t>
  </si>
  <si>
    <t xml:space="preserve">ff.24-26</t>
  </si>
  <si>
    <t xml:space="preserve">Trentham, 2 Nov 1800: apprehensions 'of very serious disturbances arising among the manufacturers in the Potteries - great numbers of the Volunteer Associations have declared that they will not act against those who rise on account of the high Price of Provisions - &amp; the only regular troops within fifteen miles of the Place are half a troop of the 17th Light Dragoons - this number, even if we had active &amp; vigilant Magistrates near at hand would not be sufficient to check any disturbance ... in this very populous part of the County'. Want of magistrates: 'it might be a whole day before any Justice could be brought'. Anonymous letters warn of 'a general insurrection ... the middle of Novr is the Period beyond which they will not bear their sufferings'. 'Your Grace will understand I am making no formal application for more Troops to be sent into this Country, but ... it will be for your Grace to determine whether any such Reinforcement of Troops will be expedient.'</t>
  </si>
  <si>
    <t xml:space="preserve">2 Nov 1800</t>
  </si>
  <si>
    <t xml:space="preserve">1800-11-02</t>
  </si>
  <si>
    <t xml:space="preserve">Trentham / the Potteries</t>
  </si>
  <si>
    <t xml:space="preserve">Stoke-on-Trent (Potteries)</t>
  </si>
  <si>
    <t xml:space="preserve">Granville Leveson Gower</t>
  </si>
  <si>
    <t xml:space="preserve">Reinforcement of troops (unspecified); explicitly 'no formal application'</t>
  </si>
  <si>
    <t xml:space="preserve">Portland (copy), Whitehall 6 Nov 1800: 'two Troops are already ordered to Stone, and as many to Newcastle under Line, and that if it is your opinion that that Force is not sufficient such an addition will be made to it as will enable the Magistrates to give effect to the Law'.</t>
  </si>
  <si>
    <t xml:space="preserve">1800-11-06</t>
  </si>
  <si>
    <t xml:space="preserve">BORDERLINE: informal request, leaves decision to HS. Writes in absence of his brother (CHECK: Earl Gower). Volunteers refuse to act on provisions riots (cf. Sheffield, Bolton 1800). CHECK: writer role (MP for Staffs 1799-). Response: copy of Portland reply in HO 42/53 ff.140-142 (53_03 pp.36-38): troops ordered to Stone and Newcastle-under-Lyme. Related: John Massey, Newcastle(-under-Lyme) 5 Nov 1800, forwarded by Earl Gower 8 Nov (HO 42/53 ff.194-197; 53_04 pp.23-27): plans to subvert government, "many of the volunteers are corrupted &amp; would instantly join the Insurgents"; proposes a General Officer inspect corps and "disarm such suspicious men" ("It is the Infantry Volunteers that are mostly suspected"). Follow-up (53_05): HO circulars to LLs of Chester, Derby, Lancaster, Leicester, Salop, Stafford, Warwick, Worcester, 11 Nov and c.13 Nov 1800 (ff.244, 271-274): "The representations which have been made from various Parts of that extensive District" led Government "to send a considerable Reinforcement"; Maj-Gen Nicholls HQ Stafford, Maj-Gen Staveley at Birmingham; magistrates may apply to either directly. Bishton (Staffs) 14 Nov (f.299): "The Stafford Military Association has been dissolved, and it is apprehended that many others are not to be relied upon." Legge (Aston Hall, Birmingham) 23 Nov (53_07 ff.404-405): Birmingham magistrates "rather hurt at so great an addition of military being sent at a time when all was quiet &amp; no representations of theirs had pointed out the Necessity of such a Measure"; Cheshire Militia by forced marches, additional cavalry and Staveley's HQ "has given an alarm, that did not before exist". I.e. the reinforcement overshot Birmingham: unrequested troops there.</t>
  </si>
  <si>
    <t xml:space="preserve">HO42-0112</t>
  </si>
  <si>
    <t xml:space="preserve">E95</t>
  </si>
  <si>
    <t xml:space="preserve">HO-42-53_06.pdf</t>
  </si>
  <si>
    <t xml:space="preserve">ff.314-315</t>
  </si>
  <si>
    <t xml:space="preserve">Calverton near Nottingham, 15 Nov 1800 (reporting 2-3 Sep 1800): 'On the second of Sept last a riotous Mob from Arnold or Nottingham or both came to this town, committed various depredations ... proceeded to a Farm of Mr Chadwin's on the Forest &amp; there they threw out of his Corn Chamber several quarters of Corn'. 3 Sep: crier announced assembly at Calverton 'to go to Caythorp Mill to sell Flower at 2 shills. p Stone or otherwise take it. I immediately sent for Soldiers, &amp; about 3 o clock in the afternoon a Cornet &amp; about 20 of the Blues arrived here; I read the riot act &amp; with the Soldiers pursued the rioters, met with them at Hoveringham Mill took about thirty &amp; totally dispersed the remainder'. Rioters had passed through Woodborough, Epperstone, Lowdham &amp; Caythorpe selling bread and flour at half price.</t>
  </si>
  <si>
    <t xml:space="preserve">3 Sep 1800 (reported 15 Nov 1800)</t>
  </si>
  <si>
    <t xml:space="preserve">1800-09-03</t>
  </si>
  <si>
    <t xml:space="preserve">Calverton near Nottingham</t>
  </si>
  <si>
    <t xml:space="preserve">Calverton</t>
  </si>
  <si>
    <t xml:space="preserve">J. Bingham</t>
  </si>
  <si>
    <t xml:space="preserve">Soldiers; a Cornet and c.20 of the Blues (Royal Horse Guards) came</t>
  </si>
  <si>
    <t xml:space="preserve">ROUTE: local request, reported to HS 2.5 months later (asks whether Government will prosecute; witnesses intimidated). Price-fixing crowd (taxation populaire) across several villages. CHECK: writer role inferred from reading the riot act and committing prisoners.</t>
  </si>
  <si>
    <t xml:space="preserve">HO42-0113</t>
  </si>
  <si>
    <t xml:space="preserve">E96</t>
  </si>
  <si>
    <t xml:space="preserve">HO-42-53_07.pdf</t>
  </si>
  <si>
    <t xml:space="preserve">68-69</t>
  </si>
  <si>
    <t xml:space="preserve">ff.418-419</t>
  </si>
  <si>
    <t xml:space="preserve">Leicester, 24 Nov 1800: 'I have receiv'd a precept for electing a Member to represent this Boro' in Parlt. &amp; as one of the Candidates depends entirely on the mob, I have every reason to expect there will be riots during the election. I beg your Grace to favor me with your advice whether I shou'd order the Volunteer Corps to hold themselves in readiness, having some doubt whether such a step would so far convert the Citizens into Soldiers as to be made a plea for vacating the Election.'</t>
  </si>
  <si>
    <t xml:space="preserve">24 Nov 1800</t>
  </si>
  <si>
    <t xml:space="preserve">1800-11-24</t>
  </si>
  <si>
    <t xml:space="preserve">M. Sargeant (CHECK spelling), Mayor</t>
  </si>
  <si>
    <t xml:space="preserve">Asks advice on putting the Volunteer Corps in readiness (no request for regulars)</t>
  </si>
  <si>
    <t xml:space="preserve">BORDERLINE: request for guidance on using volunteers, not for troops. Legal worry: troops/armed citizens at a poll could void the election. Logged as Other per broad funnel.</t>
  </si>
  <si>
    <t xml:space="preserve">HO42-0114</t>
  </si>
  <si>
    <t xml:space="preserve">E97</t>
  </si>
  <si>
    <t xml:space="preserve">HO 42/55</t>
  </si>
  <si>
    <t xml:space="preserve">HO-42-55_03.pdf</t>
  </si>
  <si>
    <t xml:space="preserve">26-29</t>
  </si>
  <si>
    <t xml:space="preserve">ff.164-167</t>
  </si>
  <si>
    <t xml:space="preserve">Statement of Rev. H. Marker JP, Exmouth 22 Dec 1800: after a petition by the Sidmouth Volunteers, handbills called the two Exmouth companies 'to consider the conduct of the Farmers, &amp; to sign a paper to be true to the cause'. Pressed, 'they acknowledged that they approved of its contents, and would no longer bear Arms unless the price of Corn was reduced'. 'The consequence was that the Magistrate immediately stated the case to General Simcoe, the Commanding Officer of the District, for his assistance'. Men refusing to give up their clothing were obliged to; Rolle, Hull and Marker 'convinced ... that the Spirit of Opposition is not confined to the Volunteers of this Town, but ... extends to several others of the adjacent Towns'.</t>
  </si>
  <si>
    <t xml:space="preserve">20-22 Dec 1800</t>
  </si>
  <si>
    <t xml:space="preserve">1800-12-22</t>
  </si>
  <si>
    <t xml:space="preserve">Exmouth</t>
  </si>
  <si>
    <t xml:space="preserve">Rev. H. Marker JP (statement signed by Lord Rolle, W.T. Hull, H. Marker)</t>
  </si>
  <si>
    <t xml:space="preserve">Assistance of Gen. Simcoe (district commander); unspecified</t>
  </si>
  <si>
    <t xml:space="preserve">ROUTE: local request to district general, reported to HS afterwards via Rolle. Volunteer corps itself mutinous over corn prices: key case for JV (volunteers as source of disorder, not suppression). Enclosed in Rolle's letter (next row).</t>
  </si>
  <si>
    <t xml:space="preserve">HO42-0115</t>
  </si>
  <si>
    <t xml:space="preserve">32-34</t>
  </si>
  <si>
    <t xml:space="preserve">ff.170-172</t>
  </si>
  <si>
    <t xml:space="preserve">Bicton, Devon, 22 Dec 1800: 'disagreeable commotions on account of the high Prices of Grain in this &amp; neighbouring Hundreds - What is worst to be commented the Volunteers have been the principal leaders in espousing Resolutions for obliging the Farmers to sell their Corn at a Price they themselves shall fix'. A hundred or more men assembled at Broadclyst(?) and compelled an old magistrate of 70 to order farmers to sell at reduced price. 'From the systematic progress I think it ought to have some correction &amp; discountenance from all the Volunteer Corps in that district, I have therefore ordered the [Bicton &amp; Exeter?] to assemble ... I hope &amp; trust this vigorous proceeding will be sufficient without any necessity of calling on the Regular forces for their assistance, at the same time it would be prudent &amp; proper we should have more regular soldiers in this district.' A miller reports a Volunteer declared he would fight against his own corps.</t>
  </si>
  <si>
    <t xml:space="preserve">22 Dec 1800</t>
  </si>
  <si>
    <t xml:space="preserve">Bicton / East Devon hundreds</t>
  </si>
  <si>
    <t xml:space="preserve">Bicton</t>
  </si>
  <si>
    <t xml:space="preserve">Lord Rolle</t>
  </si>
  <si>
    <t xml:space="preserve">'more regular soldiers in this district'</t>
  </si>
  <si>
    <t xml:space="preserve">Rolle writes 'as a Magistrate &amp; a Deputy Lieutenant'. Hand very hard to read; place names CHECK (Broadclyst?). Volunteers led the price-fixing.</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</si>
  <si>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</si>
  <si>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</si>
  <si>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</si>
  <si>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</si>
  <si>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</si>
  <si>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</si>
  <si>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</si>
  <si>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</si>
  <si>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</si>
  <si>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</si>
  <si>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</si>
  <si>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</si>
  <si>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</si>
  <si>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</si>
  <si>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</si>
  <si>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</si>
  <si>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</si>
  <si>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</si>
  <si>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</si>
  <si>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</si>
  <si>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</si>
  <si>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</si>
  <si>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</si>
  <si>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</si>
  <si>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</si>
  <si>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</si>
  <si>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</si>
  <si>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</si>
  <si>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</si>
  <si>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</si>
  <si>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</si>
  <si>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</si>
  <si>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</si>
  <si>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</si>
  <si>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</si>
  <si>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</si>
  <si>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</si>
  <si>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</si>
  <si>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</si>
  <si>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</si>
  <si>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</si>
  <si>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</si>
  <si>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</si>
  <si>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</si>
  <si>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</si>
  <si>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</si>
  <si>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</si>
  <si>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</si>
  <si>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</si>
  <si>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</si>
  <si>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</si>
  <si>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</si>
  <si>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</si>
  <si>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</si>
  <si>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</si>
  <si>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</si>
  <si>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</si>
  <si>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</si>
  <si>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</si>
  <si>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</si>
  <si>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</si>
  <si>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</si>
  <si>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</si>
  <si>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</si>
  <si>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</si>
  <si>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</si>
  <si>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</si>
  <si>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</si>
  <si>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</si>
  <si>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</si>
  <si>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</si>
  <si>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</si>
  <si>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</si>
  <si>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</si>
  <si>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</si>
  <si>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</si>
  <si>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</si>
  <si>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</si>
  <si>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</si>
  <si>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</si>
  <si>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</si>
  <si>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</si>
  <si>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</si>
  <si>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</si>
  <si>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</si>
  <si>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</si>
  <si>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</si>
  <si>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</si>
  <si>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</si>
  <si>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</si>
  <si>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</si>
  <si>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</si>
  <si>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</si>
  <si>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</si>
  <si>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</si>
  <si>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</si>
  <si>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</si>
  <si>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</si>
  <si>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</si>
  <si>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</si>
  <si>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</si>
  <si>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</si>
  <si>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</si>
  <si>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</si>
  <si>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</si>
  <si>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</si>
  <si>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</si>
  <si>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</si>
  <si>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</si>
  <si>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</si>
  <si>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</si>
  <si>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</si>
  <si>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</si>
  <si>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</si>
  <si>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</si>
  <si>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</si>
  <si>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</si>
  <si>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</si>
  <si>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</si>
  <si>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</si>
  <si>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</si>
  <si>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</si>
  <si>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</si>
  <si>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</si>
  <si>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</si>
  <si>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</si>
  <si>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</si>
  <si>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</si>
  <si>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</si>
  <si>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</si>
  <si>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</si>
  <si>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</si>
  <si>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</si>
  <si>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</si>
  <si>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</si>
  <si>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</si>
  <si>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</si>
  <si>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</si>
  <si>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</si>
  <si>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</si>
  <si>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</si>
  <si>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</si>
  <si>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</si>
  <si>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</si>
  <si>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</si>
  <si>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</si>
  <si>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</si>
  <si>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</si>
  <si>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</si>
  <si>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</si>
  <si>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</si>
  <si>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</si>
  <si>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</si>
  <si>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</si>
  <si>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</si>
  <si>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</si>
  <si>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</si>
  <si>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</si>
  <si>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</si>
  <si>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</si>
  <si>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</si>
  <si>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</si>
  <si>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</si>
  <si>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</si>
  <si>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</si>
  <si>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</si>
  <si>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</si>
  <si>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</si>
  <si>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</si>
  <si>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</si>
  <si>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</si>
  <si>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</si>
  <si>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</si>
  <si>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</si>
  <si>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</si>
  <si>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</si>
  <si>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</si>
  <si>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</si>
  <si>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</si>
  <si>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</si>
  <si>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</si>
  <si>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</si>
  <si>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</si>
  <si>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</si>
  <si>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</si>
  <si>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</si>
  <si>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</si>
  <si>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</si>
  <si>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</si>
  <si>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</si>
  <si>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</si>
  <si>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</si>
  <si>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</si>
  <si>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</si>
  <si>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</si>
  <si>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</si>
  <si>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</si>
  <si>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</si>
  <si>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</si>
  <si>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</si>
  <si>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</si>
  <si>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</si>
  <si>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</si>
  <si>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</si>
  <si>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</si>
  <si>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</si>
  <si>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</si>
  <si>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</si>
  <si>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</si>
  <si>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</si>
  <si>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</si>
  <si>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</si>
  <si>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</si>
  <si>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</si>
  <si>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</si>
  <si>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</si>
  <si>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</si>
  <si>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</si>
  <si>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</si>
  <si>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</si>
  <si>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</si>
  <si>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</si>
  <si>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</si>
  <si>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</si>
  <si>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 | HO 42/52_01 (Oct 1800) read: Bilston canal-boat riot (HO42-0109); Warwick Castle (Earl of Warwick) on 'spirit of insurrection', Kidderminster/Birmingham bread-price proposal, Berkeley distillery request, Brewood inhabitants' association notice (21 Sep, constables), Surrey magistrates notice, Hatton Garden notice, crop questionnaires. | HO 42/52_02 (2-17 Oct 1800) read: no new events (Merthyr - Wales; Hastings suspect; Kidderminster meeting; Sheffield address to King; Atherstone/Nuneaton volunteers thanked; Marlow &amp; Lichfield followups; handbills). | HO 42/52_03 (Oct 1800) read: no events (Weymouth flour shortage request for supply; N. Shields placard; Worcester Common Hall petition; Dorset/Weymouth notices; Bocking/Braintree arson reward; Fulham resolutions). | HO 42/52_04 (Oct 1800) read: Clare/Risbridge cavalry request (HO42-0110); Weymouth Bastard?; Bocking reward; Hertford, Sudbury, Huddersfield 'Nigh to Republic' placard; Birmingham; corn-supply proposals (Lethbridge). | HO 42/53_01 (1-3 Nov 1800) read: 1 event (Potteries, informal request). Also: Dunstable stack fire; Oxford anonymous letter; Hinckford/Bocking/Halstead fires (Gosfield letter: 'no patrole of the lightest or best troops could be efficient'); Bolton anonymous letter 'we the Volunteers of Bolton declare if any disturbances arise we will not prevent them ... we will fire upon our Commanders' (f.54) - volunteers' unreliability, flag for JV; Woolwich riot affidavits (Capt Remnant, 20 Sep); Tunbridge Wells riot prosecutions; Sheffield seditious words; diocesan crop replies. | HO 42/52_05 (late Oct 1800) read: no events (colliers' deputation to a mayor re bread prices, dispersed peacefully (f.245); Wycombe market notice 'Sufficient Force is always Ready'; Whitechapel/Justice Office notices; volunteer captain forwards placard; Bucks supplementary militia order). | HO 42/52_06 (Oct 1800) read: no events (court-martial proceedings; diocesan crop questionnaires; Holywell (Wales) note). | HO 42/52_07 (Oct-Nov 1800) read: no events (crop questionnaires; Ely threatening letter 2 Nov 1800 'Fire Fire Fire'; Hundred of Ely/Witchford magistrates' notice 16 Sep 1800 urging moderate prices; flour placard; Agriculture Society notice). | HO 42/53_02 (3-5 Nov 1800) read: no events (mostly diocesan crop questionnaires; Tunbridge Wells riot prosecution costs; Thame mechanic's letter on prices; Claughton (Lancs) and Boston replies). | HO 42/53_03 (5-7 Nov 1800) read: no new events. Portland's reply to G. Leveson Gower (copy, ff.140-142) added to HO42-0111: troops ordered to Stone and Newcastle-under-Lyme. Rest: crop questionnaires; Wetheringsett (Suffolk) fire reward; Lichfield distress letter; Bristol printed letter to Pitt. | HO 42/53_06 (15-20 Nov 1800) read: 1 event (Calverton/Hoveringham, Sep 1800, local request reported). Also: Bayley (Manchester) 16 Nov: wishes for guarded depots for Volunteer arms 'without giving the men cause to suppose we had not confidence in them' (f.320) - flag for JV; Bolton/Manchester intelligence on insurrection plans, Magee, Shackleton; Blackburn meeting memo; Wimbledon Volunteer Association command; Yarmouth Volunteers officers; Conwy (Wales, out); crop returns. | HO 42/53_04 (7-10 Nov 1800) read: no new events. Massey (Newcastle-under-Lyme) letter on corrupted volunteers added as note to HO42-0111. Rest: crop questionnaires; Peterborough sheep-stealing reward; militia commissions (Warwick, W. Norfolk); Salisbury returns; American grain intelligence. | HO 42/53_05 (10-15 Nov 1800) read: no new events. Midlands reinforcement circulars and Stafford Military Association dissolution added to HO42-0111 notes. Also: Stockport, Holland Watson 15 Nov (f.297): plan to disarm Volunteers by breaking into houses and stores; Dunstable fire reward; Wickham Bishops Essex Volunteer Cavalry threatening letter; Renfrewshire (Scotland, out); crop returns; militia commissions. | HO 42/53_07 (20-25 Nov 1800) read: 1 event (Leicester election, Other). Also: Legge, Aston Hall 23 Nov (ff.404-405): Birmingham magistrates 'rather hurt at so great an addition of military being sent at a time when all was quiet &amp; no representations of theirs had pointed out the Necessity' - Cheshire Militia by forced marches, extra cavalry, Gen. Staveley: unrequested reinforcement (added to HO42-0111 notes); Farrington Gurney (Somerset) women seize wheat, 21 Oct (f.402); Ludyard/Cotherstone tithe threat placard; Bishops Lydeard threatening letter and arson; Ipswich inflammatory bill; Ruthin and Caernarfon (Wales, out: Caernarfon Armed Association prevented tumult); Cornwall crop returns. | HO 42/55_03 (20-26 Dec 1800) read: 2 events (Exmouth/East Devon, volunteers mutinous). Also: Ansley Hall (Warwicks) 23 Dec: Nuneaton distress, no riot; Pembrokeshire colliers' rising (Picton Castle, Wales, out); Lansdowne (Bowood) pardon request; Colyton (Devon) inflammatory papers reward; Duloe (Cornwall) threatening paper; Wolverhampton printed resolutions; anonymous letter to Lord Mayor of London. | HO 42/53_08 (25-30 Nov 1800) read: no events. Portland to Earl Gower 29 Nov (f.468): pike-heads reportedly sent from Birmingham to the Potteries and Manchester. Also: Haverfordwest seditious bills (Wales, out); Norton (Warwicks?) threatening letter; Ipswich reward; Peterborough anonymous letters to millers; Selwood Troop Volunteer Cavalry cornet; memorial of loyalist settlers (Canada); Manchester fish-supply plan; Hanbury farmer's letter on scarcity. | HO 42/55_01 (Dec 1800; this volume uses new folio stamps from f.1) read: no events. Sheffield nocturnal meetings: Rev. John Lowe JP 5 Dec (ff.23-24) - 'secret committees ... preparing weapons', 'if something effectual is not soon done to relieve the distresses ... no exertion of the Magistrates, or disposition of the military force ... will prevent the most serious disturbances'; Fitzwilliam 5 &amp; 8 Dec (ff.25-26, 34): five companies Northumberland Militia and two troops of Blues in Sheffield, magistrates think 'this force sufficient', pike patterns produced; Nottingham deposition on disaffection, 'general disturbance &amp; rising in February' expected, Oxford Blues fraternising (f.41); Bishton (Staffs) on Stafford fixed-price wheat; Plymouth Mayor Langmead: volunteer corps of 100 clothed and paid by himself (f.65); Pembroke/Wilton (Salisbury) sheep-stealing gang; Bridgwater treasonable paper reward; proclamation distribution. | HO 42/55_02 (13-19 Dec 1800) read: no events. Bolton intelligence 15 Dec (f.89): insurrection plan, where there are Volunteer corps 'they should be surprised where they lived &amp; at the Drum calls'; Rochester stack fire (f.96); Harringworth/Bulwick (Northants) incendiary letters (f.125); Southampton printed address; Wolverhampton theatre sedition; Llandaff and Carmarthen (Wales, out); Kidderminster reward bill; Sheffield (Lowe) handbill reward. | HO 42/55_04 (26-31 Dec 1800) read: no events. Graham's reports from Birmingham/Wolverhampton (ff.223-243): 'perfectly quiet', magistrates expect no immediate danger; Norfolk Militia marching out of Birmingham for Nottingham 26 Dec (f.229v); Bishton (Staffs) seditious-words warrant; Camberwell Volunteers commissions; Peterborough (Norman Cross barracks sedition case); Fort George Irish state prisoner memorial (Scotland/Ireland, out); then c.40 pp. of parish crop returns. | HO 42/55_05 (Dec 1800): crop-return questionnaires and Durham/Northumberland harvest tables only (contact sheets checked); no events. | HO 42/55_06 (undated papers 1790-1800, end of volume) read: no events logged. Undated note to 'Mr Ford' (ff.348-349; signed Wood, Fyrick(?), Burkinyoung(?)): riot expected after the Corn Market, adjutant of artillery slightly wounded, 'information to the Lord Mayor &amp; Volunteer Associations who have promised their assistance' - place and date unknown (CHECK; possibly London), not logged; 'Plan for throwing the Soldiers Down' (rope tactic, f.350); Northumberland crop tables; Hereford corn-price letter; Manchester cotton-twist pamphlet; Irish memorial; naval intelligence; Lion hulk convicts' letter. | HO 42/56_01 (Jan-Feb 1801; 'Domestic' volume: Treasury, Secretaries of State, Admiralty etc.) read: no events. Mostly Treasury minutes on bills, Order in Council on Russian/Danish/Swedish ships; Penzance JPs on statute delivery; friendly-society alarm (f.25); Strand stockholder pamphlet; Liverpool Mayor alien return; Welsh(?) magistrate on corn dealers (f.60, CHECK place). | HO 42/56_02 (Feb-Mar 1801, Domestic) read: no events (Treasury minutes; Post Office packets; Sierra Leone Company on Nova Scotian insurrection (f.80, out); East India Company; Admiralty/Spanish trade papers; Order in Council). | HO 42/56_03 (Apr 1801, Domestic) read: no events (Treasury minutes; North Redmoor Mine (Callington, Cornwall) cheap-flour placard 3 Apr 1801 (f.140); London corn-import abstracts; Cheshire Quarter Sessions returns under the 1801 poor-relief/bread-corn Act (ff.167-176); Bermuda customs).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</si>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</sst>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71</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10</v>
      </c>
    </row>
    <row r="11" customFormat="false" ht="15" hidden="false" customHeight="true" outlineLevel="0" collapsed="false">
      <c r="A11" s="3" t="s">
        <v>10</v>
      </c>
      <c r="B11" s="3" t="n">
        <f aca="false">SUM(B5:B10)</f>
        <v>115</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27</v>
      </c>
    </row>
    <row r="16" customFormat="false" ht="15" hidden="false" customHeight="true" outlineLevel="0" collapsed="false">
      <c r="A16" s="4" t="s">
        <v>14</v>
      </c>
      <c r="B16" s="4" t="n">
        <f aca="false">COUNTIFS(Events!$C$2:$C$1000,"Request for troops",Events!$Y$2:$Y$1000,A16)</f>
        <v>29</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71</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25</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112</v>
      </c>
    </row>
    <row r="38" customFormat="false" ht="15" hidden="false" customHeight="true" outlineLevel="0" collapsed="false">
      <c r="A38" s="3" t="s">
        <v>19</v>
      </c>
      <c r="B38" s="4" t="n">
        <f aca="false">SUMPRODUCT((Events!$B$2:$B$1000&lt;&gt;"")/COUNTIF(Events!$B$2:$B$1000,Events!$B$2:$B$1000&amp;""))</f>
        <v>97</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A110" s="6" t="s">
        <v>1392</v>
      </c>
      <c r="B110" s="6" t="s">
        <v>1393</v>
      </c>
      <c r="C110" s="7" t="s">
        <v>4</v>
      </c>
      <c r="D110" s="6" t="s">
        <v>88</v>
      </c>
      <c r="E110" s="6" t="s">
        <v>1394</v>
      </c>
      <c r="F110" s="6" t="s">
        <v>1395</v>
      </c>
      <c r="G110" s="6" t="s">
        <v>1396</v>
      </c>
      <c r="H110" s="6" t="s">
        <v>1397</v>
      </c>
      <c r="I110" s="6" t="s">
        <v>274</v>
      </c>
      <c r="J110" s="6"/>
      <c r="K110" s="6" t="s">
        <v>60</v>
      </c>
      <c r="L110" s="6" t="s">
        <v>61</v>
      </c>
      <c r="M110" s="6" t="s">
        <v>1398</v>
      </c>
      <c r="N110" s="6" t="s">
        <v>1399</v>
      </c>
      <c r="O110" s="8" t="s">
        <v>1400</v>
      </c>
      <c r="P110" s="6" t="n">
        <f aca="false">IF(O110="","",VALUE(LEFT(O110,4)))</f>
        <v>1800</v>
      </c>
      <c r="Q110" s="6" t="s">
        <v>1401</v>
      </c>
      <c r="R110" s="6" t="s">
        <v>1117</v>
      </c>
      <c r="S110" s="6" t="s">
        <v>358</v>
      </c>
      <c r="T110" s="6" t="s">
        <v>1402</v>
      </c>
      <c r="U110" s="6" t="s">
        <v>69</v>
      </c>
      <c r="V110" s="6" t="s">
        <v>785</v>
      </c>
      <c r="W110" s="6" t="str">
        <f aca="false">IF(O110="","",INDEX(Lookups!$B$2:$B$110,MATCH(O110,Lookups!$A$2:$A$110,1)))</f>
        <v>Portland</v>
      </c>
      <c r="X110" s="6" t="s">
        <v>103</v>
      </c>
      <c r="Y110" s="6" t="s">
        <v>13</v>
      </c>
      <c r="Z110" s="6" t="s">
        <v>88</v>
      </c>
      <c r="AA110" s="6" t="s">
        <v>1403</v>
      </c>
      <c r="AB110" s="6" t="s">
        <v>88</v>
      </c>
      <c r="AC110" s="6"/>
      <c r="AD110" s="6"/>
      <c r="AE110" s="6"/>
      <c r="AF110" s="6"/>
      <c r="AG110" s="6"/>
      <c r="AH110" s="6"/>
      <c r="AI110" s="6" t="s">
        <v>1404</v>
      </c>
    </row>
    <row r="111" customFormat="false" ht="15" hidden="false" customHeight="true" outlineLevel="0" collapsed="false">
      <c r="A111" s="6" t="s">
        <v>1405</v>
      </c>
      <c r="B111" s="6" t="s">
        <v>1406</v>
      </c>
      <c r="C111" s="7" t="s">
        <v>4</v>
      </c>
      <c r="D111" s="6" t="s">
        <v>88</v>
      </c>
      <c r="E111" s="6" t="s">
        <v>1394</v>
      </c>
      <c r="F111" s="6" t="s">
        <v>1407</v>
      </c>
      <c r="G111" s="6" t="s">
        <v>1408</v>
      </c>
      <c r="H111" s="6" t="s">
        <v>1409</v>
      </c>
      <c r="I111" s="6" t="s">
        <v>274</v>
      </c>
      <c r="J111" s="6"/>
      <c r="K111" s="6" t="s">
        <v>60</v>
      </c>
      <c r="L111" s="6" t="s">
        <v>61</v>
      </c>
      <c r="M111" s="6" t="s">
        <v>1410</v>
      </c>
      <c r="N111" s="6" t="s">
        <v>1411</v>
      </c>
      <c r="O111" s="8" t="s">
        <v>1412</v>
      </c>
      <c r="P111" s="6" t="n">
        <f aca="false">IF(O111="","",VALUE(LEFT(O111,4)))</f>
        <v>1800</v>
      </c>
      <c r="Q111" s="6" t="s">
        <v>1413</v>
      </c>
      <c r="R111" s="6" t="s">
        <v>1414</v>
      </c>
      <c r="S111" s="6" t="s">
        <v>705</v>
      </c>
      <c r="T111" s="6" t="s">
        <v>1415</v>
      </c>
      <c r="U111" s="6" t="s">
        <v>69</v>
      </c>
      <c r="V111" s="6" t="s">
        <v>785</v>
      </c>
      <c r="W111" s="6" t="str">
        <f aca="false">IF(O111="","",INDEX(Lookups!$B$2:$B$111,MATCH(O111,Lookups!$A$2:$A$111,1)))</f>
        <v>Portland</v>
      </c>
      <c r="X111" s="6" t="s">
        <v>103</v>
      </c>
      <c r="Y111" s="6" t="s">
        <v>14</v>
      </c>
      <c r="Z111" s="6" t="s">
        <v>55</v>
      </c>
      <c r="AA111" s="6" t="s">
        <v>1416</v>
      </c>
      <c r="AB111" s="6" t="s">
        <v>55</v>
      </c>
      <c r="AC111" s="6"/>
      <c r="AD111" s="6"/>
      <c r="AE111" s="6"/>
      <c r="AF111" s="6"/>
      <c r="AG111" s="6"/>
      <c r="AH111" s="6"/>
      <c r="AI111" s="6" t="s">
        <v>1417</v>
      </c>
    </row>
    <row r="112" customFormat="false" ht="15" hidden="false" customHeight="true" outlineLevel="0" collapsed="false">
      <c r="A112" s="6" t="s">
        <v>1418</v>
      </c>
      <c r="B112" s="6" t="s">
        <v>1419</v>
      </c>
      <c r="C112" s="7" t="s">
        <v>4</v>
      </c>
      <c r="D112" s="6" t="s">
        <v>88</v>
      </c>
      <c r="E112" s="6" t="s">
        <v>1420</v>
      </c>
      <c r="F112" s="6" t="s">
        <v>1421</v>
      </c>
      <c r="G112" s="6" t="s">
        <v>1422</v>
      </c>
      <c r="H112" s="6" t="s">
        <v>1423</v>
      </c>
      <c r="I112" s="6" t="s">
        <v>274</v>
      </c>
      <c r="J112" s="6"/>
      <c r="K112" s="6" t="s">
        <v>60</v>
      </c>
      <c r="L112" s="6" t="s">
        <v>61</v>
      </c>
      <c r="M112" s="6" t="s">
        <v>1424</v>
      </c>
      <c r="N112" s="6" t="s">
        <v>1425</v>
      </c>
      <c r="O112" s="8" t="s">
        <v>1426</v>
      </c>
      <c r="P112" s="6" t="n">
        <f aca="false">IF(O112="","",VALUE(LEFT(O112,4)))</f>
        <v>1800</v>
      </c>
      <c r="Q112" s="6" t="s">
        <v>1427</v>
      </c>
      <c r="R112" s="6" t="s">
        <v>1428</v>
      </c>
      <c r="S112" s="6" t="s">
        <v>358</v>
      </c>
      <c r="T112" s="6" t="s">
        <v>1429</v>
      </c>
      <c r="U112" s="6" t="s">
        <v>279</v>
      </c>
      <c r="V112" s="6" t="s">
        <v>785</v>
      </c>
      <c r="W112" s="6" t="str">
        <f aca="false">IF(O112="","",INDEX(Lookups!$B$2:$B$112,MATCH(O112,Lookups!$A$2:$A$112,1)))</f>
        <v>Portland</v>
      </c>
      <c r="X112" s="6" t="s">
        <v>103</v>
      </c>
      <c r="Y112" s="6" t="s">
        <v>14</v>
      </c>
      <c r="Z112" s="6" t="s">
        <v>88</v>
      </c>
      <c r="AA112" s="6" t="s">
        <v>1430</v>
      </c>
      <c r="AB112" s="6" t="s">
        <v>88</v>
      </c>
      <c r="AC112" s="6" t="s">
        <v>1431</v>
      </c>
      <c r="AD112" s="6" t="s">
        <v>106</v>
      </c>
      <c r="AE112" s="6" t="s">
        <v>1432</v>
      </c>
      <c r="AF112" s="6" t="s">
        <v>108</v>
      </c>
      <c r="AG112" s="6" t="s">
        <v>785</v>
      </c>
      <c r="AH112" s="6" t="s">
        <v>9</v>
      </c>
      <c r="AI112" s="6" t="s">
        <v>1433</v>
      </c>
    </row>
    <row r="113" customFormat="false" ht="15" hidden="false" customHeight="true" outlineLevel="0" collapsed="false">
      <c r="A113" s="6" t="s">
        <v>1434</v>
      </c>
      <c r="B113" s="6" t="s">
        <v>1435</v>
      </c>
      <c r="C113" s="7" t="s">
        <v>4</v>
      </c>
      <c r="D113" s="6" t="s">
        <v>88</v>
      </c>
      <c r="E113" s="6" t="s">
        <v>1420</v>
      </c>
      <c r="F113" s="6" t="s">
        <v>1436</v>
      </c>
      <c r="G113" s="6" t="s">
        <v>766</v>
      </c>
      <c r="H113" s="6" t="s">
        <v>1437</v>
      </c>
      <c r="I113" s="6" t="s">
        <v>274</v>
      </c>
      <c r="J113" s="6"/>
      <c r="K113" s="6" t="s">
        <v>60</v>
      </c>
      <c r="L113" s="6" t="s">
        <v>61</v>
      </c>
      <c r="M113" s="6" t="s">
        <v>1438</v>
      </c>
      <c r="N113" s="6" t="s">
        <v>1439</v>
      </c>
      <c r="O113" s="8" t="s">
        <v>1440</v>
      </c>
      <c r="P113" s="6" t="n">
        <f aca="false">IF(O113="","",VALUE(LEFT(O113,4)))</f>
        <v>1800</v>
      </c>
      <c r="Q113" s="6" t="s">
        <v>1441</v>
      </c>
      <c r="R113" s="6" t="s">
        <v>1442</v>
      </c>
      <c r="S113" s="6" t="s">
        <v>553</v>
      </c>
      <c r="T113" s="6" t="s">
        <v>1443</v>
      </c>
      <c r="U113" s="6" t="s">
        <v>69</v>
      </c>
      <c r="V113" s="6" t="s">
        <v>785</v>
      </c>
      <c r="W113" s="6" t="str">
        <f aca="false">IF(O113="","",INDEX(Lookups!$B$2:$B$113,MATCH(O113,Lookups!$A$2:$A$113,1)))</f>
        <v>Portland</v>
      </c>
      <c r="X113" s="6" t="s">
        <v>103</v>
      </c>
      <c r="Y113" s="6" t="s">
        <v>13</v>
      </c>
      <c r="Z113" s="6" t="s">
        <v>72</v>
      </c>
      <c r="AA113" s="6" t="s">
        <v>1444</v>
      </c>
      <c r="AB113" s="6" t="s">
        <v>88</v>
      </c>
      <c r="AC113" s="6"/>
      <c r="AD113" s="6"/>
      <c r="AE113" s="6"/>
      <c r="AF113" s="6"/>
      <c r="AG113" s="6"/>
      <c r="AH113" s="6"/>
      <c r="AI113" s="6" t="s">
        <v>1445</v>
      </c>
    </row>
    <row r="114" customFormat="false" ht="15" hidden="false" customHeight="true" outlineLevel="0" collapsed="false">
      <c r="A114" s="6" t="s">
        <v>1446</v>
      </c>
      <c r="B114" s="6" t="s">
        <v>1447</v>
      </c>
      <c r="C114" s="12" t="s">
        <v>9</v>
      </c>
      <c r="D114" s="6" t="s">
        <v>88</v>
      </c>
      <c r="E114" s="6" t="s">
        <v>1420</v>
      </c>
      <c r="F114" s="6" t="s">
        <v>1448</v>
      </c>
      <c r="G114" s="6" t="s">
        <v>1449</v>
      </c>
      <c r="H114" s="6" t="s">
        <v>1450</v>
      </c>
      <c r="I114" s="6" t="s">
        <v>274</v>
      </c>
      <c r="J114" s="6"/>
      <c r="K114" s="6" t="s">
        <v>60</v>
      </c>
      <c r="L114" s="6" t="s">
        <v>61</v>
      </c>
      <c r="M114" s="6" t="s">
        <v>1451</v>
      </c>
      <c r="N114" s="6" t="s">
        <v>1452</v>
      </c>
      <c r="O114" s="8" t="s">
        <v>1453</v>
      </c>
      <c r="P114" s="6" t="n">
        <f aca="false">IF(O114="","",VALUE(LEFT(O114,4)))</f>
        <v>1800</v>
      </c>
      <c r="Q114" s="6" t="s">
        <v>382</v>
      </c>
      <c r="R114" s="6" t="s">
        <v>382</v>
      </c>
      <c r="S114" s="6" t="s">
        <v>383</v>
      </c>
      <c r="T114" s="6" t="s">
        <v>1454</v>
      </c>
      <c r="U114" s="6" t="s">
        <v>85</v>
      </c>
      <c r="V114" s="6" t="s">
        <v>785</v>
      </c>
      <c r="W114" s="6" t="str">
        <f aca="false">IF(O114="","",INDEX(Lookups!$B$2:$B$114,MATCH(O114,Lookups!$A$2:$A$114,1)))</f>
        <v>Portland</v>
      </c>
      <c r="X114" s="6" t="s">
        <v>87</v>
      </c>
      <c r="Y114" s="6" t="s">
        <v>14</v>
      </c>
      <c r="Z114" s="6" t="s">
        <v>72</v>
      </c>
      <c r="AA114" s="6" t="s">
        <v>1455</v>
      </c>
      <c r="AB114" s="6" t="s">
        <v>141</v>
      </c>
      <c r="AC114" s="6"/>
      <c r="AD114" s="6"/>
      <c r="AE114" s="6"/>
      <c r="AF114" s="6"/>
      <c r="AG114" s="6"/>
      <c r="AH114" s="6"/>
      <c r="AI114" s="6" t="s">
        <v>1456</v>
      </c>
    </row>
    <row r="115" customFormat="false" ht="15" hidden="false" customHeight="true" outlineLevel="0" collapsed="false">
      <c r="A115" s="6" t="s">
        <v>1457</v>
      </c>
      <c r="B115" s="6" t="s">
        <v>1458</v>
      </c>
      <c r="C115" s="7" t="s">
        <v>4</v>
      </c>
      <c r="D115" s="6" t="s">
        <v>88</v>
      </c>
      <c r="E115" s="6" t="s">
        <v>1459</v>
      </c>
      <c r="F115" s="6" t="s">
        <v>1460</v>
      </c>
      <c r="G115" s="6" t="s">
        <v>1461</v>
      </c>
      <c r="H115" s="6" t="s">
        <v>1462</v>
      </c>
      <c r="I115" s="6" t="s">
        <v>274</v>
      </c>
      <c r="J115" s="6"/>
      <c r="K115" s="6" t="s">
        <v>60</v>
      </c>
      <c r="L115" s="6" t="s">
        <v>61</v>
      </c>
      <c r="M115" s="6" t="s">
        <v>1463</v>
      </c>
      <c r="N115" s="6" t="s">
        <v>1464</v>
      </c>
      <c r="O115" s="8" t="s">
        <v>1465</v>
      </c>
      <c r="P115" s="6" t="n">
        <f aca="false">IF(O115="","",VALUE(LEFT(O115,4)))</f>
        <v>1800</v>
      </c>
      <c r="Q115" s="6" t="s">
        <v>1466</v>
      </c>
      <c r="R115" s="6" t="s">
        <v>1466</v>
      </c>
      <c r="S115" s="6" t="s">
        <v>172</v>
      </c>
      <c r="T115" s="6" t="s">
        <v>1467</v>
      </c>
      <c r="U115" s="6" t="s">
        <v>69</v>
      </c>
      <c r="V115" s="6" t="s">
        <v>785</v>
      </c>
      <c r="W115" s="6" t="str">
        <f aca="false">IF(O115="","",INDEX(Lookups!$B$2:$B$115,MATCH(O115,Lookups!$A$2:$A$115,1)))</f>
        <v>Portland</v>
      </c>
      <c r="X115" s="6" t="s">
        <v>103</v>
      </c>
      <c r="Y115" s="6" t="s">
        <v>13</v>
      </c>
      <c r="Z115" s="6" t="s">
        <v>72</v>
      </c>
      <c r="AA115" s="6" t="s">
        <v>1468</v>
      </c>
      <c r="AB115" s="6" t="s">
        <v>141</v>
      </c>
      <c r="AC115" s="6"/>
      <c r="AD115" s="6"/>
      <c r="AE115" s="6"/>
      <c r="AF115" s="6"/>
      <c r="AG115" s="6"/>
      <c r="AH115" s="6"/>
      <c r="AI115" s="6" t="s">
        <v>1469</v>
      </c>
    </row>
    <row r="116" customFormat="false" ht="15" hidden="false" customHeight="true" outlineLevel="0" collapsed="false">
      <c r="A116" s="6" t="s">
        <v>1470</v>
      </c>
      <c r="B116" s="6" t="s">
        <v>1458</v>
      </c>
      <c r="C116" s="7" t="s">
        <v>4</v>
      </c>
      <c r="D116" s="6" t="s">
        <v>88</v>
      </c>
      <c r="E116" s="6" t="s">
        <v>1459</v>
      </c>
      <c r="F116" s="6" t="s">
        <v>1460</v>
      </c>
      <c r="G116" s="6" t="s">
        <v>1471</v>
      </c>
      <c r="H116" s="6" t="s">
        <v>1472</v>
      </c>
      <c r="I116" s="6" t="s">
        <v>274</v>
      </c>
      <c r="J116" s="6"/>
      <c r="K116" s="6" t="s">
        <v>60</v>
      </c>
      <c r="L116" s="6" t="s">
        <v>61</v>
      </c>
      <c r="M116" s="6" t="s">
        <v>1473</v>
      </c>
      <c r="N116" s="6" t="s">
        <v>1474</v>
      </c>
      <c r="O116" s="8" t="s">
        <v>1465</v>
      </c>
      <c r="P116" s="6" t="n">
        <f aca="false">IF(O116="","",VALUE(LEFT(O116,4)))</f>
        <v>1800</v>
      </c>
      <c r="Q116" s="6" t="s">
        <v>1475</v>
      </c>
      <c r="R116" s="6" t="s">
        <v>1476</v>
      </c>
      <c r="S116" s="6" t="s">
        <v>172</v>
      </c>
      <c r="T116" s="6" t="s">
        <v>1477</v>
      </c>
      <c r="U116" s="6" t="s">
        <v>279</v>
      </c>
      <c r="V116" s="6" t="s">
        <v>785</v>
      </c>
      <c r="W116" s="6" t="str">
        <f aca="false">IF(O116="","",INDEX(Lookups!$B$2:$B$116,MATCH(O116,Lookups!$A$2:$A$116,1)))</f>
        <v>Portland</v>
      </c>
      <c r="X116" s="6" t="s">
        <v>103</v>
      </c>
      <c r="Y116" s="6" t="s">
        <v>14</v>
      </c>
      <c r="Z116" s="6" t="s">
        <v>72</v>
      </c>
      <c r="AA116" s="6" t="s">
        <v>1478</v>
      </c>
      <c r="AB116" s="6" t="s">
        <v>141</v>
      </c>
      <c r="AC116" s="6"/>
      <c r="AD116" s="6"/>
      <c r="AE116" s="6"/>
      <c r="AF116" s="6"/>
      <c r="AG116" s="6"/>
      <c r="AH116" s="6"/>
      <c r="AI116" s="6" t="s">
        <v>1479</v>
      </c>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16"/>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1480</v>
      </c>
      <c r="B1" s="5" t="s">
        <v>2</v>
      </c>
      <c r="C1" s="5" t="s">
        <v>1481</v>
      </c>
      <c r="D1" s="5" t="s">
        <v>37</v>
      </c>
      <c r="E1" s="5" t="s">
        <v>34</v>
      </c>
      <c r="F1" s="5" t="s">
        <v>1482</v>
      </c>
      <c r="G1" s="5" t="s">
        <v>1483</v>
      </c>
      <c r="H1" s="5" t="s">
        <v>1484</v>
      </c>
      <c r="I1" s="5" t="s">
        <v>1485</v>
      </c>
      <c r="J1" s="5" t="s">
        <v>1486</v>
      </c>
      <c r="K1" s="5" t="s">
        <v>1487</v>
      </c>
    </row>
    <row r="2" customFormat="false" ht="57" hidden="false" customHeight="true" outlineLevel="0" collapsed="false">
      <c r="A2" s="6" t="s">
        <v>1488</v>
      </c>
      <c r="B2" s="6" t="s">
        <v>4</v>
      </c>
      <c r="C2" s="6" t="s">
        <v>1238</v>
      </c>
      <c r="D2" s="6" t="s">
        <v>866</v>
      </c>
      <c r="E2" s="8" t="s">
        <v>1489</v>
      </c>
      <c r="F2" s="6" t="s">
        <v>1490</v>
      </c>
      <c r="G2" s="6" t="s">
        <v>1491</v>
      </c>
      <c r="H2" s="6" t="s">
        <v>1492</v>
      </c>
      <c r="I2" s="6" t="s">
        <v>55</v>
      </c>
      <c r="J2" s="6" t="s">
        <v>1493</v>
      </c>
      <c r="K2" s="6" t="s">
        <v>1494</v>
      </c>
    </row>
    <row r="3" customFormat="false" ht="23.25" hidden="false" customHeight="true" outlineLevel="0" collapsed="false">
      <c r="A3" s="6" t="s">
        <v>1495</v>
      </c>
      <c r="B3" s="6" t="s">
        <v>4</v>
      </c>
      <c r="C3" s="6" t="s">
        <v>1270</v>
      </c>
      <c r="D3" s="6" t="s">
        <v>866</v>
      </c>
      <c r="E3" s="8" t="s">
        <v>1496</v>
      </c>
      <c r="F3" s="6" t="s">
        <v>1497</v>
      </c>
      <c r="G3" s="6" t="s">
        <v>1498</v>
      </c>
      <c r="H3" s="6" t="s">
        <v>1499</v>
      </c>
      <c r="I3" s="6" t="s">
        <v>1500</v>
      </c>
      <c r="J3" s="6" t="s">
        <v>1493</v>
      </c>
      <c r="K3" s="6" t="s">
        <v>1501</v>
      </c>
    </row>
    <row r="4" customFormat="false" ht="23.25" hidden="false" customHeight="true" outlineLevel="0" collapsed="false">
      <c r="A4" s="6" t="s">
        <v>1502</v>
      </c>
      <c r="B4" s="6" t="s">
        <v>4</v>
      </c>
      <c r="C4" s="6" t="s">
        <v>184</v>
      </c>
      <c r="D4" s="6" t="s">
        <v>185</v>
      </c>
      <c r="E4" s="8" t="s">
        <v>1503</v>
      </c>
      <c r="F4" s="6" t="s">
        <v>1504</v>
      </c>
      <c r="G4" s="6" t="s">
        <v>1505</v>
      </c>
      <c r="H4" s="6" t="s">
        <v>1506</v>
      </c>
      <c r="I4" s="6" t="s">
        <v>55</v>
      </c>
      <c r="J4" s="6" t="s">
        <v>1507</v>
      </c>
      <c r="K4" s="6" t="s">
        <v>1508</v>
      </c>
    </row>
    <row r="5" customFormat="false" ht="34.5" hidden="false" customHeight="true" outlineLevel="0" collapsed="false">
      <c r="A5" s="6" t="s">
        <v>1509</v>
      </c>
      <c r="B5" s="6" t="s">
        <v>9</v>
      </c>
      <c r="C5" s="6" t="s">
        <v>1054</v>
      </c>
      <c r="D5" s="6" t="s">
        <v>1026</v>
      </c>
      <c r="E5" s="8" t="s">
        <v>1292</v>
      </c>
      <c r="F5" s="6" t="s">
        <v>1510</v>
      </c>
      <c r="G5" s="6" t="s">
        <v>1511</v>
      </c>
      <c r="H5" s="6" t="s">
        <v>1506</v>
      </c>
      <c r="I5" s="6" t="s">
        <v>55</v>
      </c>
      <c r="J5" s="6" t="s">
        <v>1512</v>
      </c>
      <c r="K5" s="6" t="s">
        <v>1513</v>
      </c>
    </row>
    <row r="6" customFormat="false" ht="23.25" hidden="false" customHeight="true" outlineLevel="0" collapsed="false">
      <c r="A6" s="6" t="s">
        <v>1514</v>
      </c>
      <c r="B6" s="6" t="s">
        <v>6</v>
      </c>
      <c r="C6" s="6" t="s">
        <v>1515</v>
      </c>
      <c r="D6" s="6" t="s">
        <v>866</v>
      </c>
      <c r="E6" s="8" t="s">
        <v>1496</v>
      </c>
      <c r="F6" s="6" t="s">
        <v>1516</v>
      </c>
      <c r="G6" s="6" t="s">
        <v>1517</v>
      </c>
      <c r="H6" s="6" t="s">
        <v>1499</v>
      </c>
      <c r="I6" s="6" t="s">
        <v>55</v>
      </c>
      <c r="J6" s="6" t="s">
        <v>1507</v>
      </c>
      <c r="K6" s="6"/>
    </row>
    <row r="7" customFormat="false" ht="34.5" hidden="false" customHeight="true" outlineLevel="0" collapsed="false">
      <c r="A7" s="6" t="s">
        <v>1518</v>
      </c>
      <c r="B7" s="6" t="s">
        <v>6</v>
      </c>
      <c r="C7" s="6" t="s">
        <v>1519</v>
      </c>
      <c r="D7" s="6" t="s">
        <v>252</v>
      </c>
      <c r="E7" s="8" t="s">
        <v>1520</v>
      </c>
      <c r="F7" s="6" t="s">
        <v>1521</v>
      </c>
      <c r="G7" s="6" t="s">
        <v>1522</v>
      </c>
      <c r="H7" s="6" t="s">
        <v>1499</v>
      </c>
      <c r="I7" s="6" t="s">
        <v>55</v>
      </c>
      <c r="J7" s="6" t="s">
        <v>1507</v>
      </c>
      <c r="K7" s="6" t="s">
        <v>1523</v>
      </c>
    </row>
    <row r="8" customFormat="false" ht="23.25" hidden="false" customHeight="true" outlineLevel="0" collapsed="false">
      <c r="A8" s="6" t="s">
        <v>1524</v>
      </c>
      <c r="B8" s="6" t="s">
        <v>4</v>
      </c>
      <c r="C8" s="6" t="s">
        <v>1525</v>
      </c>
      <c r="D8" s="6" t="s">
        <v>1366</v>
      </c>
      <c r="E8" s="8" t="s">
        <v>1526</v>
      </c>
      <c r="F8" s="6" t="s">
        <v>1527</v>
      </c>
      <c r="G8" s="6" t="s">
        <v>1528</v>
      </c>
      <c r="H8" s="6" t="s">
        <v>1499</v>
      </c>
      <c r="I8" s="6" t="s">
        <v>55</v>
      </c>
      <c r="J8" s="6" t="s">
        <v>1493</v>
      </c>
      <c r="K8" s="6" t="s">
        <v>1529</v>
      </c>
    </row>
    <row r="9" customFormat="false" ht="23.25" hidden="false" customHeight="true" outlineLevel="0" collapsed="false">
      <c r="A9" s="6" t="s">
        <v>1530</v>
      </c>
      <c r="B9" s="6" t="s">
        <v>4</v>
      </c>
      <c r="C9" s="6" t="s">
        <v>1531</v>
      </c>
      <c r="D9" s="6" t="s">
        <v>172</v>
      </c>
      <c r="E9" s="8" t="s">
        <v>1532</v>
      </c>
      <c r="F9" s="6" t="s">
        <v>1533</v>
      </c>
      <c r="G9" s="6" t="s">
        <v>1534</v>
      </c>
      <c r="H9" s="6" t="s">
        <v>1499</v>
      </c>
      <c r="I9" s="6" t="s">
        <v>55</v>
      </c>
      <c r="J9" s="6" t="s">
        <v>1493</v>
      </c>
      <c r="K9" s="6"/>
    </row>
    <row r="10" customFormat="false" ht="23.25" hidden="false" customHeight="true" outlineLevel="0" collapsed="false">
      <c r="A10" s="6" t="s">
        <v>1535</v>
      </c>
      <c r="B10" s="6" t="s">
        <v>9</v>
      </c>
      <c r="C10" s="6" t="s">
        <v>195</v>
      </c>
      <c r="D10" s="6" t="s">
        <v>196</v>
      </c>
      <c r="E10" s="8" t="s">
        <v>1536</v>
      </c>
      <c r="F10" s="6" t="s">
        <v>1537</v>
      </c>
      <c r="G10" s="6" t="s">
        <v>1538</v>
      </c>
      <c r="H10" s="6" t="s">
        <v>1499</v>
      </c>
      <c r="I10" s="6" t="s">
        <v>55</v>
      </c>
      <c r="J10" s="6" t="s">
        <v>1507</v>
      </c>
      <c r="K10" s="6" t="s">
        <v>1539</v>
      </c>
    </row>
    <row r="11" customFormat="false" ht="34.5" hidden="false" customHeight="true" outlineLevel="0" collapsed="false">
      <c r="A11" s="6" t="s">
        <v>1540</v>
      </c>
      <c r="B11" s="6" t="s">
        <v>5</v>
      </c>
      <c r="C11" s="6" t="s">
        <v>1541</v>
      </c>
      <c r="D11" s="6" t="s">
        <v>1542</v>
      </c>
      <c r="E11" s="8" t="s">
        <v>1543</v>
      </c>
      <c r="F11" s="6" t="s">
        <v>1544</v>
      </c>
      <c r="G11" s="6" t="s">
        <v>1545</v>
      </c>
      <c r="H11" s="6" t="s">
        <v>1499</v>
      </c>
      <c r="I11" s="6" t="s">
        <v>55</v>
      </c>
      <c r="J11" s="6" t="s">
        <v>1507</v>
      </c>
      <c r="K11" s="6" t="s">
        <v>1546</v>
      </c>
    </row>
    <row r="12" customFormat="false" ht="23.25" hidden="false" customHeight="true" outlineLevel="0" collapsed="false">
      <c r="A12" s="6" t="s">
        <v>1547</v>
      </c>
      <c r="B12" s="6" t="s">
        <v>5</v>
      </c>
      <c r="C12" s="6" t="s">
        <v>1548</v>
      </c>
      <c r="D12" s="6" t="s">
        <v>252</v>
      </c>
      <c r="E12" s="8" t="s">
        <v>1549</v>
      </c>
      <c r="F12" s="6" t="s">
        <v>1550</v>
      </c>
      <c r="G12" s="6" t="s">
        <v>1551</v>
      </c>
      <c r="H12" s="6" t="s">
        <v>1499</v>
      </c>
      <c r="I12" s="6" t="s">
        <v>55</v>
      </c>
      <c r="J12" s="6" t="s">
        <v>1507</v>
      </c>
      <c r="K12" s="6" t="s">
        <v>1552</v>
      </c>
    </row>
    <row r="13" customFormat="false" ht="23.25" hidden="false" customHeight="true" outlineLevel="0" collapsed="false">
      <c r="A13" s="6" t="s">
        <v>1553</v>
      </c>
      <c r="B13" s="6" t="s">
        <v>6</v>
      </c>
      <c r="C13" s="6" t="s">
        <v>1554</v>
      </c>
      <c r="D13" s="6" t="s">
        <v>1388</v>
      </c>
      <c r="E13" s="8" t="s">
        <v>1555</v>
      </c>
      <c r="F13" s="6" t="s">
        <v>1556</v>
      </c>
      <c r="G13" s="6" t="s">
        <v>1557</v>
      </c>
      <c r="H13" s="6" t="s">
        <v>1499</v>
      </c>
      <c r="I13" s="6" t="s">
        <v>55</v>
      </c>
      <c r="J13" s="6" t="s">
        <v>1512</v>
      </c>
      <c r="K13" s="6" t="s">
        <v>1558</v>
      </c>
    </row>
    <row r="14" customFormat="false" ht="23.25" hidden="false" customHeight="true" outlineLevel="0" collapsed="false">
      <c r="A14" s="6" t="s">
        <v>1559</v>
      </c>
      <c r="B14" s="6" t="s">
        <v>6</v>
      </c>
      <c r="C14" s="6" t="s">
        <v>1560</v>
      </c>
      <c r="D14" s="6" t="s">
        <v>185</v>
      </c>
      <c r="E14" s="8" t="s">
        <v>1561</v>
      </c>
      <c r="F14" s="6" t="s">
        <v>1562</v>
      </c>
      <c r="G14" s="6" t="s">
        <v>1563</v>
      </c>
      <c r="H14" s="6" t="s">
        <v>1499</v>
      </c>
      <c r="I14" s="6" t="s">
        <v>55</v>
      </c>
      <c r="J14" s="6" t="s">
        <v>1512</v>
      </c>
      <c r="K14" s="6" t="s">
        <v>1564</v>
      </c>
    </row>
    <row r="15" customFormat="false" ht="34.5" hidden="false" customHeight="true" outlineLevel="0" collapsed="false">
      <c r="A15" s="6" t="s">
        <v>1565</v>
      </c>
      <c r="B15" s="6" t="s">
        <v>9</v>
      </c>
      <c r="C15" s="6" t="s">
        <v>1566</v>
      </c>
      <c r="D15" s="6" t="s">
        <v>1567</v>
      </c>
      <c r="E15" s="8" t="s">
        <v>1568</v>
      </c>
      <c r="F15" s="6" t="s">
        <v>1569</v>
      </c>
      <c r="G15" s="6" t="s">
        <v>1570</v>
      </c>
      <c r="H15" s="6" t="s">
        <v>1499</v>
      </c>
      <c r="I15" s="6" t="s">
        <v>55</v>
      </c>
      <c r="J15" s="6" t="s">
        <v>1507</v>
      </c>
      <c r="K15" s="6" t="s">
        <v>1571</v>
      </c>
    </row>
    <row r="16" customFormat="false" ht="34.5" hidden="false" customHeight="true" outlineLevel="0" collapsed="false">
      <c r="A16" s="6" t="s">
        <v>1572</v>
      </c>
      <c r="B16" s="6" t="s">
        <v>9</v>
      </c>
      <c r="C16" s="6" t="s">
        <v>1566</v>
      </c>
      <c r="D16" s="6" t="s">
        <v>1567</v>
      </c>
      <c r="E16" s="8" t="s">
        <v>1573</v>
      </c>
      <c r="F16" s="6" t="s">
        <v>1574</v>
      </c>
      <c r="G16" s="6" t="s">
        <v>1575</v>
      </c>
      <c r="H16" s="6" t="s">
        <v>1499</v>
      </c>
      <c r="I16" s="6" t="s">
        <v>55</v>
      </c>
      <c r="J16" s="6" t="s">
        <v>1507</v>
      </c>
      <c r="K16" s="6" t="s">
        <v>1576</v>
      </c>
    </row>
    <row r="17" customFormat="false" ht="34.5" hidden="false" customHeight="true" outlineLevel="0" collapsed="false">
      <c r="A17" s="6" t="s">
        <v>1577</v>
      </c>
      <c r="B17" s="6" t="s">
        <v>4</v>
      </c>
      <c r="C17" s="6" t="s">
        <v>227</v>
      </c>
      <c r="D17" s="6" t="s">
        <v>228</v>
      </c>
      <c r="E17" s="8" t="s">
        <v>1578</v>
      </c>
      <c r="F17" s="6" t="s">
        <v>1579</v>
      </c>
      <c r="G17" s="6" t="s">
        <v>1580</v>
      </c>
      <c r="H17" s="6" t="s">
        <v>1499</v>
      </c>
      <c r="I17" s="6" t="s">
        <v>55</v>
      </c>
      <c r="J17" s="6" t="s">
        <v>1493</v>
      </c>
      <c r="K17" s="6" t="s">
        <v>1581</v>
      </c>
    </row>
    <row r="18" customFormat="false" ht="45.75" hidden="false" customHeight="true" outlineLevel="0" collapsed="false">
      <c r="A18" s="6" t="s">
        <v>1582</v>
      </c>
      <c r="B18" s="6" t="s">
        <v>4</v>
      </c>
      <c r="C18" s="6" t="s">
        <v>227</v>
      </c>
      <c r="D18" s="6" t="s">
        <v>241</v>
      </c>
      <c r="E18" s="8" t="s">
        <v>1583</v>
      </c>
      <c r="F18" s="6" t="s">
        <v>1584</v>
      </c>
      <c r="G18" s="6" t="s">
        <v>1585</v>
      </c>
      <c r="H18" s="6" t="s">
        <v>1499</v>
      </c>
      <c r="I18" s="6" t="s">
        <v>55</v>
      </c>
      <c r="J18" s="6" t="s">
        <v>1507</v>
      </c>
      <c r="K18" s="6" t="s">
        <v>1586</v>
      </c>
    </row>
    <row r="19" customFormat="false" ht="23.25" hidden="false" customHeight="true" outlineLevel="0" collapsed="false">
      <c r="A19" s="6" t="s">
        <v>1587</v>
      </c>
      <c r="B19" s="6" t="s">
        <v>9</v>
      </c>
      <c r="C19" s="6" t="s">
        <v>1588</v>
      </c>
      <c r="D19" s="6" t="s">
        <v>1567</v>
      </c>
      <c r="E19" s="8" t="s">
        <v>1589</v>
      </c>
      <c r="F19" s="6" t="s">
        <v>1590</v>
      </c>
      <c r="G19" s="6" t="s">
        <v>1591</v>
      </c>
      <c r="H19" s="6" t="s">
        <v>1499</v>
      </c>
      <c r="I19" s="6" t="s">
        <v>55</v>
      </c>
      <c r="J19" s="6" t="s">
        <v>1493</v>
      </c>
      <c r="K19" s="6" t="s">
        <v>1592</v>
      </c>
    </row>
    <row r="20" customFormat="false" ht="34.5" hidden="false" customHeight="true" outlineLevel="0" collapsed="false">
      <c r="A20" s="6" t="s">
        <v>1593</v>
      </c>
      <c r="B20" s="6" t="s">
        <v>9</v>
      </c>
      <c r="C20" s="6" t="s">
        <v>1531</v>
      </c>
      <c r="D20" s="6" t="s">
        <v>172</v>
      </c>
      <c r="E20" s="8" t="s">
        <v>1594</v>
      </c>
      <c r="F20" s="6" t="s">
        <v>1595</v>
      </c>
      <c r="G20" s="6" t="s">
        <v>1596</v>
      </c>
      <c r="H20" s="6" t="s">
        <v>1597</v>
      </c>
      <c r="I20" s="6" t="s">
        <v>1500</v>
      </c>
      <c r="J20" s="6" t="s">
        <v>1507</v>
      </c>
      <c r="K20" s="6" t="s">
        <v>1598</v>
      </c>
    </row>
    <row r="21" customFormat="false" ht="45.75" hidden="false" customHeight="true" outlineLevel="0" collapsed="false">
      <c r="A21" s="6" t="s">
        <v>1599</v>
      </c>
      <c r="B21" s="6" t="s">
        <v>9</v>
      </c>
      <c r="C21" s="6" t="s">
        <v>1600</v>
      </c>
      <c r="D21" s="6" t="s">
        <v>1601</v>
      </c>
      <c r="E21" s="8" t="s">
        <v>1602</v>
      </c>
      <c r="F21" s="6" t="s">
        <v>1603</v>
      </c>
      <c r="G21" s="6" t="s">
        <v>1604</v>
      </c>
      <c r="H21" s="6" t="s">
        <v>1597</v>
      </c>
      <c r="I21" s="6" t="s">
        <v>88</v>
      </c>
      <c r="J21" s="6" t="s">
        <v>1512</v>
      </c>
      <c r="K21" s="6" t="s">
        <v>1605</v>
      </c>
    </row>
    <row r="22" customFormat="false" ht="34.5" hidden="false" customHeight="true" outlineLevel="0" collapsed="false">
      <c r="A22" s="6" t="s">
        <v>1606</v>
      </c>
      <c r="B22" s="6" t="s">
        <v>9</v>
      </c>
      <c r="C22" s="6" t="s">
        <v>1607</v>
      </c>
      <c r="D22" s="6" t="s">
        <v>196</v>
      </c>
      <c r="E22" s="8" t="s">
        <v>1608</v>
      </c>
      <c r="F22" s="6" t="s">
        <v>1609</v>
      </c>
      <c r="G22" s="6" t="s">
        <v>1610</v>
      </c>
      <c r="H22" s="6" t="s">
        <v>1611</v>
      </c>
      <c r="I22" s="6" t="s">
        <v>88</v>
      </c>
      <c r="J22" s="6" t="s">
        <v>1512</v>
      </c>
      <c r="K22" s="6" t="s">
        <v>1612</v>
      </c>
    </row>
    <row r="23" customFormat="false" ht="34.5" hidden="false" customHeight="true" outlineLevel="0" collapsed="false">
      <c r="A23" s="6" t="s">
        <v>1613</v>
      </c>
      <c r="B23" s="6" t="s">
        <v>9</v>
      </c>
      <c r="C23" s="6" t="s">
        <v>1614</v>
      </c>
      <c r="D23" s="6" t="s">
        <v>1601</v>
      </c>
      <c r="E23" s="8" t="s">
        <v>1615</v>
      </c>
      <c r="F23" s="6" t="s">
        <v>1616</v>
      </c>
      <c r="G23" s="6" t="s">
        <v>1617</v>
      </c>
      <c r="H23" s="6" t="s">
        <v>1611</v>
      </c>
      <c r="I23" s="6" t="s">
        <v>88</v>
      </c>
      <c r="J23" s="6" t="s">
        <v>1512</v>
      </c>
      <c r="K23" s="6" t="s">
        <v>1618</v>
      </c>
    </row>
    <row r="24" customFormat="false" ht="79.5" hidden="false" customHeight="true" outlineLevel="0" collapsed="false">
      <c r="A24" s="6" t="s">
        <v>1619</v>
      </c>
      <c r="B24" s="6" t="s">
        <v>4</v>
      </c>
      <c r="C24" s="6" t="s">
        <v>184</v>
      </c>
      <c r="D24" s="6" t="s">
        <v>185</v>
      </c>
      <c r="E24" s="8" t="s">
        <v>1620</v>
      </c>
      <c r="F24" s="6" t="s">
        <v>1621</v>
      </c>
      <c r="G24" s="6" t="s">
        <v>1622</v>
      </c>
      <c r="H24" s="6" t="s">
        <v>1611</v>
      </c>
      <c r="I24" s="6" t="s">
        <v>1500</v>
      </c>
      <c r="J24" s="6" t="s">
        <v>1507</v>
      </c>
      <c r="K24" s="6" t="s">
        <v>1623</v>
      </c>
    </row>
    <row r="25" customFormat="false" ht="34.5" hidden="false" customHeight="true" outlineLevel="0" collapsed="false">
      <c r="A25" s="6" t="s">
        <v>1624</v>
      </c>
      <c r="B25" s="6" t="s">
        <v>9</v>
      </c>
      <c r="C25" s="6" t="s">
        <v>227</v>
      </c>
      <c r="D25" s="6" t="s">
        <v>241</v>
      </c>
      <c r="E25" s="8" t="s">
        <v>1625</v>
      </c>
      <c r="F25" s="6" t="s">
        <v>1626</v>
      </c>
      <c r="G25" s="6" t="s">
        <v>1627</v>
      </c>
      <c r="H25" s="6" t="s">
        <v>1611</v>
      </c>
      <c r="I25" s="6" t="s">
        <v>88</v>
      </c>
      <c r="J25" s="6" t="s">
        <v>1512</v>
      </c>
      <c r="K25" s="6" t="s">
        <v>1628</v>
      </c>
    </row>
    <row r="26" customFormat="false" ht="45.75" hidden="false" customHeight="true" outlineLevel="0" collapsed="false">
      <c r="A26" s="6" t="s">
        <v>1629</v>
      </c>
      <c r="B26" s="6" t="s">
        <v>9</v>
      </c>
      <c r="C26" s="6" t="s">
        <v>1630</v>
      </c>
      <c r="D26" s="6" t="s">
        <v>121</v>
      </c>
      <c r="E26" s="8" t="s">
        <v>1631</v>
      </c>
      <c r="F26" s="6" t="s">
        <v>1632</v>
      </c>
      <c r="G26" s="6" t="s">
        <v>1633</v>
      </c>
      <c r="H26" s="6" t="s">
        <v>1611</v>
      </c>
      <c r="I26" s="6" t="s">
        <v>88</v>
      </c>
      <c r="J26" s="6" t="s">
        <v>1507</v>
      </c>
      <c r="K26" s="6" t="s">
        <v>1634</v>
      </c>
    </row>
    <row r="27" customFormat="false" ht="68.25" hidden="false" customHeight="true" outlineLevel="0" collapsed="false">
      <c r="A27" s="6" t="s">
        <v>1635</v>
      </c>
      <c r="B27" s="6" t="s">
        <v>9</v>
      </c>
      <c r="C27" s="6" t="s">
        <v>542</v>
      </c>
      <c r="D27" s="6" t="s">
        <v>447</v>
      </c>
      <c r="E27" s="8" t="s">
        <v>1636</v>
      </c>
      <c r="F27" s="6" t="s">
        <v>1637</v>
      </c>
      <c r="G27" s="6" t="s">
        <v>1638</v>
      </c>
      <c r="H27" s="6" t="s">
        <v>1611</v>
      </c>
      <c r="I27" s="6" t="s">
        <v>1500</v>
      </c>
      <c r="J27" s="6" t="s">
        <v>1507</v>
      </c>
      <c r="K27" s="6" t="s">
        <v>1639</v>
      </c>
    </row>
    <row r="28" customFormat="false" ht="57" hidden="false" customHeight="true" outlineLevel="0" collapsed="false">
      <c r="A28" s="6" t="s">
        <v>1640</v>
      </c>
      <c r="B28" s="6" t="s">
        <v>9</v>
      </c>
      <c r="C28" s="6" t="s">
        <v>1641</v>
      </c>
      <c r="D28" s="6" t="s">
        <v>634</v>
      </c>
      <c r="E28" s="8" t="s">
        <v>1642</v>
      </c>
      <c r="F28" s="6" t="s">
        <v>1643</v>
      </c>
      <c r="G28" s="6" t="s">
        <v>1644</v>
      </c>
      <c r="H28" s="6" t="s">
        <v>1645</v>
      </c>
      <c r="I28" s="6" t="s">
        <v>88</v>
      </c>
      <c r="J28" s="6" t="s">
        <v>1507</v>
      </c>
      <c r="K28" s="6" t="s">
        <v>1646</v>
      </c>
    </row>
    <row r="29" customFormat="false" ht="68.25" hidden="false" customHeight="true" outlineLevel="0" collapsed="false">
      <c r="A29" s="6" t="s">
        <v>1647</v>
      </c>
      <c r="B29" s="6" t="s">
        <v>9</v>
      </c>
      <c r="C29" s="6" t="s">
        <v>1648</v>
      </c>
      <c r="D29" s="6" t="s">
        <v>1649</v>
      </c>
      <c r="E29" s="8" t="s">
        <v>1650</v>
      </c>
      <c r="F29" s="6" t="s">
        <v>1651</v>
      </c>
      <c r="G29" s="6" t="s">
        <v>1652</v>
      </c>
      <c r="H29" s="6" t="s">
        <v>1645</v>
      </c>
      <c r="I29" s="6" t="s">
        <v>88</v>
      </c>
      <c r="J29" s="6" t="s">
        <v>1507</v>
      </c>
      <c r="K29" s="6" t="s">
        <v>1653</v>
      </c>
    </row>
    <row r="30" customFormat="false" ht="68.25" hidden="false" customHeight="true" outlineLevel="0" collapsed="false">
      <c r="A30" s="6" t="s">
        <v>1654</v>
      </c>
      <c r="B30" s="6" t="s">
        <v>9</v>
      </c>
      <c r="C30" s="6" t="s">
        <v>1655</v>
      </c>
      <c r="D30" s="6" t="s">
        <v>1649</v>
      </c>
      <c r="E30" s="8" t="s">
        <v>1656</v>
      </c>
      <c r="F30" s="6" t="s">
        <v>1657</v>
      </c>
      <c r="G30" s="6" t="s">
        <v>1658</v>
      </c>
      <c r="H30" s="6" t="s">
        <v>1659</v>
      </c>
      <c r="I30" s="6" t="s">
        <v>1500</v>
      </c>
      <c r="J30" s="6" t="s">
        <v>1507</v>
      </c>
      <c r="K30" s="6" t="s">
        <v>1660</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1661</v>
      </c>
      <c r="B1" s="15"/>
    </row>
    <row r="2" customFormat="false" ht="15" hidden="false" customHeight="true" outlineLevel="0" collapsed="false">
      <c r="A2" s="16"/>
      <c r="B2" s="15"/>
    </row>
    <row r="3" customFormat="false" ht="15" hidden="false" customHeight="true" outlineLevel="0" collapsed="false">
      <c r="A3" s="16" t="s">
        <v>1662</v>
      </c>
      <c r="B3" s="15" t="s">
        <v>1663</v>
      </c>
    </row>
    <row r="4" customFormat="false" ht="23.25" hidden="false" customHeight="true" outlineLevel="0" collapsed="false">
      <c r="A4" s="16" t="s">
        <v>1486</v>
      </c>
      <c r="B4" s="15" t="s">
        <v>1664</v>
      </c>
    </row>
    <row r="5" customFormat="false" ht="23.25" hidden="false" customHeight="true" outlineLevel="0" collapsed="false">
      <c r="A5" s="16" t="s">
        <v>1665</v>
      </c>
      <c r="B5" s="15" t="s">
        <v>1666</v>
      </c>
    </row>
    <row r="6" customFormat="false" ht="15" hidden="false" customHeight="true" outlineLevel="0" collapsed="false">
      <c r="A6" s="16" t="s">
        <v>1667</v>
      </c>
      <c r="B6" s="15" t="s">
        <v>1668</v>
      </c>
    </row>
    <row r="7" customFormat="false" ht="15" hidden="false" customHeight="true" outlineLevel="0" collapsed="false">
      <c r="A7" s="16"/>
      <c r="B7" s="15"/>
    </row>
    <row r="8" customFormat="false" ht="15" hidden="false" customHeight="true" outlineLevel="0" collapsed="false">
      <c r="A8" s="16" t="s">
        <v>1669</v>
      </c>
      <c r="B8" s="15"/>
    </row>
    <row r="9" customFormat="false" ht="15" hidden="false" customHeight="true" outlineLevel="0" collapsed="false">
      <c r="A9" s="16" t="s">
        <v>4</v>
      </c>
      <c r="B9" s="15" t="s">
        <v>1670</v>
      </c>
    </row>
    <row r="10" customFormat="false" ht="15" hidden="false" customHeight="true" outlineLevel="0" collapsed="false">
      <c r="A10" s="16" t="s">
        <v>5</v>
      </c>
      <c r="B10" s="15" t="s">
        <v>1671</v>
      </c>
    </row>
    <row r="11" customFormat="false" ht="15" hidden="false" customHeight="true" outlineLevel="0" collapsed="false">
      <c r="A11" s="16" t="s">
        <v>6</v>
      </c>
      <c r="B11" s="15" t="s">
        <v>1672</v>
      </c>
    </row>
    <row r="12" customFormat="false" ht="15" hidden="false" customHeight="true" outlineLevel="0" collapsed="false">
      <c r="A12" s="16" t="s">
        <v>7</v>
      </c>
      <c r="B12" s="15" t="s">
        <v>1673</v>
      </c>
    </row>
    <row r="13" customFormat="false" ht="15" hidden="false" customHeight="true" outlineLevel="0" collapsed="false">
      <c r="A13" s="16" t="s">
        <v>8</v>
      </c>
      <c r="B13" s="15" t="s">
        <v>1674</v>
      </c>
    </row>
    <row r="14" customFormat="false" ht="15" hidden="false" customHeight="true" outlineLevel="0" collapsed="false">
      <c r="A14" s="16"/>
      <c r="B14" s="15"/>
    </row>
    <row r="15" customFormat="false" ht="15" hidden="false" customHeight="true" outlineLevel="0" collapsed="false">
      <c r="A15" s="16" t="s">
        <v>1675</v>
      </c>
      <c r="B15" s="15"/>
    </row>
    <row r="16" customFormat="false" ht="15" hidden="false" customHeight="true" outlineLevel="0" collapsed="false">
      <c r="A16" s="16" t="s">
        <v>1676</v>
      </c>
      <c r="B16" s="15" t="s">
        <v>1677</v>
      </c>
    </row>
    <row r="17" customFormat="false" ht="15" hidden="false" customHeight="true" outlineLevel="0" collapsed="false">
      <c r="A17" s="16" t="s">
        <v>1678</v>
      </c>
      <c r="B17" s="15" t="s">
        <v>1679</v>
      </c>
    </row>
    <row r="18" customFormat="false" ht="15" hidden="false" customHeight="true" outlineLevel="0" collapsed="false">
      <c r="A18" s="16" t="s">
        <v>1680</v>
      </c>
      <c r="B18" s="15" t="s">
        <v>1681</v>
      </c>
    </row>
    <row r="19" customFormat="false" ht="15" hidden="false" customHeight="true" outlineLevel="0" collapsed="false">
      <c r="A19" s="16" t="s">
        <v>1682</v>
      </c>
      <c r="B19" s="15" t="s">
        <v>1683</v>
      </c>
    </row>
    <row r="20" customFormat="false" ht="15" hidden="false" customHeight="true" outlineLevel="0" collapsed="false">
      <c r="A20" s="16" t="s">
        <v>1684</v>
      </c>
      <c r="B20" s="15" t="s">
        <v>1685</v>
      </c>
    </row>
    <row r="21" customFormat="false" ht="15" hidden="false" customHeight="true" outlineLevel="0" collapsed="false">
      <c r="A21" s="16" t="s">
        <v>1686</v>
      </c>
      <c r="B21" s="15" t="s">
        <v>1687</v>
      </c>
    </row>
    <row r="22" customFormat="false" ht="15" hidden="false" customHeight="true" outlineLevel="0" collapsed="false">
      <c r="A22" s="16" t="s">
        <v>1688</v>
      </c>
      <c r="B22" s="15" t="s">
        <v>1689</v>
      </c>
    </row>
    <row r="23" customFormat="false" ht="15" hidden="false" customHeight="true" outlineLevel="0" collapsed="false">
      <c r="A23" s="16"/>
      <c r="B23" s="15"/>
    </row>
    <row r="24" customFormat="false" ht="15" hidden="false" customHeight="true" outlineLevel="0" collapsed="false">
      <c r="A24" s="16" t="s">
        <v>1690</v>
      </c>
      <c r="B24" s="15" t="s">
        <v>1691</v>
      </c>
    </row>
    <row r="25" customFormat="false" ht="23.25" hidden="false" customHeight="true" outlineLevel="0" collapsed="false">
      <c r="A25" s="16" t="s">
        <v>1692</v>
      </c>
      <c r="B25" s="15" t="s">
        <v>1693</v>
      </c>
    </row>
    <row r="26" customFormat="false" ht="15" hidden="false" customHeight="true" outlineLevel="0" collapsed="false">
      <c r="A26" s="16" t="s">
        <v>1694</v>
      </c>
      <c r="B26" s="15" t="s">
        <v>1695</v>
      </c>
    </row>
    <row r="27" customFormat="false" ht="23.25" hidden="false" customHeight="true" outlineLevel="0" collapsed="false">
      <c r="A27" s="16" t="s">
        <v>1696</v>
      </c>
      <c r="B27" s="15" t="s">
        <v>1697</v>
      </c>
    </row>
    <row r="28" customFormat="false" ht="23.25" hidden="false" customHeight="true" outlineLevel="0" collapsed="false">
      <c r="A28" s="16" t="s">
        <v>1698</v>
      </c>
      <c r="B28" s="15" t="s">
        <v>1699</v>
      </c>
    </row>
    <row r="29" customFormat="false" ht="15" hidden="false" customHeight="true" outlineLevel="0" collapsed="false">
      <c r="A29" s="16"/>
      <c r="B29" s="15"/>
    </row>
    <row r="30" customFormat="false" ht="15" hidden="false" customHeight="true" outlineLevel="0" collapsed="false">
      <c r="A30" s="16" t="s">
        <v>1700</v>
      </c>
      <c r="B30" s="15"/>
    </row>
    <row r="31" customFormat="false" ht="15" hidden="false" customHeight="true" outlineLevel="0" collapsed="false">
      <c r="A31" s="16" t="s">
        <v>1701</v>
      </c>
      <c r="B31" s="15" t="s">
        <v>1702</v>
      </c>
    </row>
    <row r="32" customFormat="false" ht="34.5" hidden="false" customHeight="true" outlineLevel="0" collapsed="false">
      <c r="A32" s="16" t="s">
        <v>1703</v>
      </c>
      <c r="B32" s="15" t="s">
        <v>1704</v>
      </c>
    </row>
    <row r="34" customFormat="false" ht="23.25" hidden="false" customHeight="true" outlineLevel="0" collapsed="false">
      <c r="A34" s="3" t="s">
        <v>1705</v>
      </c>
      <c r="B34" s="15" t="s">
        <v>1706</v>
      </c>
    </row>
    <row r="36" customFormat="false" ht="45.75" hidden="false" customHeight="true" outlineLevel="0" collapsed="false">
      <c r="A36" s="17" t="s">
        <v>1707</v>
      </c>
      <c r="B36" s="15" t="s">
        <v>1708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1709</v>
      </c>
      <c r="B1" s="3" t="s">
        <v>1710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1711</v>
      </c>
      <c r="B2" s="4" t="s">
        <v>1712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1713</v>
      </c>
      <c r="B3" s="4" t="s">
        <v>1714</v>
      </c>
      <c r="C3" s="4"/>
      <c r="D3" s="4" t="s">
        <v>5</v>
      </c>
      <c r="E3" s="4" t="s">
        <v>55</v>
      </c>
      <c r="F3" s="4" t="s">
        <v>1715</v>
      </c>
      <c r="G3" s="4" t="s">
        <v>1716</v>
      </c>
      <c r="H3" s="4" t="s">
        <v>116</v>
      </c>
      <c r="I3" s="4" t="s">
        <v>85</v>
      </c>
      <c r="J3" s="4" t="s">
        <v>206</v>
      </c>
      <c r="K3" s="4" t="s">
        <v>14</v>
      </c>
      <c r="L3" s="4" t="s">
        <v>55</v>
      </c>
      <c r="M3" s="4" t="s">
        <v>55</v>
      </c>
      <c r="N3" s="4" t="s">
        <v>434</v>
      </c>
      <c r="O3" s="4" t="s">
        <v>1717</v>
      </c>
    </row>
    <row r="4" customFormat="false" ht="15" hidden="false" customHeight="true" outlineLevel="0" collapsed="false">
      <c r="A4" s="18" t="s">
        <v>1718</v>
      </c>
      <c r="B4" s="4" t="s">
        <v>1719</v>
      </c>
      <c r="C4" s="4"/>
      <c r="D4" s="4" t="s">
        <v>6</v>
      </c>
      <c r="E4" s="4"/>
      <c r="F4" s="4" t="s">
        <v>59</v>
      </c>
      <c r="G4" s="4" t="s">
        <v>1720</v>
      </c>
      <c r="H4" s="4" t="s">
        <v>1721</v>
      </c>
      <c r="I4" s="4" t="s">
        <v>815</v>
      </c>
      <c r="J4" s="4" t="s">
        <v>70</v>
      </c>
      <c r="K4" s="4" t="s">
        <v>15</v>
      </c>
      <c r="L4" s="4" t="s">
        <v>72</v>
      </c>
      <c r="M4" s="4" t="s">
        <v>141</v>
      </c>
      <c r="N4" s="4" t="s">
        <v>1722</v>
      </c>
      <c r="O4" s="4" t="s">
        <v>9</v>
      </c>
    </row>
    <row r="5" customFormat="false" ht="15" hidden="false" customHeight="true" outlineLevel="0" collapsed="false">
      <c r="A5" s="18" t="s">
        <v>1723</v>
      </c>
      <c r="B5" s="4" t="s">
        <v>1724</v>
      </c>
      <c r="C5" s="4"/>
      <c r="D5" s="4" t="s">
        <v>7</v>
      </c>
      <c r="E5" s="4"/>
      <c r="F5" s="4"/>
      <c r="G5" s="4" t="s">
        <v>73</v>
      </c>
      <c r="H5" s="4" t="s">
        <v>1725</v>
      </c>
      <c r="I5" s="4" t="s">
        <v>174</v>
      </c>
      <c r="J5" s="4" t="s">
        <v>87</v>
      </c>
      <c r="K5" s="4" t="s">
        <v>16</v>
      </c>
      <c r="L5" s="4"/>
      <c r="M5" s="4" t="s">
        <v>72</v>
      </c>
      <c r="N5" s="4" t="s">
        <v>90</v>
      </c>
      <c r="O5" s="4" t="s">
        <v>1726</v>
      </c>
    </row>
    <row r="6" customFormat="false" ht="15" hidden="false" customHeight="true" outlineLevel="0" collapsed="false">
      <c r="A6" s="18" t="s">
        <v>1727</v>
      </c>
      <c r="B6" s="4" t="s">
        <v>1728</v>
      </c>
      <c r="C6" s="4"/>
      <c r="D6" s="4" t="s">
        <v>8</v>
      </c>
      <c r="E6" s="4"/>
      <c r="F6" s="4"/>
      <c r="G6" s="4"/>
      <c r="H6" s="4" t="s">
        <v>1729</v>
      </c>
      <c r="I6" s="4" t="s">
        <v>139</v>
      </c>
      <c r="J6" s="4" t="s">
        <v>267</v>
      </c>
      <c r="K6" s="4"/>
      <c r="L6" s="4"/>
      <c r="M6" s="4"/>
      <c r="N6" s="4" t="s">
        <v>73</v>
      </c>
      <c r="O6" s="4"/>
    </row>
    <row r="7" customFormat="false" ht="15" hidden="false" customHeight="true" outlineLevel="0" collapsed="false">
      <c r="A7" s="18" t="s">
        <v>1730</v>
      </c>
      <c r="B7" s="4" t="s">
        <v>1731</v>
      </c>
      <c r="C7" s="4"/>
      <c r="D7" s="4" t="s">
        <v>9</v>
      </c>
      <c r="E7" s="4"/>
      <c r="F7" s="4"/>
      <c r="G7" s="4"/>
      <c r="H7" s="4"/>
      <c r="I7" s="4" t="s">
        <v>187</v>
      </c>
      <c r="J7" s="4" t="s">
        <v>231</v>
      </c>
      <c r="K7" s="4"/>
      <c r="L7" s="4"/>
      <c r="M7" s="4"/>
      <c r="N7" s="4" t="s">
        <v>736</v>
      </c>
      <c r="O7" s="4"/>
    </row>
    <row r="8" customFormat="false" ht="15" hidden="false" customHeight="true" outlineLevel="0" collapsed="false">
      <c r="A8" s="18" t="s">
        <v>1732</v>
      </c>
      <c r="B8" s="4" t="s">
        <v>1733</v>
      </c>
      <c r="C8" s="4"/>
      <c r="D8" s="4"/>
      <c r="E8" s="4"/>
      <c r="F8" s="4"/>
      <c r="G8" s="4"/>
      <c r="H8" s="4"/>
      <c r="I8" s="4" t="s">
        <v>279</v>
      </c>
      <c r="J8" s="4" t="s">
        <v>1028</v>
      </c>
      <c r="K8" s="4"/>
      <c r="L8" s="4"/>
      <c r="M8" s="4"/>
      <c r="N8" s="4"/>
      <c r="O8" s="4"/>
    </row>
    <row r="9" customFormat="false" ht="15" hidden="false" customHeight="true" outlineLevel="0" collapsed="false">
      <c r="A9" s="18" t="s">
        <v>1734</v>
      </c>
      <c r="B9" s="4" t="s">
        <v>1731</v>
      </c>
      <c r="C9" s="4"/>
      <c r="D9" s="4"/>
      <c r="E9" s="4"/>
      <c r="F9" s="4"/>
      <c r="G9" s="4"/>
      <c r="H9" s="4"/>
      <c r="I9" s="4" t="s">
        <v>254</v>
      </c>
      <c r="J9" s="4" t="s">
        <v>124</v>
      </c>
      <c r="K9" s="4"/>
      <c r="L9" s="4"/>
      <c r="M9" s="4"/>
      <c r="N9" s="4"/>
      <c r="O9" s="4"/>
    </row>
    <row r="10" customFormat="false" ht="15" hidden="false" customHeight="true" outlineLevel="0" collapsed="false">
      <c r="A10" s="18" t="s">
        <v>1735</v>
      </c>
      <c r="B10" s="4" t="s">
        <v>1736</v>
      </c>
      <c r="C10" s="4"/>
      <c r="D10" s="4"/>
      <c r="E10" s="4"/>
      <c r="F10" s="4"/>
      <c r="G10" s="4"/>
      <c r="H10" s="4"/>
      <c r="I10" s="4" t="s">
        <v>217</v>
      </c>
      <c r="J10" s="4" t="s">
        <v>395</v>
      </c>
      <c r="K10" s="4"/>
      <c r="L10" s="4"/>
      <c r="M10" s="4"/>
      <c r="N10" s="4"/>
      <c r="O10" s="4"/>
    </row>
    <row r="11" customFormat="false" ht="15" hidden="false" customHeight="true" outlineLevel="0" collapsed="false">
      <c r="A11" s="18" t="s">
        <v>1737</v>
      </c>
      <c r="B11" s="4" t="s">
        <v>1738</v>
      </c>
      <c r="C11" s="4"/>
      <c r="D11" s="4"/>
      <c r="E11" s="4"/>
      <c r="F11" s="4"/>
      <c r="G11" s="4"/>
      <c r="H11" s="4"/>
      <c r="I11" s="4"/>
      <c r="J11" s="4" t="s">
        <v>140</v>
      </c>
      <c r="K11" s="4"/>
      <c r="L11" s="4"/>
      <c r="M11" s="4"/>
      <c r="N11" s="4"/>
      <c r="O11" s="4"/>
    </row>
    <row r="12" customFormat="false" ht="15" hidden="false" customHeight="true" outlineLevel="0" collapsed="false">
      <c r="A12" s="18" t="s">
        <v>1739</v>
      </c>
      <c r="B12" s="4" t="s">
        <v>1740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1741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2026-10-31T09:40:27Z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