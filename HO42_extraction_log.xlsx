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drawings/vmlDrawing2.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Events" sheetId="2" state="visible" r:id="rId4"/>
    <sheet name="Leads" sheetId="3" state="visible" r:id="rId5"/>
    <sheet name="Legend" sheetId="4" state="visible" r:id="rId6"/>
    <sheet name="Lookups" sheetId="5" state="visible" r:id="rId7"/>
  </sheets>
  <definedNames>
    <definedName function="false" hidden="true" localSheetId="1" name="_xlnm._FilterDatabase" vbProcedure="false">Events!$A$1:$AI$73</definedName>
    <definedName function="false" hidden="true" localSheetId="2" name="_xlnm._FilterDatabase" vbProcedure="false">Leads!$A$1:$K$28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1" authorId="0">
      <text>
        <r>
          <rPr>
            <sz val="10"/>
            <rFont val="Arial"/>
            <family val="2"/>
          </rPr>
          <t xml:space="preserve">Unique, never reused. HO42-0001 etc.</t>
        </r>
      </text>
    </comment>
    <comment ref="B1" authorId="0">
      <text>
        <r>
          <rPr>
            <sz val="10"/>
            <rFont val="Arial"/>
            <family val="2"/>
          </rPr>
          <t xml:space="preserve">Groups letters about the SAME incident (e.g. all Penzance Mar-1795 letters = one episode). Count requests by episode, not by letter.</t>
        </r>
      </text>
    </comment>
    <comment ref="C1" authorId="0">
      <text>
        <r>
          <rPr>
            <sz val="10"/>
            <rFont val="Arial"/>
            <family val="2"/>
          </rPr>
          <t xml:space="preserve">Dropdown - see Legend.</t>
        </r>
      </text>
    </comment>
    <comment ref="D1" authorId="0">
      <text>
        <r>
          <rPr>
            <sz val="10"/>
            <rFont val="Arial"/>
            <family val="2"/>
          </rPr>
          <t xml:space="preserve">Y if the quote ties corps/barracks/troops explicitly to suppressing riots/insurrection.</t>
        </r>
      </text>
    </comment>
    <comment ref="G1" authorId="0">
      <text>
        <r>
          <rPr>
            <sz val="10"/>
            <rFont val="Arial"/>
            <family val="2"/>
          </rPr>
          <t xml:space="preserve">Page/image number inside the TNA PDF. TNA PDFs come from old microfilm made BEFORE re-foliation, so PDF page and folio stamp can disagree - record both.</t>
        </r>
      </text>
    </comment>
    <comment ref="H1" authorId="0">
      <text>
        <r>
          <rPr>
            <sz val="10"/>
            <rFont val="Arial"/>
            <family val="2"/>
          </rPr>
          <t xml:space="preserve">Folio number as stamped on the document.</t>
        </r>
      </text>
    </comment>
    <comment ref="I1" authorId="0">
      <text>
        <r>
          <rPr>
            <sz val="10"/>
            <rFont val="Arial"/>
            <family val="2"/>
          </rPr>
          <t xml:space="preserve">Which numbering the Folio column uses. Existing rows were logged as "stamp where visible, else PDF page" - so marked Unclear until checked.</t>
        </r>
      </text>
    </comment>
    <comment ref="J1" authorId="0">
      <text>
        <r>
          <rPr>
            <sz val="10"/>
            <rFont val="Arial"/>
            <family val="2"/>
          </rPr>
          <t xml:space="preserve">Dropbox link once uploaded.</t>
        </r>
      </text>
    </comment>
    <comment ref="K1" authorId="0">
      <text>
        <r>
          <rPr>
            <sz val="10"/>
            <rFont val="Arial"/>
            <family val="2"/>
          </rPr>
          <t xml:space="preserve">Funnel step (JV): if in doubt, scan it.</t>
        </r>
      </text>
    </comment>
    <comment ref="O1" authorId="0">
      <text>
        <r>
          <rPr>
            <sz val="10"/>
            <rFont val="Arial"/>
            <family val="2"/>
          </rPr>
          <t xml:space="preserve">YYYY-MM-DD, typed as TEXT (Excel cannot store pre-1900 dates). Use the date of the letter itself; first date if a range.</t>
        </r>
      </text>
    </comment>
    <comment ref="P1" authorId="0">
      <text>
        <r>
          <rPr>
            <sz val="10"/>
            <rFont val="Arial"/>
            <family val="2"/>
          </rPr>
          <t xml:space="preserve">Formula from Date (ISO).</t>
        </r>
      </text>
    </comment>
    <comment ref="R1" authorId="0">
      <text>
        <r>
          <rPr>
            <sz val="10"/>
            <rFont val="Arial"/>
            <family val="2"/>
          </rPr>
          <t xml:space="preserve">Town/parish name for geocoding.</t>
        </r>
      </text>
    </comment>
    <comment ref="S1" authorId="0">
      <text>
        <r>
          <rPr>
            <sz val="10"/>
            <rFont val="Arial"/>
            <family val="2"/>
          </rPr>
          <t xml:space="preserve">Historic county.</t>
        </r>
      </text>
    </comment>
    <comment ref="U1" authorId="0">
      <text>
        <r>
          <rPr>
            <sz val="10"/>
            <rFont val="Arial"/>
            <family val="2"/>
          </rPr>
          <t xml:space="preserve">Dropdown.</t>
        </r>
      </text>
    </comment>
    <comment ref="V1" authorId="0">
      <text>
        <r>
          <rPr>
            <sz val="10"/>
            <rFont val="Arial"/>
            <family val="2"/>
          </rPr>
          <t xml:space="preserve">Who the letter/request went to (Home Sec, Ld Lieutenant, local commander...). Matters for the selection question: which requests reach Whitehall at all.</t>
        </r>
      </text>
    </comment>
    <comment ref="W1" authorId="0">
      <text>
        <r>
          <rPr>
            <sz val="10"/>
            <rFont val="Arial"/>
            <family val="2"/>
          </rPr>
          <t xml:space="preserve">Formula from Date (ISO) via Lookups sheet. Context only - not necessarily the addressee.</t>
        </r>
      </text>
    </comment>
    <comment ref="X1" authorId="0">
      <text>
        <r>
          <rPr>
            <sz val="10"/>
            <rFont val="Arial"/>
            <family val="2"/>
          </rPr>
          <t xml:space="preserve">Dropdown. Requests and barracks rows.</t>
        </r>
      </text>
    </comment>
    <comment ref="Y1" authorId="0">
      <text>
        <r>
          <rPr>
            <sz val="10"/>
            <rFont val="Arial"/>
            <family val="2"/>
          </rPr>
          <t xml:space="preserve">Actual = disorder under way; Pre-emptive = threatened/anticipated; Contingent = asks what is available if needed; Report only = informs HO of action taken, no ask.</t>
        </r>
      </text>
    </comment>
    <comment ref="Z1" authorId="0">
      <text>
        <r>
          <rPr>
            <sz val="10"/>
            <rFont val="Arial"/>
            <family val="2"/>
          </rPr>
          <t xml:space="preserve">Y if the writer says constables/civil power cannot cope or are unreliable.</t>
        </r>
      </text>
    </comment>
    <comment ref="AB1" authorId="0">
      <text>
        <r>
          <rPr>
            <sz val="10"/>
            <rFont val="Arial"/>
            <family val="2"/>
          </rPr>
          <t xml:space="preserve">As stated in the letter.</t>
        </r>
      </text>
    </comment>
    <comment ref="AD1" authorId="0">
      <text>
        <r>
          <rPr>
            <sz val="10"/>
            <rFont val="Arial"/>
            <family val="2"/>
          </rPr>
          <t xml:space="preserve">Dropdown. Original free-text outcome kept in Notes.</t>
        </r>
      </text>
    </comment>
    <comment ref="AH1" authorId="0">
      <text>
        <r>
          <rPr>
            <sz val="10"/>
            <rFont val="Arial"/>
            <family val="2"/>
          </rPr>
          <t xml:space="preserve">Where the response is recorded: HO 42 docket/endorsement, HO 43 entry book, other.</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Same vocabulary as Events.</t>
        </r>
      </text>
    </comment>
    <comment ref="E1" authorId="0">
      <text>
        <r>
          <rPr>
            <sz val="10"/>
            <rFont val="Arial"/>
            <family val="2"/>
          </rPr>
          <t xml:space="preserve">Text YYYY-MM-DD; partial dates allowed (1798-05).</t>
        </r>
      </text>
    </comment>
    <comment ref="G1" authorId="0">
      <text>
        <r>
          <rPr>
            <sz val="10"/>
            <rFont val="Arial"/>
            <family val="2"/>
          </rPr>
          <t xml:space="preserve">Exactly as the secondary source gives it - not yet checked.</t>
        </r>
      </text>
    </comment>
    <comment ref="I1" authorId="0">
      <text>
        <r>
          <rPr>
            <sz val="10"/>
            <rFont val="Arial"/>
            <family val="2"/>
          </rPr>
          <t xml:space="preserve">N until someone reads the document itself.</t>
        </r>
      </text>
    </comment>
    <comment ref="J1" authorId="0">
      <text>
        <r>
          <rPr>
            <sz val="10"/>
            <rFont val="Arial"/>
            <family val="2"/>
          </rPr>
          <t xml:space="preserve">High = request for troops, England, 1790s.</t>
        </r>
      </text>
    </comment>
  </commentList>
</comments>
</file>

<file path=xl/sharedStrings.xml><?xml version="1.0" encoding="utf-8"?>
<sst xmlns="http://schemas.openxmlformats.org/spreadsheetml/2006/main" count="2351" uniqueCount="1223">
  <si>
    <t xml:space="preserve">HO 42 extraction log - summary</t>
  </si>
  <si>
    <t xml:space="preserve">Count by event type</t>
  </si>
  <si>
    <t xml:space="preserve">Event type</t>
  </si>
  <si>
    <t xml:space="preserve">Rows</t>
  </si>
  <si>
    <t xml:space="preserve">Request for troops</t>
  </si>
  <si>
    <t xml:space="preserve">Corps founded</t>
  </si>
  <si>
    <t xml:space="preserve">Corps armed/expanded</t>
  </si>
  <si>
    <t xml:space="preserve">Barracks</t>
  </si>
  <si>
    <t xml:space="preserve">Corps forming (context)</t>
  </si>
  <si>
    <t xml:space="preserve">Other</t>
  </si>
  <si>
    <t xml:space="preserve">TOTAL</t>
  </si>
  <si>
    <t xml:space="preserve">Requests for troops by kind</t>
  </si>
  <si>
    <t xml:space="preserve">Request kind</t>
  </si>
  <si>
    <t xml:space="preserve">Actual</t>
  </si>
  <si>
    <t xml:space="preserve">Pre-emptive</t>
  </si>
  <si>
    <t xml:space="preserve">Contingent</t>
  </si>
  <si>
    <t xml:space="preserve">Report only</t>
  </si>
  <si>
    <t xml:space="preserve">By year</t>
  </si>
  <si>
    <t xml:space="preserve">Year</t>
  </si>
  <si>
    <t xml:space="preserve">Distinct episodes (all rows)</t>
  </si>
  <si>
    <t xml:space="preserve">Rows still to check (Folio basis = Unclear)</t>
  </si>
  <si>
    <t xml:space="preserve">Row ID</t>
  </si>
  <si>
    <t xml:space="preserve">Episode ID</t>
  </si>
  <si>
    <t xml:space="preserve">Key quote?</t>
  </si>
  <si>
    <t xml:space="preserve">Call number</t>
  </si>
  <si>
    <t xml:space="preserve">File</t>
  </si>
  <si>
    <t xml:space="preserve">PDF page no.</t>
  </si>
  <si>
    <t xml:space="preserve">Folio</t>
  </si>
  <si>
    <t xml:space="preserve">Folio basis</t>
  </si>
  <si>
    <t xml:space="preserve">Link to PDF/Photos</t>
  </si>
  <si>
    <t xml:space="preserve">Image status</t>
  </si>
  <si>
    <t xml:space="preserve">Transcription status</t>
  </si>
  <si>
    <t xml:space="preserve">Transcribed text (key quote)</t>
  </si>
  <si>
    <t xml:space="preserve">Date (as written)</t>
  </si>
  <si>
    <t xml:space="preserve">Date (ISO)</t>
  </si>
  <si>
    <t xml:space="preserve">Location (as written)</t>
  </si>
  <si>
    <t xml:space="preserve">Place (normalised)</t>
  </si>
  <si>
    <t xml:space="preserve">County</t>
  </si>
  <si>
    <t xml:space="preserve">Writer</t>
  </si>
  <si>
    <t xml:space="preserve">Writer role</t>
  </si>
  <si>
    <t xml:space="preserve">Addressed to</t>
  </si>
  <si>
    <t xml:space="preserve">Home Secretary in office</t>
  </si>
  <si>
    <t xml:space="preserve">Disturbance type</t>
  </si>
  <si>
    <t xml:space="preserve">Civil power inadequate?</t>
  </si>
  <si>
    <t xml:space="preserve">Force requested (type &amp; size)</t>
  </si>
  <si>
    <t xml:space="preserve">Military already nearby?</t>
  </si>
  <si>
    <t xml:space="preserve">Response text (if given)</t>
  </si>
  <si>
    <t xml:space="preserve">Outcome</t>
  </si>
  <si>
    <t xml:space="preserve">Response date</t>
  </si>
  <si>
    <t xml:space="preserve">Response location</t>
  </si>
  <si>
    <t xml:space="preserve">Response writer</t>
  </si>
  <si>
    <t xml:space="preserve">Response source</t>
  </si>
  <si>
    <t xml:space="preserve">Notes / flag</t>
  </si>
  <si>
    <t xml:space="preserve">HO42-0001</t>
  </si>
  <si>
    <t xml:space="preserve">E01</t>
  </si>
  <si>
    <t xml:space="preserve">N</t>
  </si>
  <si>
    <t xml:space="preserve">HO 42/16</t>
  </si>
  <si>
    <t xml:space="preserve">HO-42-16_01.pdf</t>
  </si>
  <si>
    <t xml:space="preserve">ff.58, 60, 61</t>
  </si>
  <si>
    <t xml:space="preserve">Unclear - check</t>
  </si>
  <si>
    <t xml:space="preserve">Digitised (TNA PDF)</t>
  </si>
  <si>
    <t xml:space="preserve">Key quote only</t>
  </si>
  <si>
    <t xml:space="preserve">"...should arise any Necessity for the Interference of the Military, it would be expedient for me to know the nearest Place to this Spot where Troops are now station'd... from the War Office, with the Name of the commanding Officer."</t>
  </si>
  <si>
    <t xml:space="preserve">17 Mar 1790</t>
  </si>
  <si>
    <t xml:space="preserve">1790-03-17</t>
  </si>
  <si>
    <t xml:space="preserve">Keynsham (nr Bristol)</t>
  </si>
  <si>
    <t xml:space="preserve">Keynsham</t>
  </si>
  <si>
    <t xml:space="preserve">Somerset</t>
  </si>
  <si>
    <t xml:space="preserve">Thomas Ireland, magistrate</t>
  </si>
  <si>
    <t xml:space="preserve">Magistrate / JP</t>
  </si>
  <si>
    <t xml:space="preserve">Anti-machinery</t>
  </si>
  <si>
    <t xml:space="preserve">None yet - asks location of nearest troops + CO name</t>
  </si>
  <si>
    <t xml:space="preserve">Unclear</t>
  </si>
  <si>
    <t xml:space="preserve">Not needed</t>
  </si>
  <si>
    <t xml:space="preserve">Anti-machinery/colliers riot vs newly introduced woollen manufactory machines; contingent request for nearest garrison; Ireland preferred civil power. | Outcome (orig.): Not called (dispersed by Riot Act)</t>
  </si>
  <si>
    <t xml:space="preserve">HO42-0002</t>
  </si>
  <si>
    <t xml:space="preserve">E02</t>
  </si>
  <si>
    <t xml:space="preserve">HO-42-16_05.pdf</t>
  </si>
  <si>
    <t xml:space="preserve">ff.317-319</t>
  </si>
  <si>
    <t xml:space="preserve">"...we cannot depend or expect much support from our Constables... to request such support for our Persons &amp; property as the nature of the case requires." / Mulgrave: "the object... is to have some military force quartered in the Town at the time of the Election."</t>
  </si>
  <si>
    <t xml:space="preserve">1 Sep 1790 (fwd 6 Sep)</t>
  </si>
  <si>
    <t xml:space="preserve">1790-09-01</t>
  </si>
  <si>
    <t xml:space="preserve">Scarborough</t>
  </si>
  <si>
    <t xml:space="preserve">Yorkshire (N. Riding)</t>
  </si>
  <si>
    <t xml:space="preserve">Jno Harrison &amp; Jno Woodall, bailiffs; fwd by Henry Phipps (Ld Mulgrave)</t>
  </si>
  <si>
    <t xml:space="preserve">Mayor / corporation</t>
  </si>
  <si>
    <t xml:space="preserve">Ld Mulgrave, fwd to Grenville</t>
  </si>
  <si>
    <t xml:space="preserve">Election</t>
  </si>
  <si>
    <t xml:space="preserve">Y</t>
  </si>
  <si>
    <t xml:space="preserve">Military force quartered in town during election</t>
  </si>
  <si>
    <t xml:space="preserve">Forwarded</t>
  </si>
  <si>
    <t xml:space="preserve">Corporation vs freemen threatening to seize control by force at the election; constables unreliable. | Outcome (orig.): Forwarded to Grenville; outcome not in file</t>
  </si>
  <si>
    <t xml:space="preserve">HO42-0003</t>
  </si>
  <si>
    <t xml:space="preserve">E03</t>
  </si>
  <si>
    <t xml:space="preserve">HO 42/34</t>
  </si>
  <si>
    <t xml:space="preserve">HO-42-34_01.pdf</t>
  </si>
  <si>
    <t xml:space="preserve">ff.55-56</t>
  </si>
  <si>
    <t xml:space="preserve">"...pull down the mill &amp; destroy the corn &amp; flour therein, situated in the parish of Lamberhurst, belonging to Messrs Webb &amp; Fowle..."</t>
  </si>
  <si>
    <t xml:space="preserve">23 Jan 1795</t>
  </si>
  <si>
    <t xml:space="preserve">1795-01-23</t>
  </si>
  <si>
    <t xml:space="preserve">Lamberhurst</t>
  </si>
  <si>
    <t xml:space="preserve">Kent</t>
  </si>
  <si>
    <t xml:space="preserve">Charles Jaques, magistrate (for Fowle, mill-owner)</t>
  </si>
  <si>
    <t xml:space="preserve">Food / provisions</t>
  </si>
  <si>
    <t xml:space="preserve">Not specified</t>
  </si>
  <si>
    <t xml:space="preserve">Docket: "Copy of this sent to Ld Amherst Jany 24 with his Grace's opinion that a small number of troops shd be ordered to Lamberhurst to aid the magistrates if necessary."</t>
  </si>
  <si>
    <t xml:space="preserve">Approved</t>
  </si>
  <si>
    <t xml:space="preserve">24 Jan 1795</t>
  </si>
  <si>
    <t xml:space="preserve">Whitehall</t>
  </si>
  <si>
    <t xml:space="preserve">Portland -&gt; Amherst</t>
  </si>
  <si>
    <t xml:space="preserve">HO 42 docket</t>
  </si>
  <si>
    <t xml:space="preserve">Flour-mill riot; GRANTED (small number of troops ordered). Clean request+response pair. | Outcome (orig.): Approved</t>
  </si>
  <si>
    <t xml:space="preserve">HO42-0004</t>
  </si>
  <si>
    <t xml:space="preserve">E04</t>
  </si>
  <si>
    <t xml:space="preserve">HO-42-34_02.pdf</t>
  </si>
  <si>
    <t xml:space="preserve">ff.117-118, 122-123</t>
  </si>
  <si>
    <t xml:space="preserve">Key quote; full text held</t>
  </si>
  <si>
    <t xml:space="preserve">"...expedient to augment the domestic Force of this Country, as well to resist any hostile Attempts... as to suppress any Insurrections... the Object of their arming is, to aid the civil Magistracy."</t>
  </si>
  <si>
    <t xml:space="preserve">28 Jan 1795 (fwd 21 &amp; 26 Feb)</t>
  </si>
  <si>
    <t xml:space="preserve">1795-01-28</t>
  </si>
  <si>
    <t xml:space="preserve">Newcastle upon Tyne</t>
  </si>
  <si>
    <t xml:space="preserve">Northumberland</t>
  </si>
  <si>
    <t xml:space="preserve">Mayor Francis Johnson; fwd Duke of Northumberland (Ld Lieut)</t>
  </si>
  <si>
    <t xml:space="preserve">Duke of Northumberland (Ld Lieut), fwd to HO</t>
  </si>
  <si>
    <t xml:space="preserve">Preventive / general</t>
  </si>
  <si>
    <t xml:space="preserve">His Majesty accepted the offer to form a Volunteer Corps of Infantry for the internal defence of the town; Northumberland protests the loose, self-governing terms.</t>
  </si>
  <si>
    <t xml:space="preserve">26 Feb 1795</t>
  </si>
  <si>
    <t xml:space="preserve">King via Portland</t>
  </si>
  <si>
    <t xml:space="preserve">KEY QUOTE. Volunteer infantry corps; full text held. Lord-Lieutenant ambivalence on record. | Outcome (orig.): Approved</t>
  </si>
  <si>
    <t xml:space="preserve">HO42-0005</t>
  </si>
  <si>
    <t xml:space="preserve">E05</t>
  </si>
  <si>
    <t xml:space="preserve">HO-42-34_03.pdf</t>
  </si>
  <si>
    <t xml:space="preserve">ff.186-188</t>
  </si>
  <si>
    <t xml:space="preserve">"...I request the favor of Government arming me with forty stand of Small Arms with necessary Accoutrements... &amp; a couple of barrels of ball Cartridges... I cannot but again repeat my former application for a couple of field pieces to be attached to this Company..."</t>
  </si>
  <si>
    <t xml:space="preserve">11 Mar 1795</t>
  </si>
  <si>
    <t xml:space="preserve">1795-03-11</t>
  </si>
  <si>
    <t xml:space="preserve">Penzance</t>
  </si>
  <si>
    <t xml:space="preserve">Cornwall</t>
  </si>
  <si>
    <t xml:space="preserve">Capt Tremenheere, Penzance Volunteer Company</t>
  </si>
  <si>
    <t xml:space="preserve">Volunteer / militia officer</t>
  </si>
  <si>
    <t xml:space="preserve">Other / unclear</t>
  </si>
  <si>
    <t xml:space="preserve">Volunteers only</t>
  </si>
  <si>
    <t xml:space="preserve">Miners' rising dispersed by bayonet/Riot Act; corps deployed with improvised cannon; 20-30 enrolling as 'Penzance Artillery Men'. | CHECK: Disturbance type: 1795 Cornish miners' risings were largely over grain prices - confirm from letters and recode.</t>
  </si>
  <si>
    <t xml:space="preserve">HO42-0006</t>
  </si>
  <si>
    <t xml:space="preserve">ff.199-200</t>
  </si>
  <si>
    <t xml:space="preserve">"There being no other Military force at this place but the Volunteer Company, I have thought proper to keep them in constant readiness, which produces an Expence which there is no fund to supply. I therefore request your Grace's directions herein."</t>
  </si>
  <si>
    <t xml:space="preserve">14 Mar 1795</t>
  </si>
  <si>
    <t xml:space="preserve">1795-03-14</t>
  </si>
  <si>
    <t xml:space="preserve">Capt Tremenheere</t>
  </si>
  <si>
    <t xml:space="preserve">Funding/authority request tied to keeping the corps mobilised.</t>
  </si>
  <si>
    <t xml:space="preserve">HO42-0007</t>
  </si>
  <si>
    <t xml:space="preserve">f.201</t>
  </si>
  <si>
    <t xml:space="preserve">"...humbly beg leave to support the application made to Government by Captain Tremenheere for two field pieces to be attached to his Company."</t>
  </si>
  <si>
    <t xml:space="preserve">Mayor &amp; Justices of Penzance (Board, Batten)</t>
  </si>
  <si>
    <t xml:space="preserve">Corporation endorsement of the arms request.</t>
  </si>
  <si>
    <t xml:space="preserve">HO42-0008</t>
  </si>
  <si>
    <t xml:space="preserve">f.210</t>
  </si>
  <si>
    <t xml:space="preserve">"...induce us to request Your Lordship to order such regular forces or Militia as may be thought necessary to be sent into this Neighbourhood as speedily as possible in support of the Civil power and in Aid of the Volunteer Companies." PS: "Two companies may with ease be accommodated..."</t>
  </si>
  <si>
    <t xml:space="preserve">16 Mar 1795</t>
  </si>
  <si>
    <t xml:space="preserve">1795-03-16</t>
  </si>
  <si>
    <t xml:space="preserve">Penzance, Cornwall</t>
  </si>
  <si>
    <t xml:space="preserve">Wm Borlase, John Price, Thos Pascoe, Richd Hichens (JPs) + Collector of Customs</t>
  </si>
  <si>
    <t xml:space="preserve">Regular forces or militia; "two companies may with ease be accommodated"</t>
  </si>
  <si>
    <t xml:space="preserve">Formal county-JP request for regulars/militia after Volunteer Companies alone proved insufficient.</t>
  </si>
  <si>
    <t xml:space="preserve">HO42-0009</t>
  </si>
  <si>
    <t xml:space="preserve">E06</t>
  </si>
  <si>
    <t xml:space="preserve">ff.9-10</t>
  </si>
  <si>
    <t xml:space="preserve">Offer to raise two additional troops (100 men) for his Fencible Regiment; notes Government had declined the expense of purchasing horses.</t>
  </si>
  <si>
    <t xml:space="preserve">4 Jan 1795</t>
  </si>
  <si>
    <t xml:space="preserve">1795-01-04</t>
  </si>
  <si>
    <t xml:space="preserve">Exeter (Heavitree Barracks)</t>
  </si>
  <si>
    <t xml:space="preserve">Exeter</t>
  </si>
  <si>
    <t xml:space="preserve">Devon</t>
  </si>
  <si>
    <t xml:space="preserve">Montagu Burgoyne</t>
  </si>
  <si>
    <t xml:space="preserve">Military officer</t>
  </si>
  <si>
    <t xml:space="preserve">Officer's offer to expand a fencible corps; fiscal-military bargaining over horse cost.</t>
  </si>
  <si>
    <t xml:space="preserve">HO42-0010</t>
  </si>
  <si>
    <t xml:space="preserve">E07</t>
  </si>
  <si>
    <t xml:space="preserve">HO 42/30</t>
  </si>
  <si>
    <t xml:space="preserve">HO-42-30_01.pdf</t>
  </si>
  <si>
    <t xml:space="preserve">ff.21-24</t>
  </si>
  <si>
    <t xml:space="preserve">"...do without Delay quit the Field of Argument for that of Arms... forming themselves into a Military Association... be formed into Companies of Infantry, but to offer the Service of as many Cavalry as can be mustered... to repel external Violence, suppress internal Commotions..."</t>
  </si>
  <si>
    <t xml:space="preserve">6 May 1794 (res. 24 Mar &amp; 19 Apr)</t>
  </si>
  <si>
    <t xml:space="preserve">1794-05-06</t>
  </si>
  <si>
    <t xml:space="preserve">Birmingham</t>
  </si>
  <si>
    <t xml:space="preserve">Warwickshire</t>
  </si>
  <si>
    <t xml:space="preserve">John Brooke / J. Morfitt (Loyal True Blues)</t>
  </si>
  <si>
    <t xml:space="preserve">Loyalist association</t>
  </si>
  <si>
    <t xml:space="preserve">KEY QUOTE. Loyalist association militarising into infantry+cavalry; ~50-100 enrolled; full text held.</t>
  </si>
  <si>
    <t xml:space="preserve">HO42-0011</t>
  </si>
  <si>
    <t xml:space="preserve">E08</t>
  </si>
  <si>
    <t xml:space="preserve">ff.52-53</t>
  </si>
  <si>
    <t xml:space="preserve">"...do hereby engage to form ourselves into a military Corps, under the Sanction of Government, to be called the Independent Sheffield Volunteers... in preventing or suppressing all riotous, disorderly &amp; unlawful meetings or assemblies."</t>
  </si>
  <si>
    <t xml:space="preserve">1 May 1794 (fwd 12 May)</t>
  </si>
  <si>
    <t xml:space="preserve">1794-05-01</t>
  </si>
  <si>
    <t xml:space="preserve">Sheffield</t>
  </si>
  <si>
    <t xml:space="preserve">Yorkshire (W. Riding)</t>
  </si>
  <si>
    <t xml:space="preserve">J. Russell, Dronfield</t>
  </si>
  <si>
    <t xml:space="preserve">KEY QUOTE. Corps raised in a radical town; 100+ signatures; engagement text held.</t>
  </si>
  <si>
    <t xml:space="preserve">HO42-0012</t>
  </si>
  <si>
    <t xml:space="preserve">E09</t>
  </si>
  <si>
    <t xml:space="preserve">ff.62-63</t>
  </si>
  <si>
    <t xml:space="preserve">"...particularly in case of Riots and Disturbances among the Pitmen and others employed in the Coalworks... the peace... most effectually preserved by the appearance of Cavalry on the Spot ready to assist the civil Power."</t>
  </si>
  <si>
    <t xml:space="preserve">12 May 1794</t>
  </si>
  <si>
    <t xml:space="preserve">1794-05-12</t>
  </si>
  <si>
    <t xml:space="preserve">Mayor Wm Yielder &amp; corporation</t>
  </si>
  <si>
    <t xml:space="preserve">Labour / industrial</t>
  </si>
  <si>
    <t xml:space="preserve">Cavalry barracks</t>
  </si>
  <si>
    <t xml:space="preserve">Request to build cavalry barracks, explicitly riot-driven (pitmen).</t>
  </si>
  <si>
    <t xml:space="preserve">HO42-0013</t>
  </si>
  <si>
    <t xml:space="preserve">E10</t>
  </si>
  <si>
    <t xml:space="preserve">ff.16-17</t>
  </si>
  <si>
    <t xml:space="preserve">Objection to the siting of proposed barracks at Wells ('a mere Village, free from seditious Societies').</t>
  </si>
  <si>
    <t xml:space="preserve">5 May 1794</t>
  </si>
  <si>
    <t xml:space="preserve">1794-05-05</t>
  </si>
  <si>
    <t xml:space="preserve">Wells</t>
  </si>
  <si>
    <t xml:space="preserve">Mr Tudway</t>
  </si>
  <si>
    <t xml:space="preserve">Private individual</t>
  </si>
  <si>
    <t xml:space="preserve">Marginal - about siting, not raising. Included for completeness. | CHECK: Barracks row is an OBJECTION to siting, not a request - consider separate event type.</t>
  </si>
  <si>
    <t xml:space="preserve">HO42-0014</t>
  </si>
  <si>
    <t xml:space="preserve">E11</t>
  </si>
  <si>
    <t xml:space="preserve">HO 42/33</t>
  </si>
  <si>
    <t xml:space="preserve">HO-42-33_01.pdf</t>
  </si>
  <si>
    <t xml:space="preserve">~f.43-44 (also narr. ff.220-225 in _03)</t>
  </si>
  <si>
    <t xml:space="preserve">"...finding the impossibility of quelling a further riot with the civil power only... I am therefore going to send to the Tower for 100 of His Majesty's Guards, and... I shall stand in Need of further military Aid at Night." (also asked Light Horse Volunteers &amp; HAC)</t>
  </si>
  <si>
    <t xml:space="preserve">20-22 Aug 1794</t>
  </si>
  <si>
    <t xml:space="preserve">1794-08-20</t>
  </si>
  <si>
    <t xml:space="preserve">London</t>
  </si>
  <si>
    <t xml:space="preserve">Middlesex / City</t>
  </si>
  <si>
    <t xml:space="preserve">Lord Mayor (Paul Le Mesurier)</t>
  </si>
  <si>
    <t xml:space="preserve">Tower (Guards); HAC; Light Horse Volunteers</t>
  </si>
  <si>
    <t xml:space="preserve">Recruitment / crimping</t>
  </si>
  <si>
    <t xml:space="preserve">100 Guards from Tower + Light Horse Volunteers &amp; HAC</t>
  </si>
  <si>
    <t xml:space="preserve">London 'crimp' riots; civil magistrate requesting Guards + volunteer corps. Core request; full transcription pending. | Follow-up in HO 42/33 ff.236-237 (23 Aug 1794): Lord Mayor stands down the Guards but asks the Deputy Governor of the Tower to keep "a strong Picquet of at least Sixty Men ready to come to me on the shortest Notice"; LHV 12-15 men on duty nightly, ~50 Artillery Co.; "if the Rioters should begin again I shall immediately send to the Tower for the Guards". Also ff.240-1 Colquhoun: nearly 500 special constables, LHV &amp; Hackney Association marched to Finsbury Square.</t>
  </si>
  <si>
    <t xml:space="preserve">HO42-0015</t>
  </si>
  <si>
    <t xml:space="preserve">HO-42-33_03.pdf</t>
  </si>
  <si>
    <t xml:space="preserve">ff.160, 162-163</t>
  </si>
  <si>
    <t xml:space="preserve">"the Armed Associations which are forming in this quarter of the Metropolis cannot be ready to act for a considerable length of time..." / "none of the Military associations which have been forming in Hackney and the Town Hamlets are yet in a situation to act."</t>
  </si>
  <si>
    <t xml:space="preserve">21 Aug 1794</t>
  </si>
  <si>
    <t xml:space="preserve">1794-08-21</t>
  </si>
  <si>
    <t xml:space="preserve">London (Hackney, Tower Hamlets)</t>
  </si>
  <si>
    <t xml:space="preserve">Middlesex</t>
  </si>
  <si>
    <t xml:space="preserve">Patrick Colquhoun, Worship Street</t>
  </si>
  <si>
    <t xml:space="preserve">Evidence of armed associations being raised across metropolitan parishes (context, not a discrete offer).</t>
  </si>
  <si>
    <t xml:space="preserve">HO42-0016</t>
  </si>
  <si>
    <t xml:space="preserve">E12</t>
  </si>
  <si>
    <t xml:space="preserve">HO-42-30_04.pdf</t>
  </si>
  <si>
    <t xml:space="preserve">ff.270-271</t>
  </si>
  <si>
    <t xml:space="preserve">"His Majesty having been pleased to approve of the Steps taken in the Isle of Wight to augment by voluntary subscription the internal force of it, and particularly by an increase of the Militia... to apply for two Field Pieces of Cannon to be attached to this Corps. It is proposed that the embodied Company of the Militia shd be trained to the use of the Guns..."</t>
  </si>
  <si>
    <t xml:space="preserve">24 May 1794</t>
  </si>
  <si>
    <t xml:space="preserve">1794-05-24</t>
  </si>
  <si>
    <t xml:space="preserve">Isle of Wight</t>
  </si>
  <si>
    <t xml:space="preserve">Hampshire</t>
  </si>
  <si>
    <t xml:space="preserve">Thomas Orde (Governor of the Isle of Wight)</t>
  </si>
  <si>
    <t xml:space="preserve">Other official</t>
  </si>
  <si>
    <t xml:space="preserve">Militia augmentation already approved by the King; the field-pieces request's outcome not in this file.</t>
  </si>
  <si>
    <t xml:space="preserve">Militia increase by voluntary subscription + request for 2 field pieces; internal-defence framed. Key-quote adjacent (militia augmentation). | Outcome (orig.): (augmentation approved) | CHECK: Key-quote adjacent (militia augmentation).</t>
  </si>
  <si>
    <t xml:space="preserve">HO42-0017</t>
  </si>
  <si>
    <t xml:space="preserve">E13</t>
  </si>
  <si>
    <t xml:space="preserve">HO-42-33_05.pdf</t>
  </si>
  <si>
    <t xml:space="preserve">f.377</t>
  </si>
  <si>
    <t xml:space="preserve">"This Morning I gave orders for Two hundred extra Constables, &amp; I have also wrote to the Artillery Company &amp; to the Light Horse Volunteers who are and have been in readiness for several hours to co-operate with the Civil Power should occasion require. I have reason to believe the Peace of the City will be preserved."</t>
  </si>
  <si>
    <t xml:space="preserve">22 Nov 1794</t>
  </si>
  <si>
    <t xml:space="preserve">1794-11-22</t>
  </si>
  <si>
    <t xml:space="preserve">London (Sessions House, Old Bailey)</t>
  </si>
  <si>
    <t xml:space="preserve">City of London</t>
  </si>
  <si>
    <t xml:space="preserve">Lord Mayor of London (Thomas Skinner)</t>
  </si>
  <si>
    <t xml:space="preserve">Radical / political</t>
  </si>
  <si>
    <t xml:space="preserve">Artillery Co. &amp; Light Horse Volunteers on standby; 200 extra constables</t>
  </si>
  <si>
    <t xml:space="preserve">During the Treason Trials (Hardy/Tooke). Civil request to the volunteer corps + 200 extra constables; distinct occasion from the Aug 1794 crimp-riot request. | CHECK: Reclassify? This is a report to HO of local precautions, not a request to government.</t>
  </si>
  <si>
    <t xml:space="preserve">HO42-0018</t>
  </si>
  <si>
    <t xml:space="preserve">E14</t>
  </si>
  <si>
    <t xml:space="preserve">30-33</t>
  </si>
  <si>
    <t xml:space="preserve">ff.225, 227</t>
  </si>
  <si>
    <t xml:space="preserve">Folio stamp</t>
  </si>
  <si>
    <t xml:space="preserve">Shuckburgh-Evelyn: "W. Legge of Grosvenor Square called upon me yesterday, expressing much apprehension for himself &amp; neighbours at the unprotected state of the Town of Birmingham by the withdrawing the Cavalry from thence at the present period". Enclosed, Dr Spencer (magistrate): "I hope &amp; trust we shall not be left without one Troop."</t>
  </si>
  <si>
    <t xml:space="preserve">23 May 1794</t>
  </si>
  <si>
    <t xml:space="preserve">1794-05-23</t>
  </si>
  <si>
    <t xml:space="preserve">G. Shuckburgh-Evelyn (fwd W. Legge; encl. Dr B. Spencer, magistrate)</t>
  </si>
  <si>
    <t xml:space="preserve">MP / peer</t>
  </si>
  <si>
    <t xml:space="preserve">Home Office (Nepean?)</t>
  </si>
  <si>
    <t xml:space="preserve">Retain at least one troop of cavalry in the town</t>
  </si>
  <si>
    <t xml:space="preserve">Request to keep cavalry from being withdrawn (regiment under orders for foreign service). Distinct episode from the Loyal True Blues corps (E07). Docket 23 May 1794 "Dom". Addressee inferred - check.</t>
  </si>
  <si>
    <t xml:space="preserve">HO42-0019</t>
  </si>
  <si>
    <t xml:space="preserve">E15</t>
  </si>
  <si>
    <t xml:space="preserve">HO-42-30_05.pdf</t>
  </si>
  <si>
    <t xml:space="preserve">64-65</t>
  </si>
  <si>
    <t xml:space="preserve">ff.333-334</t>
  </si>
  <si>
    <t xml:space="preserve">"...Inclosing to you an account of the late proceedings here, for our internal Defence; not only against our foreign, but, our more to be dreaded, domestic Enemies."</t>
  </si>
  <si>
    <t xml:space="preserve">31 May 1794</t>
  </si>
  <si>
    <t xml:space="preserve">1794-05-31</t>
  </si>
  <si>
    <t xml:space="preserve">Doncaster</t>
  </si>
  <si>
    <t xml:space="preserve">Edward Miller</t>
  </si>
  <si>
    <t xml:space="preserve">Unnamed official (knew his brother &amp; nieces)</t>
  </si>
  <si>
    <t xml:space="preserve">KEY QUOTE. Enclosure (account of Doncaster meeting for internal defence) not in this file - check whether a corps or subscription was actually formed; event type provisional. Writer also says his son at Sheffield was "equally alert".</t>
  </si>
  <si>
    <t xml:space="preserve">HO42-0020</t>
  </si>
  <si>
    <t xml:space="preserve">E16</t>
  </si>
  <si>
    <t xml:space="preserve">76-77</t>
  </si>
  <si>
    <t xml:space="preserve">ff.369-370</t>
  </si>
  <si>
    <t xml:space="preserve">"Having received this day information that illegal meetings have been held in the town of Kenninghall in this county under a pretence of lowering the price of provisions, and that they have provided to stop waggons and carts loaded with corn, and meal, and have likewise assembled about the bakers shops to seize the bread ... and that they mean to assemble on Monday next at Kenninghall in great numbers - I must request your Grace to order a troop of Horse to be sent immediately to the towns of Harling and Kenninghall to be ready to assist the civil power if necessary." PS: "If the horse are immediately ordered from Norwich they can be at Harling and Kenninghall on Saturday or Sunday."</t>
  </si>
  <si>
    <t xml:space="preserve">4 Dec 1794</t>
  </si>
  <si>
    <t xml:space="preserve">1794-12-04</t>
  </si>
  <si>
    <t xml:space="preserve">Shadwell Lodge near Thetford (re Kenninghall &amp; Harling)</t>
  </si>
  <si>
    <t xml:space="preserve">Kenninghall</t>
  </si>
  <si>
    <t xml:space="preserve">Norfolk</t>
  </si>
  <si>
    <t xml:space="preserve">Robert John Buxton</t>
  </si>
  <si>
    <t xml:space="preserve">Duke of Portland ("My Lord ... your Grace")</t>
  </si>
  <si>
    <t xml:space="preserve">One troop of Horse, from Norwich, to Harling and Kenninghall</t>
  </si>
  <si>
    <t xml:space="preserve">Textbook request: food-price assemblies, communication between parishes, troop requested ahead of announced meeting. Writer also calls a general meeting of the principal people of the hundreds at Harling to redress grievances and for "defence of our properties, and the support of the civil power" (possible association - watch for follow-up). Buxton was, I believe, MP for Thetford - verify capacity (MP vs JP). Look for reply in HO 43/6 (Oct 1794-Jul 1795) c. 5-6 Dec 1794.</t>
  </si>
  <si>
    <t xml:space="preserve">HO42-0021</t>
  </si>
  <si>
    <t xml:space="preserve">E17</t>
  </si>
  <si>
    <t xml:space="preserve">HO 42/19</t>
  </si>
  <si>
    <t xml:space="preserve">HO-42-19_02.pdf</t>
  </si>
  <si>
    <t xml:space="preserve">31-32, 34</t>
  </si>
  <si>
    <t xml:space="preserve">ff.110-111, 112-113</t>
  </si>
  <si>
    <t xml:space="preserve">Under-Sheriff John Brooke, 16 Jul 1791, 7pm: "the attempts which the Magistrates, myself and a numerous party made... proved totally ineffectual. Several Men have lost their lives... nor is there the least gleam of hope that good order can be restored without the aid of a considerable Military Force. Many more Houses are devoted &amp; can only be saved by an early arrival of Troops." Dundas reply to magistrates J. Carles &amp; R. Spencer, 16 Jul (f.112): "I had this morning the honor of receiving your letter of yesterday's date, giving an account of the Riot... I have dispatched a Messenger to Nottingham with directions to the Officer commanding the 15th Dragoons... to send three Troops of that Regiment instantly to Birmingham, to assist the Civil Magistrate".</t>
  </si>
  <si>
    <t xml:space="preserve">15-16 Jul 1791</t>
  </si>
  <si>
    <t xml:space="preserve">1791-07-15</t>
  </si>
  <si>
    <t xml:space="preserve">Magistrates J. Carles &amp; R. Spencer (letter of 15 Jul, original not seen); John Brooke, Under-Sheriff of Warwickshire (16 Jul)</t>
  </si>
  <si>
    <t xml:space="preserve">Henry Dundas, Home Secretary</t>
  </si>
  <si>
    <t xml:space="preserve">"a considerable Military Force"</t>
  </si>
  <si>
    <t xml:space="preserve">Dundas, 16 Jul: 3 troops of 15th Dragoons from Nottingham sent "instantly"; 17 Jul: 3 troops 11th Dragoons from Uxbridge also ordered (f.119), all available force to be collected (f.115 to Lt-Col Churchill).</t>
  </si>
  <si>
    <t xml:space="preserve">1791-07-16</t>
  </si>
  <si>
    <t xml:space="preserve">Henry Dundas</t>
  </si>
  <si>
    <t xml:space="preserve">Priestley ("Church and King") riots, 14-17 Jul 1791. Magistrates' original request of 15 Jul is referred to but not located in 19_01/19_02 - CHECK 19_03. Response source: Home Office draft/copy filed in HO 42. Troop orders 16-23 Jul tabulated at HO 42/19_01 f.70. Also Sam. Garbett to Hawkesbury 16-17 Jul (ff.109, 126): magistrates left town, "the horrible Scene of Plunder continues &amp; no doubt will continue untill Troops arrive."</t>
  </si>
  <si>
    <t xml:space="preserve">HO42-0022</t>
  </si>
  <si>
    <t xml:space="preserve">60</t>
  </si>
  <si>
    <t xml:space="preserve">f.136</t>
  </si>
  <si>
    <t xml:space="preserve">"Since sealing the inclosed we think necessary earnestly to intreat a further aid without delay fearing the three Troops may suffer if they come... and we are obliged to require their immediate entrance tho' yet hope they may not be wanted. 20 minutes past 2 o'Clock Sunday Afternoon."</t>
  </si>
  <si>
    <t xml:space="preserve">Sunday [17 Jul 1791]</t>
  </si>
  <si>
    <t xml:space="preserve">1791-07-17</t>
  </si>
  <si>
    <t xml:space="preserve">Birmingham magistrates (unsigned postscript)</t>
  </si>
  <si>
    <t xml:space="preserve">Home Office (inferred)</t>
  </si>
  <si>
    <t xml:space="preserve">Further aid beyond the three troops</t>
  </si>
  <si>
    <t xml:space="preserve">Follow-up request in same episode. CHECK: writers and addressee inferred (enclosure separated).</t>
  </si>
  <si>
    <t xml:space="preserve">HO42-0023</t>
  </si>
  <si>
    <t xml:space="preserve">E18</t>
  </si>
  <si>
    <t xml:space="preserve">53, 80-81, 83-84, 86</t>
  </si>
  <si>
    <t xml:space="preserve">ff.131, 154-155, 157-158, 165</t>
  </si>
  <si>
    <t xml:space="preserve">Coventry, 17 Jul 1791 (Town Clerk for Mayor &amp; Justices): "without the aid of military exertions, it is not likely to abate... with little encouragement, numbers may soon be found in Coventry, to engage in similar Outrages". Forwarded by Eardley &amp; John Wilmot (MPs), Bedford Row 18 Jul: Mayor &amp; Justices "desire we will without Delay, apply to you for a Regiment to be quartered there, in order to discourage &amp; suppress all Disposition to disturb the Peace of the City."</t>
  </si>
  <si>
    <t xml:space="preserve">17-18 Jul 1791</t>
  </si>
  <si>
    <t xml:space="preserve">Coventry</t>
  </si>
  <si>
    <t xml:space="preserve">Mayor &amp; Justices of Coventry (via Town Clerk); fwd by Eardley &amp; John Wilmot</t>
  </si>
  <si>
    <t xml:space="preserve">Henry Dundas (via the city's MPs)</t>
  </si>
  <si>
    <t xml:space="preserve">A regiment quartered in the city</t>
  </si>
  <si>
    <t xml:space="preserve">Nepean to Wilmot, 18 Jul (f.155): troops on their march towards Birmingham "will stop at Coventry to assist the Civil Magistrates in quelling any Disturbances that may arise."</t>
  </si>
  <si>
    <t xml:space="preserve">1791-07-18</t>
  </si>
  <si>
    <t xml:space="preserve">Evan Nepean</t>
  </si>
  <si>
    <t xml:space="preserve">Spillover fear from Priestley riots. Route: forwarded by MPs. Writer role of Wilmot/Eardley as MPs - CHECK. | Coventry Town Clerk Edw. Inge, 22 Jul (HO 42/19_03 f.244): Mayor &amp; magistrates thank Govt "for the polite and speedy attention to their request. The appearance of the Military has had the desired effect".</t>
  </si>
  <si>
    <t xml:space="preserve">HO42-0024</t>
  </si>
  <si>
    <t xml:space="preserve">E19</t>
  </si>
  <si>
    <t xml:space="preserve">HO-42-19_03.pdf</t>
  </si>
  <si>
    <t xml:space="preserve">17-18</t>
  </si>
  <si>
    <t xml:space="preserve">ff.178-179</t>
  </si>
  <si>
    <t xml:space="preserve">"I am desired by several of the principal Inhabitants, to inform you, a disposition has appeared among the People to riot. By the interposition of the Peace Officers no ill consequences have as yet happened... it may be for the consideration of Government, how far it may be prudent to send a small force. We hear more Troops are coming to Birmingham probably if necessary, One Troop may be spared from thence."</t>
  </si>
  <si>
    <t xml:space="preserve">19 Jul 1791</t>
  </si>
  <si>
    <t xml:space="preserve">1791-07-19</t>
  </si>
  <si>
    <t xml:space="preserve">Wolverhampton</t>
  </si>
  <si>
    <t xml:space="preserve">Staffordshire</t>
  </si>
  <si>
    <t xml:space="preserve">Wm Beto Taylor</t>
  </si>
  <si>
    <t xml:space="preserve">A small force; one troop from Birmingham</t>
  </si>
  <si>
    <t xml:space="preserve">Priestley-riot spillover. CHECK: writer's role (signs for 'principal Inhabitants'; may be a magistrate). Later (19_03 ff.222-226): troop of dragoons stationed at Wolverhampton; Taylor reports magistrates satisfied.</t>
  </si>
  <si>
    <t xml:space="preserve">HO42-0025</t>
  </si>
  <si>
    <t xml:space="preserve">E20</t>
  </si>
  <si>
    <t xml:space="preserve">43-44, 82-83</t>
  </si>
  <si>
    <t xml:space="preserve">ff.203-204, 238-239</t>
  </si>
  <si>
    <t xml:space="preserve">Mayor John Harris, 21 Jul 1791: transmits anonymous threatening letter; magistrates "feel it their duty after what has happened at Birmingham to transmit the information to Government, submitting to its wisdom the expediency of stationing a competent number of Troops within a day's march of so large a City as Bristol; that in case of any disturbance it may be speedily quelled." Enclosed letter (18 Jul): "Near two 2000 Good Harty hail Strong Ruffins Which will Pull down your fine Manchin houses... Shall Share the Same fate as them at Burmingham".</t>
  </si>
  <si>
    <t xml:space="preserve">21-22 Jul 1791</t>
  </si>
  <si>
    <t xml:space="preserve">1791-07-21</t>
  </si>
  <si>
    <t xml:space="preserve">Bristol</t>
  </si>
  <si>
    <t xml:space="preserve">Gloucestershire / Bristol</t>
  </si>
  <si>
    <t xml:space="preserve">John Harris, Mayor of Bristol (with Aldermen)</t>
  </si>
  <si>
    <t xml:space="preserve">A competent number of troops within a day's march</t>
  </si>
  <si>
    <t xml:space="preserve">Govt (Dundas absent) ordered 3rd Regt of Infantry from Reading to Marlborough and Devizes, to proceed to Bristol if the Mayor thinks necessary (Harris to [Home Office], 25 Jul, HO 42/19_04 f.268). Magistrates chose to rely on constables "as no actual tumult has yet taken place".</t>
  </si>
  <si>
    <t xml:space="preserve">1791-07-23</t>
  </si>
  <si>
    <t xml:space="preserve">Follow-up 22 Jul (f.238): second anonymous letter, all quiet. Bristol was a county corporate.</t>
  </si>
  <si>
    <t xml:space="preserve">HO42-0026</t>
  </si>
  <si>
    <t xml:space="preserve">E21</t>
  </si>
  <si>
    <t xml:space="preserve">90</t>
  </si>
  <si>
    <t xml:space="preserve">f.246</t>
  </si>
  <si>
    <t xml:space="preserve">"A Handbill stuck up this morning, on the Churches and several other public Places... together with the murmurs of most of the Manufacturers and Common People here, have given occasion for much alarm... We therefore, the only Magistrates resident in the Borough, take the liberty of requesting that you will give orders for three Troops of some Horse Regiment to march immediately to this Place, and be assisting us in the quelling any Riots which may arise in Leicester. If it should be inconvenient... we request you will have the goodness to order as many as you can".</t>
  </si>
  <si>
    <t xml:space="preserve">23 Jul 1791</t>
  </si>
  <si>
    <t xml:space="preserve">Leicester</t>
  </si>
  <si>
    <t xml:space="preserve">Leicestershire</t>
  </si>
  <si>
    <t xml:space="preserve">Jno Darnes (Mayor), Henry Watchorn, W. Clark - magistrates</t>
  </si>
  <si>
    <t xml:space="preserve">Secretary at War (copy sent to Home Office)</t>
  </si>
  <si>
    <t xml:space="preserve">Three troops of horse</t>
  </si>
  <si>
    <t xml:space="preserve">ROUTE: request addressed to the Secretary at War, not the Home Secretary; copy filed in HO 42. Docket 22 Jul (letter dated 23 Jul - CHECK). Mayor's name read as 'Darnes' - CHECK.</t>
  </si>
  <si>
    <t xml:space="preserve">HO42-0027</t>
  </si>
  <si>
    <t xml:space="preserve">E22</t>
  </si>
  <si>
    <t xml:space="preserve">HO-42-19_04.pdf</t>
  </si>
  <si>
    <t xml:space="preserve">9-10, 16, 48-54</t>
  </si>
  <si>
    <t xml:space="preserve">ff.256-257, 262, 294-300</t>
  </si>
  <si>
    <t xml:space="preserve">"considerable Bodies of disorderly people in this Neighbourhood have lately several times assembled... with the Riotous Intention of preventing the Commissioners acting under the Authority of an Inclosure Bill... burnt the farming property and broke the Windows of several Houses... openly avowed their Intentions of laying open the Inclosures... it is earnestly requested that you Sir will have the Goodness of affording immediate Military Assistance to suppress the first attempts to rioting... and to prevent their Connection with the Rioters from Birmingham".</t>
  </si>
  <si>
    <t xml:space="preserve">Jas Wilkinson JP; Thos Eyre, Collector for the Town; Joseph Ward, Master Cutler</t>
  </si>
  <si>
    <t xml:space="preserve">Enclosure</t>
  </si>
  <si>
    <t xml:space="preserve">"speedy and effective Military Assistance"</t>
  </si>
  <si>
    <t xml:space="preserve">Whitehall 25 Jul (f.262, Dundas absent): two troops of 4th Dragoons from York and two troops [light horse] from Nottingham ordered to Sheffield. Troops arrived 27-28 Jul; riot that night (gaol broken, Wilkinson's house at Broom Hall attacked, hay ricks burnt) dispersed by the military (ff.294-300).</t>
  </si>
  <si>
    <t xml:space="preserve">1791-07-25</t>
  </si>
  <si>
    <t xml:space="preserve">Home Office (Dundas absent)</t>
  </si>
  <si>
    <t xml:space="preserve">ANTI-ENCLOSURE riots + fear of Birmingham spillover (disturbance type: enclosure - consider adding 'Enclosure' to vocabulary). Signers met privately to avoid a public meeting that 'might excite public suspicions'. Request route: direct. Rioters attacked the requesting magistrate's house after troops arrived.</t>
  </si>
  <si>
    <t xml:space="preserve">HO42-0028</t>
  </si>
  <si>
    <t xml:space="preserve">HO-42-19_05.pdf</t>
  </si>
  <si>
    <t xml:space="preserve">47</t>
  </si>
  <si>
    <t xml:space="preserve">f.354</t>
  </si>
  <si>
    <t xml:space="preserve">"every thing has remain'd in a state of perfect Tranquillity, but this can only be attributed to the Appearance of the Military... for the Number of treasonable Inscriptions on Walls and Doors and frequent nocturnal Exclamations in the Streets such as 'No King' 'No Corn Bill' 'No Taxes' &amp;c and the incendiary Letters... give just Grounds of fear that, if the Military were remov'd before all the Causes which gave Rise to the Commotions had subsided the worst of Consequences would in all probability immediately ensue &amp; therefore I must beg Leave once more to express the Wish of the Town in general that they may be permitted to remain here".</t>
  </si>
  <si>
    <t xml:space="preserve">31 Jul 1791</t>
  </si>
  <si>
    <t xml:space="preserve">1791-07-31</t>
  </si>
  <si>
    <t xml:space="preserve">Thos Eyre, Town Collector</t>
  </si>
  <si>
    <t xml:space="preserve">Retain troops already sent</t>
  </si>
  <si>
    <t xml:space="preserve">REQUEST TO KEEP TROOPS (same question as Birmingham May 1794 - pending JV's answer). Same episode as HO42-0027. Also 1 Aug (ff.367-368): West Riding magistrates at Sheffield ask Govt to fund prosecutions of rioters; riot began by breaking the debtors' prison, neighbourhood riots 'in avowed &amp; actual Opposition to an Act... for an Inclosure of waste Ground'.</t>
  </si>
  <si>
    <t xml:space="preserve">HO42-0029</t>
  </si>
  <si>
    <t xml:space="preserve">E23</t>
  </si>
  <si>
    <t xml:space="preserve">HO-42-19_08.pdf</t>
  </si>
  <si>
    <t xml:space="preserve">48-50</t>
  </si>
  <si>
    <t xml:space="preserve">ff.570-572</t>
  </si>
  <si>
    <t xml:space="preserve">Covering letter: gentlemen have signed "the Inclosed Association calculated for their mutual Protection against any sudden Rising of the Lower Class of People". Resolution (f.571): "We who subscribe our Names, reflecting upon the late violent insurrections arising from no publick provocation or principle whatever, but from a desire of Equality and Plunder... engage upon the first appearance or symptoms of such Evils to assemble not only all the Chief Constables and Petty constables but also our several Tenants and Servants, to Arm them and to resort to the Parts where the Evil exists... We conceive that if the Lord Lieutenant should judge proper to obtain a discretional power from Government to call for Military Aid without loss of time... such timely exertions would be more than superior to the Mob in its first stage".</t>
  </si>
  <si>
    <t xml:space="preserve">6 Sept 1791</t>
  </si>
  <si>
    <t xml:space="preserve">1791-09-06</t>
  </si>
  <si>
    <t xml:space="preserve">Snitterfield</t>
  </si>
  <si>
    <t xml:space="preserve">Unidentified correspondent for subscribing gentlemen (list of subscribers f.572)</t>
  </si>
  <si>
    <t xml:space="preserve">Armed association of landowners, tenants and servants after the Priestley riots; also asks that the Lord Lieutenant get discretionary power to call military aid. CHECK: writer's name and place reading ('Snitterfield').</t>
  </si>
  <si>
    <t xml:space="preserve">HO42-0030</t>
  </si>
  <si>
    <t xml:space="preserve">E24</t>
  </si>
  <si>
    <t xml:space="preserve">52-53</t>
  </si>
  <si>
    <t xml:space="preserve">ff.574-575</t>
  </si>
  <si>
    <t xml:space="preserve">"Lord Orford... has transmitted to you, an Association I had suggested to my Neighbours &amp; afterwards to many of the principal Gentlemen of Landed property in this part of the County, at a period when the explosions of political Enthusiasm or Craft might break forth here or elsewhere, as at Birmingham. In this County in particular Vigilance was necessary, as upon any sudden decline of the Norwich Manufactures or upon a rise of provisions, Riots have followed &amp; our Magistrates in this part of the County have sometimes been intimidated to inaction, or a disgraceful compromise."</t>
  </si>
  <si>
    <t xml:space="preserve">7 Sept 1791</t>
  </si>
  <si>
    <t xml:space="preserve">1791-09-07</t>
  </si>
  <si>
    <t xml:space="preserve">Rainham</t>
  </si>
  <si>
    <t xml:space="preserve">Raynham</t>
  </si>
  <si>
    <t xml:space="preserve">[Lord] Townshend</t>
  </si>
  <si>
    <t xml:space="preserve">Henry Dundas (via Lord Orford)</t>
  </si>
  <si>
    <t xml:space="preserve">Dundas to Earl of Orford, Whitehall Sept 1791 (HO 42/19_09 ff.632-634): motives deserve "the highest commendation, but I cannot help expressing some doubts whether the measure of putting People of the description mentioned by your Lordship in arms may not on general principles be liable to some objections... dangerous precedents generally originate in commendable motives". On discretionary power to call military aid: "the Military stationed in the County are ordered to obey at all times the Civil Magistrates in case of emergency".</t>
  </si>
  <si>
    <t xml:space="preserve">Denied</t>
  </si>
  <si>
    <t xml:space="preserve">1791-09</t>
  </si>
  <si>
    <t xml:space="preserve">Landowners' association in west Norfolk; association text itself (sent via Lord Orford) not seen here. Note magistrates 'intimidated to inaction, or a disgraceful compromise' in food riots. CHECK signer (Townshend). | Outcome coded Denied = arming discouraged (not formally refused); discretionary military power declined as unnecessary.</t>
  </si>
  <si>
    <t xml:space="preserve">HO42-0031</t>
  </si>
  <si>
    <t xml:space="preserve">E25</t>
  </si>
  <si>
    <t xml:space="preserve">HO 42/20</t>
  </si>
  <si>
    <t xml:space="preserve">HO-42-20_3.pdf</t>
  </si>
  <si>
    <t xml:space="preserve">33</t>
  </si>
  <si>
    <t xml:space="preserve">f.177</t>
  </si>
  <si>
    <t xml:space="preserve">"the Journeymen Carpenters of this Town (who are a very powerful body of Men) had a meeting... &amp; were heard to say, that if the abolition of the Slave Trade takes place, some Houses in the Town (which they had mark'd) shou'd be pull'd down... tho' I do not (I confess) apprehend much danger myself (having the 30th Regt of Foot here) yet... I shou'd recommend three Troops of Horse to be quarter'd in the neighbourhood till the ferment subsides a little viz.t One at Wigan, another at Warrington".</t>
  </si>
  <si>
    <t xml:space="preserve">14 Apr 1792</t>
  </si>
  <si>
    <t xml:space="preserve">1792-04-14</t>
  </si>
  <si>
    <t xml:space="preserve">Liverpool</t>
  </si>
  <si>
    <t xml:space="preserve">Lancashire</t>
  </si>
  <si>
    <t xml:space="preserve">Henry Blundell, Mayor of Liverpool</t>
  </si>
  <si>
    <t xml:space="preserve">Three troops of horse (Wigan, Warrington, ...)</t>
  </si>
  <si>
    <t xml:space="preserve">Threat tied to slave-trade abolition (carpenters/shipwrights dependent on the trade). Second page not read - CHECK third location.</t>
  </si>
  <si>
    <t xml:space="preserve">HO42-0032</t>
  </si>
  <si>
    <t xml:space="preserve">E26</t>
  </si>
  <si>
    <t xml:space="preserve">35-38</t>
  </si>
  <si>
    <t xml:space="preserve">ff.179-182</t>
  </si>
  <si>
    <t xml:space="preserve">"the great body of Carpenters intended to leave their work on Monday Morning unless their Wages were advanced... perhaps you will be so good, Sir, as to order One of the Troops of Grays, which are now at Manchester into Warrington or at least send Orders to the Commanding Officer in Manchester to march a Troop or two, if Circumstances shou'd compel me to call for them... There seems too general an appearance of discontent amongst all Artificers &amp; Labourers". Encloses flatmen's notice (coal flats) demanding 1s per ton per trip.</t>
  </si>
  <si>
    <t xml:space="preserve">27 May 1792</t>
  </si>
  <si>
    <t xml:space="preserve">1792-05-27</t>
  </si>
  <si>
    <t xml:space="preserve">One troop of Greys to Warrington, or standing orders to march 1-2 troops on call</t>
  </si>
  <si>
    <t xml:space="preserve">Dundas 30 May (acknowledged 5 Jun, f.181: 'very much obliged by your attention to my request'). 5 Jun: no disturbance, merchants conceded part of carpenters' demand. "I should have been able to have suppressed any Riot, but I judg'd it prudent to be guarded against the worst &amp; my reason for requesting Horse was, I think for dispersing a Mob, One Troop of Horse is better than half a Regt of Foot for avoiding blood shed".</t>
  </si>
  <si>
    <t xml:space="preserve">1792-05-30</t>
  </si>
  <si>
    <t xml:space="preserve">Wage strike (carpenters, coal flatmen). Key rationale: cavalry preferred to infantry to avoid bloodshed. Mayor also urges Govt to build Anglican churches in new manufacturing villages (Methodists 'inimical to our happy Constitution').</t>
  </si>
  <si>
    <t xml:space="preserve">HO42-0033</t>
  </si>
  <si>
    <t xml:space="preserve">E27</t>
  </si>
  <si>
    <t xml:space="preserve">39-40</t>
  </si>
  <si>
    <t xml:space="preserve">ff.183-184</t>
  </si>
  <si>
    <t xml:space="preserve">"the appearance of Assistance from the Military has had the very best Effect, the Mob are dispers'd &amp; the people began to return yester' Morning to their Work... We are under very particular obligations to Major Ramsay of the Grays for the immediate Assistance he afforded us; he only rec'd our Express on Wednesday Morning at 5 o'Clock &amp; he had two Troops in Wigan before One... This Riot by being taken in time (&amp; which wou'd certainly have spread very far) has in my Opinion sav'd many from the Gallows".</t>
  </si>
  <si>
    <t xml:space="preserve">7 Oct 1792</t>
  </si>
  <si>
    <t xml:space="preserve">1792-10-03</t>
  </si>
  <si>
    <t xml:space="preserve">Wigan collieries (letter from Liverpool)</t>
  </si>
  <si>
    <t xml:space="preserve">Wigan</t>
  </si>
  <si>
    <t xml:space="preserve">Henry Blundell, Mayor of Liverpool (as coal proprietor)</t>
  </si>
  <si>
    <t xml:space="preserve">Express to Major Ramsay (Greys) - two troops; infantry under Capt Hall</t>
  </si>
  <si>
    <t xml:space="preserve">Two troops of Greys at Wigan within 8 hours of express; HO letter of 3 Oct acknowledged.</t>
  </si>
  <si>
    <t xml:space="preserve">ROUTE: express sent DIRECTLY to the military commander (Major Ramsay), HO informed - 'local request, reported' route. Colliers' riot, engines stopped 2 days. Date (ISO) is approx. date of request (Wednesday before 7 Oct = 3 Oct) - CHECK. Cavalry released, infantry kept at Wigan.</t>
  </si>
  <si>
    <t xml:space="preserve">HO42-0034</t>
  </si>
  <si>
    <t xml:space="preserve">E28</t>
  </si>
  <si>
    <t xml:space="preserve">HO-42-20_4.pdf</t>
  </si>
  <si>
    <t xml:space="preserve">16-17</t>
  </si>
  <si>
    <t xml:space="preserve">ff.243-244</t>
  </si>
  <si>
    <t xml:space="preserve">"a Disorder in the Town having happened the night before... occasioned by a Disagreement between some of the military and the populace... a more serious Affray took place between the military and the Inhabitants than any that had before happened... We have therefore requested the Commanding Officer of the Regiment at Nottingham... to make the Exchange but as there may be some Danger that whilst any of the same Regiment remain here that the Disputes... may not be forgotten We therefore submit it to you with great Deference whether it might not contribute to the Quiet of this place to send here immediately a part of some other Corps."</t>
  </si>
  <si>
    <t xml:space="preserve">10-11 May 1792</t>
  </si>
  <si>
    <t xml:space="preserve">1792-05-10</t>
  </si>
  <si>
    <t xml:space="preserve">Saml Tooker, Fr. Edmunds, B. Frank (West Riding JPs)</t>
  </si>
  <si>
    <t xml:space="preserve">Henry Dundas (inferred)</t>
  </si>
  <si>
    <t xml:space="preserve">Replace quartered troops with part of another corps</t>
  </si>
  <si>
    <t xml:space="preserve">Riot between soldiers and townspeople (troops stationed since July 1791 enclosure riots). Request to SWAP troops, not add - borderline. Also asked CO at Nottingham directly (local route).</t>
  </si>
  <si>
    <t xml:space="preserve">HO42-0035</t>
  </si>
  <si>
    <t xml:space="preserve">E29</t>
  </si>
  <si>
    <t xml:space="preserve">64</t>
  </si>
  <si>
    <t xml:space="preserve">f.289</t>
  </si>
  <si>
    <t xml:space="preserve">"We are honor'd with your favor of 23d. signifying approbation of our Calling in the Military from Kidderminster and Bromsgrove, and are happy to inform you the Town is at present in a State of perfect tranquility... the next week being Holiday presume it may be prudent to continue the present Troops."</t>
  </si>
  <si>
    <t xml:space="preserve">25 May 1792</t>
  </si>
  <si>
    <t xml:space="preserve">1792-05-25</t>
  </si>
  <si>
    <t xml:space="preserve">J. Carles &amp; R. Spencer (magistrates)</t>
  </si>
  <si>
    <t xml:space="preserve">Troops from Kidderminster &amp; Bromsgrove (already called); keep them over holiday week</t>
  </si>
  <si>
    <t xml:space="preserve">HO letter of 23 May approved their calling in the military.</t>
  </si>
  <si>
    <t xml:space="preserve">1792-05-23</t>
  </si>
  <si>
    <t xml:space="preserve">ROUTE: local request to nearby garrisons, then reported; plus request to KEEP troops. Cause of May 1792 Birmingham disturbance not stated here - CHECK neighbouring folios.</t>
  </si>
  <si>
    <t xml:space="preserve">HO42-0036</t>
  </si>
  <si>
    <t xml:space="preserve">E30</t>
  </si>
  <si>
    <t xml:space="preserve">ff.301-302</t>
  </si>
  <si>
    <t xml:space="preserve">"The Magistrates of this Borough being under some apprehensions of a Riot, a request was made to the Secretary at War in the Month of August last, that the Commanding Officer at York might have directions to Order a sufficient number of Troops to march to Leeds immediately upon a requisition... signed by the Mayor or Recorder and two Aldermen... we therefore request that such directions may be given... it is not our intention to call for Military aid till we think it safe no longer to be without it".</t>
  </si>
  <si>
    <t xml:space="preserve">26 May 1792</t>
  </si>
  <si>
    <t xml:space="preserve">1792-05-26</t>
  </si>
  <si>
    <t xml:space="preserve">Leeds</t>
  </si>
  <si>
    <t xml:space="preserve">Wade Browne, Mayor</t>
  </si>
  <si>
    <t xml:space="preserve">Standing orders to CO at York to march sufficient troops on the Mayor's requisition</t>
  </si>
  <si>
    <t xml:space="preserve">Earlier request Aug 1791 to Secretary at War (granted: 4th Dragoons at Pontefract) - a second, unlogged request; orders leaked and were 'publickly talked of at Leeds'. Asks CO not to divulge instructions. Follows the royal proclamation of 21 May 1792 against seditious writings.</t>
  </si>
  <si>
    <t xml:space="preserve">HO42-0037</t>
  </si>
  <si>
    <t xml:space="preserve">E31</t>
  </si>
  <si>
    <t xml:space="preserve">HO-42-20_5.pdf</t>
  </si>
  <si>
    <t xml:space="preserve">44, 48, 60, 62-67</t>
  </si>
  <si>
    <t xml:space="preserve">ff.352, 357, 369, 371-376</t>
  </si>
  <si>
    <t xml:space="preserve">6 Jun: "there are considerable Numbers of People in the Streets which make it advisable to continue the Military for a short Time, after which they propose to dismiss a part of them and to keep a small Number to patrole the Streets till tomorrow Morning, as was done on Tuesday Night". 8 Jun: "It was thought necessary from the Appearance &amp; Behaviour of the People about 8 o'Clock to order a small party of the Horse Guards to patrole the Street for some time but they are now dismissed".</t>
  </si>
  <si>
    <t xml:space="preserve">6-10 Jun 1792</t>
  </si>
  <si>
    <t xml:space="preserve">1792-06-05</t>
  </si>
  <si>
    <t xml:space="preserve">Mount Street &amp; South Audley Street, Westminster</t>
  </si>
  <si>
    <t xml:space="preserve">London (Mayfair)</t>
  </si>
  <si>
    <t xml:space="preserve">Magistrates acting in Mount Street (Baker, Keene, Bond)</t>
  </si>
  <si>
    <t xml:space="preserve">Evan Nepean (Under-Secretary)</t>
  </si>
  <si>
    <t xml:space="preserve">Military / small party of Horse Guards to patrol</t>
  </si>
  <si>
    <t xml:space="preserve">ROUTE: troops called locally by magistrates, reported to HO by half-hourly notes. Cause of Mount Street riots not stated in these notes - CHECK. St George's Hanover Square vestry thanks Horse Guards officers and Maj-Gen Buckley 11 Jun (ff.371-376). 10 Jun: crowd dispersed 'without the Appearance of any Soldier or even of any Constable'.</t>
  </si>
  <si>
    <t xml:space="preserve">HO42-0038</t>
  </si>
  <si>
    <t xml:space="preserve">E32</t>
  </si>
  <si>
    <t xml:space="preserve">HO-42-20_7.pdf</t>
  </si>
  <si>
    <t xml:space="preserve">53</t>
  </si>
  <si>
    <t xml:space="preserve">f.528</t>
  </si>
  <si>
    <t xml:space="preserve">"Not being able to get a place in the Town or even in the Vicinity of Sheffield for the temporary accommodation of the Troops, He has entered into engagements for building Barracks at the distance of about three quarters of a Mile from the Town, on the Halifax Road - The distance will prevent too free an intercourse between the Soldiery and Inhabitants, without occasioning any inconvenience in obtaining supplies from the market... The buildings will be so constructed that they may at any time, if necessary, be enlarged."</t>
  </si>
  <si>
    <t xml:space="preserve">19 Jul 1792</t>
  </si>
  <si>
    <t xml:space="preserve">1792-07-19</t>
  </si>
  <si>
    <t xml:space="preserve">Col. Oliver De Lancey (Barrack-Master), to the Secretary at War; abstract read by the King</t>
  </si>
  <si>
    <t xml:space="preserve">Secretary at War (abstract filed in HO 42)</t>
  </si>
  <si>
    <t xml:space="preserve">Barracks for 3 troops of dragoons</t>
  </si>
  <si>
    <t xml:space="preserve">Part of the 1792 barrack-building programme for manufacturing towns (cover: 'Plans &amp;c of Barracks to be built at Sheffield, Manchester &amp; Nottingham under agreements made by Col. de Lancey', July 1792, 'Read by The King'). Cost estimate (f.515): Sheffield 3 troops £2000; Manchester 6 troops £7900; Nottingham 3 troops £3800; Birmingham 3 troops £5000. KEY: siting chosen to limit contact between soldiers and inhabitants - links to May 1792 soldier-townspeople riot (HO42-0034). Land from Vincent Eyre.</t>
  </si>
  <si>
    <t xml:space="preserve">HO42-0039</t>
  </si>
  <si>
    <t xml:space="preserve">E33</t>
  </si>
  <si>
    <t xml:space="preserve">61</t>
  </si>
  <si>
    <t xml:space="preserve">f.532</t>
  </si>
  <si>
    <t xml:space="preserve">"The speculations of the Inhabitants have greatly increased the price of Land in and about Manchester - He has obtained Six acres at three half pence per Yard, amounting to an Annual rent of £187.14 from Mr Egerton half a mile to the Southward of the Town. The extent is absolutely necessary for the purposes of discipline."</t>
  </si>
  <si>
    <t xml:space="preserve">7 Aug 1792</t>
  </si>
  <si>
    <t xml:space="preserve">1792-08-07</t>
  </si>
  <si>
    <t xml:space="preserve">Manchester</t>
  </si>
  <si>
    <t xml:space="preserve">Barracks for 6 troops of dragoons</t>
  </si>
  <si>
    <t xml:space="preserve">Part of the 1792 barrack-building programme for manufacturing towns (cover: 'Plans &amp;c of Barracks to be built at Sheffield, Manchester &amp; Nottingham under agreements made by Col. de Lancey', July 1792, 'Read by The King'). Cost estimate (f.515): Sheffield 3 troops £2000; Manchester 6 troops £7900; Nottingham 3 troops £3800; Birmingham 3 troops £5000. Builder Chas. McNevin. Context in same file: May 1792 'spirit of combination' among 2nd Dragoons at Manchester over provision prices (ff.520-523).</t>
  </si>
  <si>
    <t xml:space="preserve">HO42-0040</t>
  </si>
  <si>
    <t xml:space="preserve">E34</t>
  </si>
  <si>
    <t xml:space="preserve">68</t>
  </si>
  <si>
    <t xml:space="preserve">f.536</t>
  </si>
  <si>
    <t xml:space="preserve">"he has taken 3 Acres of Land within half a mile of Nottingham on the Derby Road upon a building lease, from the Duke of Newcastle for the term of 61 Years at the rent of £60 per Ann."</t>
  </si>
  <si>
    <t xml:space="preserve">17 Aug 1792</t>
  </si>
  <si>
    <t xml:space="preserve">1792-08-17</t>
  </si>
  <si>
    <t xml:space="preserve">Nottingham</t>
  </si>
  <si>
    <t xml:space="preserve">Nottinghamshire</t>
  </si>
  <si>
    <t xml:space="preserve">Part of the 1792 barrack-building programme for manufacturing towns (cover: 'Plans &amp;c of Barracks to be built at Sheffield, Manchester &amp; Nottingham under agreements made by Col. de Lancey', July 1792, 'Read by The King'). Cost estimate (f.515): Sheffield 3 troops £2000; Manchester 6 troops £7900; Nottingham 3 troops £3800; Birmingham 3 troops £5000. Builders Samuel &amp; William Stretton.</t>
  </si>
  <si>
    <t xml:space="preserve">HO42-0041</t>
  </si>
  <si>
    <t xml:space="preserve">E35</t>
  </si>
  <si>
    <t xml:space="preserve">46</t>
  </si>
  <si>
    <t xml:space="preserve">f.524</t>
  </si>
  <si>
    <t xml:space="preserve">"Not being able to get a place for the purpose of a temporary Barrack; he has entered into engagements for Building, and has taken four acres of Land at the West end of the Town from Mr John Brook... Four acres of Land situated at Ashsted near Birmingham to be leased for Eighty three years at the Rent of £80 per Ann."</t>
  </si>
  <si>
    <t xml:space="preserve">24 Aug 1792</t>
  </si>
  <si>
    <t xml:space="preserve">1792-08-24</t>
  </si>
  <si>
    <t xml:space="preserve">Part of the 1792 barrack-building programme for manufacturing towns (cover: 'Plans &amp;c of Barracks to be built at Sheffield, Manchester &amp; Nottingham under agreements made by Col. de Lancey', July 1792, 'Read by The King'). Cost estimate (f.515): Sheffield 3 troops £2000; Manchester 6 troops £7900; Nottingham 3 troops £3800; Birmingham 3 troops £5000. Ashted. Lessor John Brook (the Under-Sheriff who requested troops in July 1791, HO42-0021 - CHECK same person).</t>
  </si>
  <si>
    <t xml:space="preserve">HO42-0042</t>
  </si>
  <si>
    <t xml:space="preserve">E36</t>
  </si>
  <si>
    <t xml:space="preserve">HO 42/21</t>
  </si>
  <si>
    <t xml:space="preserve">HO-42-21_01.pdf; HO-42-21_06.pdf</t>
  </si>
  <si>
    <t xml:space="preserve">109</t>
  </si>
  <si>
    <t xml:space="preserve">[unstamped, between ff.72-74]</t>
  </si>
  <si>
    <t xml:space="preserve">"A Plan of the Bull Premises Coventry. Survey'd Sept. 5th 1792 by W. Baylis." [2 acres 3 roods 5 perches, High Street / Warwick Road; signed by Col. DeLancey] | Covering letter (HO 42/21_06 f.491), DeLancey to Sir George Yonge (Secretary at War), Coventry 11 Sep 1792: "having in the course of my enquiries for a place that I could have fitted up as a temporary Barrack for three Troops of Dragoons been informed that the Lease of the Bull Inn, a large old Building, was just expired... the difficulties with respect to Land were great, most of that about the Town being subject to priviledges enjoyed by the Inhabitants". Instructions to Major Belford (f.496, 7 Sep): ordered by the Secretary at War "to procure or Erect a Barrack at this place, for three Troops of Dragoons"; Bull Inn purchased from James Gunman. Plans ff.497-499.</t>
  </si>
  <si>
    <t xml:space="preserve">5 Sept 1792</t>
  </si>
  <si>
    <t xml:space="preserve">1792-09-05</t>
  </si>
  <si>
    <t xml:space="preserve">Col. Oliver DeLancey to Sir George Yonge, Secretary at War</t>
  </si>
  <si>
    <t xml:space="preserve">Unclear (filed in HO 42)</t>
  </si>
  <si>
    <t xml:space="preserve">Barracks for 3 troops of dragoons (Bull Inn converted)</t>
  </si>
  <si>
    <t xml:space="preserve">Site plan for barracks at Coventry (Bull Inn premises) - part of 1792 programme (cf. HO42-0038 to 0041). Coventry had requested a regiment in July 1791 (HO42-0023). Covering letter found in 21_06.</t>
  </si>
  <si>
    <t xml:space="preserve">HO42-0043</t>
  </si>
  <si>
    <t xml:space="preserve">E37</t>
  </si>
  <si>
    <t xml:space="preserve">HO-42-21_04.pdf</t>
  </si>
  <si>
    <t xml:space="preserve">62</t>
  </si>
  <si>
    <t xml:space="preserve">f.323</t>
  </si>
  <si>
    <t xml:space="preserve">Copy, Capt J.G. Le Marchant (Queen's Dragoon Guards), Bradford [on Avon], 15 Aug 1792: "Late last Night, Troops were required of me by the Sheriff of Somerset to be stationed at Cammerton, the Inhabitants being greatly alarmed from the assembling of a considerable Body of Colliers. I in consequence detached a Party, and since which have received their report, saying the Colliers continue assembled, but are not riotous."</t>
  </si>
  <si>
    <t xml:space="preserve">14-15 Aug 1792</t>
  </si>
  <si>
    <t xml:space="preserve">1792-08-14</t>
  </si>
  <si>
    <t xml:space="preserve">Camerton</t>
  </si>
  <si>
    <t xml:space="preserve">Sheriff of Somerset (request); reported by Capt J.G. Le Marchant</t>
  </si>
  <si>
    <t xml:space="preserve">Local commander (Capt Le Marchant, Bradford-on-Avon)</t>
  </si>
  <si>
    <t xml:space="preserve">Troops stationed at Camerton; a party of Queen's Dragoon Guards sent</t>
  </si>
  <si>
    <t xml:space="preserve">Party detached immediately by the local commander.</t>
  </si>
  <si>
    <t xml:space="preserve">ROUTE: local request (Sheriff -&gt; nearest officer), copy forwarded to HO. Part of Aug 1792 Kingswood/Somerset colliers' wage strike - see Bristol report f.307.</t>
  </si>
  <si>
    <t xml:space="preserve">HO42-0044</t>
  </si>
  <si>
    <t xml:space="preserve">35-37</t>
  </si>
  <si>
    <t xml:space="preserve">ff.307-309</t>
  </si>
  <si>
    <t xml:space="preserve">"a large body of Colliers who work the Mines in the Neighbourhood of this City encouraged as is supposed by the success of the Shoemakers and other tradesmen who in this place lately stood out for an increase of Wages, assembled and in a peremptory manner demanded... an addition of two Shillings per Week... They have hitherto met with no opposition from the Magistrates of the County of Gloucester nor has the corporation of this City apparently taken any measures to counteract this alarming combination". About 2000 Gloucestershire colliers passed through Bristol to compel Somerset miners (Bedminster, Ashton, Nailsea) to join.</t>
  </si>
  <si>
    <t xml:space="preserve">9 Aug 1792</t>
  </si>
  <si>
    <t xml:space="preserve">1792-08-09</t>
  </si>
  <si>
    <t xml:space="preserve">Bristol / Kingswood</t>
  </si>
  <si>
    <t xml:space="preserve">George Monro</t>
  </si>
  <si>
    <t xml:space="preserve">Home Office (Under-Secretary, inferred)</t>
  </si>
  <si>
    <t xml:space="preserve">Report of strike/combination, no request; magistrates inactive. Context for E37 Camerton request.</t>
  </si>
  <si>
    <t xml:space="preserve">HO42-0045</t>
  </si>
  <si>
    <t xml:space="preserve">HO 42/22</t>
  </si>
  <si>
    <t xml:space="preserve">HO-42-22_01.pdf</t>
  </si>
  <si>
    <t xml:space="preserve">46-47, 98-99</t>
  </si>
  <si>
    <t xml:space="preserve">ff.29-30, 58-59</t>
  </si>
  <si>
    <t xml:space="preserve">1 Oct 1792: colliers near Wigan, "near 500", demand "an extravagant advance of Wages" and threaten "to destroy the Works, by pulling up the Engines, throwing down the Wheels &amp; filling up the Pits... I apply'd to Major Campbell commanding the 30th Regt to march a Company or two of his Regt to assist Wigan to assist the Civil Power (which is by no means equal to quell the present disturbance) but he declines it without express orders from the Secretary of State. I am requested by the Coal Owners... to entreat of you to give orders to Major Campbell &amp; the Commanding Officer at Manchester to march part of their Men to Wigan in aid of the Magistrates." 3 Oct: Campbell "at length... prevail'd upon to detach two Companies"; mob grown "from near 500 to 1000"; express to Manchester for a troop of horse; "it will be found absolutely necessary to have a Regiment of Horse &amp; Two of Infantry always in this County".</t>
  </si>
  <si>
    <t xml:space="preserve">1-3 Oct 1792</t>
  </si>
  <si>
    <t xml:space="preserve">1792-10-01</t>
  </si>
  <si>
    <t xml:space="preserve">Wigan collieries (letters from Liverpool)</t>
  </si>
  <si>
    <t xml:space="preserve">Henry Blundell, Mayor of Liverpool (for the coal owners)</t>
  </si>
  <si>
    <t xml:space="preserve">Orders for 30th Regt (1-2 companies) and Manchester troops to march to Wigan; later a regiment of horse and two of infantry to be kept in the county</t>
  </si>
  <si>
    <t xml:space="preserve">Campbell detached two companies (Capt Hall) by canal boat 3 Oct; horse from Manchester reached Wigan 2pm 3 Oct. HO reply 3 Oct acknowledged (HO42-0033). Copy sent to War Office.</t>
  </si>
  <si>
    <t xml:space="preserve">ORIGINAL REQUEST for the Wigan episode (HO42-0033 is the 7 Oct follow-up). KEY: local commander refused to act on the Mayor's application 'without express orders from the Secretary of State' - evidence that HO authorisation mattered even when a garrison was at hand. Mayor wrote as coal proprietor/for coal owners.</t>
  </si>
  <si>
    <t xml:space="preserve">HO42-0046</t>
  </si>
  <si>
    <t xml:space="preserve">E38</t>
  </si>
  <si>
    <t xml:space="preserve">2-35</t>
  </si>
  <si>
    <t xml:space="preserve">ff.3-24, 119</t>
  </si>
  <si>
    <t xml:space="preserve">"I arrived here on Saturday the 22 September, and having after very diligent enquiry been fully convinced that no place could be got for the purpose of a temporary Barrack for four Troops of Dragoons, I therefore, in compliance with your Orders under such circumstances, proceeded to build, and accordingly entered into a Treaty for the purchase of the remaining term of Eighteen years of a Lease of Eleven acres of Ground, situated in the Hamlet of Pockthorp, just without the Gates of the Town, held under the Dean and Chapter of Norwich".</t>
  </si>
  <si>
    <t xml:space="preserve">1 Oct 1792</t>
  </si>
  <si>
    <t xml:space="preserve">Norwich (Pockthorpe)</t>
  </si>
  <si>
    <t xml:space="preserve">Norwich</t>
  </si>
  <si>
    <t xml:space="preserve">Secretary at War (filed in HO 42)</t>
  </si>
  <si>
    <t xml:space="preserve">Barracks for 4 troops of dragoons</t>
  </si>
  <si>
    <t xml:space="preserve">1792 barracks programme (cf. HO42-0038 to 0042). File includes articles of agreement, specification, elevation and ground plan (ff.13-24), and DeLancey instructions to the officer commanding at Norwich (f.119). Norwich had active radical societies in 1792 (HO 42/20_2).</t>
  </si>
  <si>
    <t xml:space="preserve">HO42-0047</t>
  </si>
  <si>
    <t xml:space="preserve">E39</t>
  </si>
  <si>
    <t xml:space="preserve">HO-42-22_02.pdf</t>
  </si>
  <si>
    <t xml:space="preserve">94, 108-109</t>
  </si>
  <si>
    <t xml:space="preserve">ff.119, 156-157</t>
  </si>
  <si>
    <t xml:space="preserve">"In consequence of Orders communicated to Colonel De Lancey, on the 24th of June 1792, to go to Sheffield, and there put three Troops of Dragoons into temporary Barracks, by hiring Houses, Barns, or other places... after which to do the same for a Regiment of Dragoons at Manchester, for three Troops each at Nottingham, Birmingham and Coventry, and for four Troops at Norwich." ... "the expence of building the Barracks... has been carried much higher from their being placed in those Towns of the Kingdom where the Commerce and Manufactures are in the most flourishing State". Recapitulation: Sheffield rent £20, building £2000; Manchester £187.14 / £7900; Nottingham £60 / £3800; Birmingham £80 / £5000; Coventry land purchase £1500, building £2300; Norwich land £800, rent £6.3, building £6300; totals land £2300, rent £353.17, building c.£27,300.</t>
  </si>
  <si>
    <t xml:space="preserve">12 Oct 1792</t>
  </si>
  <si>
    <t xml:space="preserve">1792-10-12</t>
  </si>
  <si>
    <t xml:space="preserve">London (programme report: Sheffield, Manchester, Nottingham, Birmingham, Coventry, Norwich)</t>
  </si>
  <si>
    <t xml:space="preserve">[National programme]</t>
  </si>
  <si>
    <t xml:space="preserve">[Multiple]</t>
  </si>
  <si>
    <t xml:space="preserve">Col. Oliver DeLancey</t>
  </si>
  <si>
    <t xml:space="preserve">Government (report)</t>
  </si>
  <si>
    <t xml:space="preserve">SUMMARY DOCUMENT for the 1792 manufacturing-town barracks programme (rows HO42-0038 to 0042, 0046). Orders dated 24 Jun 1792 - i.e. shortly after the 21 May proclamation and the May 1792 Sheffield/Birmingham/Mount Street troubles. Original plan was TEMPORARY barracks in hired buildings; building forced by lack of premises. Figures read from faint recapitulation - CHECK Coventry and Norwich building figures.</t>
  </si>
  <si>
    <t xml:space="preserve">HO42-0048</t>
  </si>
  <si>
    <t xml:space="preserve">E40</t>
  </si>
  <si>
    <t xml:space="preserve">HO-42-22_03.pdf</t>
  </si>
  <si>
    <t xml:space="preserve">7, 9</t>
  </si>
  <si>
    <t xml:space="preserve">f.165 (148)</t>
  </si>
  <si>
    <t xml:space="preserve">Extract, Mayor of Leicester to the Secretary at War, 15 Oct 1792: "We have no threats or immediate appearance of tumult at this moment, but from the mutinous disposition of the lower order of People, which seems to become worse here every day, &amp; from the last riot having happened without any foundation, &amp; quite suddenly &amp; unexpectedly, myself &amp; my brother Justices do not think the Town safe for a day without Military. Within these few days 'Liberty &amp; Equality' with many expressions of similar Tendency have been found written on some doors in several of the Streets - From the unheard of dearness of Coals &amp; the extraordinarily high Price of Provisions, there seems quite as much Prospect of Tumult as there ever was."</t>
  </si>
  <si>
    <t xml:space="preserve">15 Oct 1792</t>
  </si>
  <si>
    <t xml:space="preserve">1792-10-15</t>
  </si>
  <si>
    <t xml:space="preserve">Mayor of Leicester (with fellow Justices)</t>
  </si>
  <si>
    <t xml:space="preserve">Secretary at War (extract filed in HO 42)</t>
  </si>
  <si>
    <t xml:space="preserve">Military to remain/be stationed in the town</t>
  </si>
  <si>
    <t xml:space="preserve">ROUTE: to Secretary at War; extract forwarded to HO. Mixes food/fuel prices and radical slogans ('Liberty &amp; Equality'). Refers to an earlier recent riot in Leicester - CHECK. Same town as July 1791 request (HO42-0026) but different episode.</t>
  </si>
  <si>
    <t xml:space="preserve">HO42-0049</t>
  </si>
  <si>
    <t xml:space="preserve">E41</t>
  </si>
  <si>
    <t xml:space="preserve">79</t>
  </si>
  <si>
    <t xml:space="preserve">f.209 (189)</t>
  </si>
  <si>
    <t xml:space="preserve">Capt M. Agnew (11th Dragoons), Norwich, 30 Oct 1792: "upon a requisition from the Mayor &amp; Magistrates yesterday by express from thence I immediately ordered a Reinforcement which would arrive there this morning being obliged to call in the out Parties, the Mayor &amp; Civil Magistrates here not choosing to part with any from this Quarter. The Detachment at Yarmouth consists of two Officers, 1 Qr. Mr., 2 Serjts, 3 Corpls &amp; 35 Dragoons."</t>
  </si>
  <si>
    <t xml:space="preserve">29-30 Oct 1792</t>
  </si>
  <si>
    <t xml:space="preserve">1792-10-29</t>
  </si>
  <si>
    <t xml:space="preserve">Great Yarmouth (letter from Norwich)</t>
  </si>
  <si>
    <t xml:space="preserve">Great Yarmouth</t>
  </si>
  <si>
    <t xml:space="preserve">Mayor &amp; Magistrates of Yarmouth (requisition); reported by Capt M. Agnew, 11th Dragoons</t>
  </si>
  <si>
    <t xml:space="preserve">Local commander (Capt Agnew, Norwich)</t>
  </si>
  <si>
    <t xml:space="preserve">Reinforcement of dragoons; detachment of 2 officers + 35 dragoons</t>
  </si>
  <si>
    <t xml:space="preserve">Reinforcement ordered immediately by local commander; HO/War Office route for a detachment to Yarmouth also received.</t>
  </si>
  <si>
    <t xml:space="preserve">ROUTE: local requisition by express to the garrison commander, reported. Norwich magistrates refused to release their own troops - competition between towns for scarce troops. | CAUSE (HO 42/22_04 ff.219-222, 278): sailors' wage disturbance 22 Oct, then market riot over price of corn and provisions; threatening letter 21 Oct to Mayor Edm. Lacon ("your head shall com from your sholders... we have now select for this purpose 300"). Mayor reported to Secretary at War 28 Oct; Dundas to Marquis Townshend 2 Nov (f.243): orders given "sufficient to enable him to support the authority of the civil Magistrate". Townshend (31 Oct, f.219) asks that magistrates in disturbed districts "may have authority to call out the military". Mixed labour/food.</t>
  </si>
  <si>
    <t xml:space="preserve">HO42-0050</t>
  </si>
  <si>
    <t xml:space="preserve">E42</t>
  </si>
  <si>
    <t xml:space="preserve">HO-42-22_04.pdf</t>
  </si>
  <si>
    <t xml:space="preserve">35-42, 63</t>
  </si>
  <si>
    <t xml:space="preserve">ff.247-252, 274</t>
  </si>
  <si>
    <t xml:space="preserve">Copy, North Shields 3 Nov 1792, to William Pitt: "The situation of this unfortunate place begins to be so extreemly alarming... a large fleet (about 400 sail) had accumulated... the Seamen discovered a disposition to Riot, &amp; assembled in great numbers in different parts of the Towns of N. &amp; South Shields, and in boats upon the River Tyne, insisting that the masters of all Ships should pay four Guineas Wages for the Voyage". Response (Nepean to R. Burdon, Castle Eden, 5 Nov, f.274): "three Companies of the 57th Regt have been ordered to repair to that place from Tynemouth Barracks to be in readiness to assist the Civil Magistrate in restoring Tranquillity and good order. The Martin Sloop has also been ordered to proceed to the Tyne".</t>
  </si>
  <si>
    <t xml:space="preserve">3 Nov 1792</t>
  </si>
  <si>
    <t xml:space="preserve">1792-11-03</t>
  </si>
  <si>
    <t xml:space="preserve">North &amp; South Shields, River Tyne</t>
  </si>
  <si>
    <t xml:space="preserve">North Shields</t>
  </si>
  <si>
    <t xml:space="preserve">Northumberland / Durham</t>
  </si>
  <si>
    <t xml:space="preserve">R. Burdon (Castle Eden) / Shields correspondents (copy to Pitt)</t>
  </si>
  <si>
    <t xml:space="preserve">William Pitt (copy); Home Office</t>
  </si>
  <si>
    <t xml:space="preserve">Military and naval support (implied)</t>
  </si>
  <si>
    <t xml:space="preserve">Three companies of 57th Regt from Tynemouth Barracks + Martin sloop ordered; Mayor of Newcastle and Mr Bulmer of Shields informed.</t>
  </si>
  <si>
    <t xml:space="preserve">1792-11-05</t>
  </si>
  <si>
    <t xml:space="preserve">Seamen's wage strike (Tyne), Oct-Nov 1792. CHECK writer of the 3 Nov copy and whether an explicit request for troops is made (letter is long, ff.247-252, only first page read). Tynemouth Barracks already existed.</t>
  </si>
  <si>
    <t xml:space="preserve">HO42-0051</t>
  </si>
  <si>
    <t xml:space="preserve">HO-42-22_05.pdf</t>
  </si>
  <si>
    <t xml:space="preserve">3, 36-37, 69, 71-72</t>
  </si>
  <si>
    <t xml:space="preserve">ff.283, 312-313, 315-316, 320</t>
  </si>
  <si>
    <t xml:space="preserve">Mayor of Newcastle James Rudman to Nepean, 8 Nov 1792, after a General Meeting of the Magistrates of Durham, Northumberland and Newcastle: "The Meeting was unanimously of opinion that the naval and military Force now here, even with the addition of the Martin Sloop... will not be sufficient to protect the civil Magistrate and the immense property in Shipping now in Harbour, if measures of coercion be resorted to... I have with the approbation of the Meeting requested of the Commanding Officer of the Troops at York that he will forward a Detachment to South Shields... and I have to express the earnest desire of the Meeting that you will be pleased to direct a Frigate or another Sloop of War, with a number of Marines on Board... and also that three or four Companies of any Regiment of Foot... may be marched here. The Ship owners cannot be prevailed upon to afford the Magistrates any specific information... under the dread of the Vengeance of the Rioters... it absolutely necessary that the force to be used should be so considerable as to leave no Hope to Resistance".</t>
  </si>
  <si>
    <t xml:space="preserve">8 Nov 1792</t>
  </si>
  <si>
    <t xml:space="preserve">1792-11-08</t>
  </si>
  <si>
    <t xml:space="preserve">Newcastle upon Tyne / South Shields</t>
  </si>
  <si>
    <t xml:space="preserve">James Rudman, Mayor of Newcastle, for general meeting of magistrates of Durham, Northumberland and Newcastle</t>
  </si>
  <si>
    <t xml:space="preserve">Detachment from York; a frigate or sloop with marines; 3-4 companies of foot</t>
  </si>
  <si>
    <t xml:space="preserve">Nepean 10 Nov (ff.315-316): Lord Grenville (acting) had already sent Hind frigate and Drake sloop to join Racehorse and Martin; 2 troops of cavalry at York ordered to readiness on Major Thompson's requisition, rest of York force on further requisition; letter enclosed to C-in-C Scotland - "There is not at this moment any Infantry nearer to Newcastle than Edinburgh." Adj-Gen Fawcett to Lord Adam Gordon, Edinburgh, 10 Nov (f.320): comply with any requisition from Newcastle magistrates "by detaching as large a body of Troops... as you can spare".</t>
  </si>
  <si>
    <t xml:space="preserve">1792-11-10</t>
  </si>
  <si>
    <t xml:space="preserve">Evan Nepean (for Lord Grenville)</t>
  </si>
  <si>
    <t xml:space="preserve">KEY: meeting of three benches requests troops; magistrates also requested York commander directly; government notes no infantry nearer than Edinburgh - illustrates scarcity of troops in the north in 1792. Same episode E42 as North Shields (HO42-0050). Earlier 5 Nov HO letter to Mayor (f.283) responding to Bulmer's request for 'some military, as well as Naval Force'. | Outcome (HO 42/22_06 ff.362, 382): 13 Nov sailors submitted to magistrates' arbitration, "the Dragoons are stoped at Durham", Martin sloop in harbour; writer urges a frigate "constantly attached to this port". 14 Nov Mayor: sailors gave way a little. HO to DeLancey 13 Nov (f.366) queries magistrates' unwillingness to lessen force at Tynemouth Barracks. | Burdon, Castle Eden 25 Nov (HO 42/22_08 f.503): riot terminated, Shields quiet, "beginning to supplicate a removal of the Ships of war"; hopes the 2 troops of horse at Durham will be ordered back to York "because the Durham people will be much disposed to grumble, if they are saddled for their neighbours offences" - local reluctance to host troops. | Ship-owners' meeting, S. Shields 28 Nov (HO 42/22_09 f.562): Government steps "were not seconded by the Civil Power"; magistrates "(except Mr Burdon) seemed rather to encourage than check the Riotous proceedings of the Seamen". | Renewed Dec 1792 (HO 42/23_01 ff.54-55, Rudman to Dundas, Newcastle 2 Dec): sailors meeting daily in larger body; Capt Rothe says press warrants could not be executed "and indeed it is evident that it would be dangerous to attempt it with the Force he has"; fears seamen "instigated by the Enemies of our Tranquillity". Insufficient-force statement, no explicit request on these pages.</t>
  </si>
  <si>
    <t xml:space="preserve">HO42-0052</t>
  </si>
  <si>
    <t xml:space="preserve">E43</t>
  </si>
  <si>
    <t xml:space="preserve">HO-42-22_06.pdf</t>
  </si>
  <si>
    <t xml:space="preserve">54-61</t>
  </si>
  <si>
    <t xml:space="preserve">ff.401-</t>
  </si>
  <si>
    <t xml:space="preserve">"ANTE-LEVELLING SOCIETY instituted For supporting the Civil Power in suppressing Tumults and For maintaining the Constitutional Government of this Country in King, Lords and Commons"</t>
  </si>
  <si>
    <t xml:space="preserve">17 Nov 1792</t>
  </si>
  <si>
    <t xml:space="preserve">1792-11-17</t>
  </si>
  <si>
    <t xml:space="preserve">Ipswich (inferred from HO draft reply to Chas. [?], Ipswich, 17 Nov)</t>
  </si>
  <si>
    <t xml:space="preserve">Ipswich</t>
  </si>
  <si>
    <t xml:space="preserve">Suffolk</t>
  </si>
  <si>
    <t xml:space="preserve">Charles Stisted (Ipswich), forwarding Society resolutions</t>
  </si>
  <si>
    <t xml:space="preserve">Home Office</t>
  </si>
  <si>
    <t xml:space="preserve">Early loyalist association (pre-dates Reeves's Crown and Anchor association of 20 Nov 1792). Explicitly 'for supporting the Civil Power in suppressing Tumults'. CHECK place (Ipswich) and correspondent name on f.400 docket; rules on following folios not fully read. | Stisted to [Lord?], Ipswich 20 Nov 1792 (HO 42/22_07 f.454): conduct "during the Disturbances here" approved by the King; "if arm'd Boats could always be in readiness to assist at the kind of Riot we had here, nothing would so effectually check the Rioters"; six prisoners taken. Implies a (probably seamen's) riot at Ipswich, Nov 1792 - CHECK for original report.</t>
  </si>
  <si>
    <t xml:space="preserve">HO42-0053</t>
  </si>
  <si>
    <t xml:space="preserve">E44</t>
  </si>
  <si>
    <t xml:space="preserve">HO 42/23</t>
  </si>
  <si>
    <t xml:space="preserve">HO-42-23_05.pdf</t>
  </si>
  <si>
    <t xml:space="preserve">97-98</t>
  </si>
  <si>
    <t xml:space="preserve">ff.370-371</t>
  </si>
  <si>
    <t xml:space="preserve">Copy, W. Molesworth, Pencarrow near Bodmin, 14 Dec 1792: "the Miners in the Western Part of this County are extremely uneasy on account of an Idea which prevails amongst them that 'Corn is exported abroad from this Neighbourhood Wade Bridge &amp; Padstow River'... I have in conjunction with Sir Francis Basset bought the Corn now cellered at Wade Bridge &amp; We have ordered it to be immediately shipped for Porthleah (the Centre of the mining Country) on our Accounts... In case of any Riot or Tumult I beg to know how I am to act."</t>
  </si>
  <si>
    <t xml:space="preserve">14 Dec 1792</t>
  </si>
  <si>
    <t xml:space="preserve">1792-12-14</t>
  </si>
  <si>
    <t xml:space="preserve">Pencarrow near Bodmin (re Wadebridge/Padstow &amp; West Cornwall mining country)</t>
  </si>
  <si>
    <t xml:space="preserve">Wadebridge</t>
  </si>
  <si>
    <t xml:space="preserve">W. Molesworth</t>
  </si>
  <si>
    <t xml:space="preserve">Home Office (copy filed)</t>
  </si>
  <si>
    <t xml:space="preserve">Asks for instructions in case of riot (no force named)</t>
  </si>
  <si>
    <t xml:space="preserve">BORDERLINE: request for guidance, not explicit troop request. Shows gentry buying corn to pre-empt miners' food riot. Writer role (JP) inferred - CHECK. | Original also at HO 42/23_06 f.387.</t>
  </si>
  <si>
    <t xml:space="preserve">HO42-0054</t>
  </si>
  <si>
    <t xml:space="preserve">E45</t>
  </si>
  <si>
    <t xml:space="preserve">HO-42-23_08.pdf</t>
  </si>
  <si>
    <t xml:space="preserve">66</t>
  </si>
  <si>
    <t xml:space="preserve">f.537</t>
  </si>
  <si>
    <t xml:space="preserve">Dundas to Earl of Mount Edgcumbe, Whitehall 26 Dec 1792 (copy): "I have had the honour of receiving your Lordships two letters of the 21 &amp; 25 inst. on the subject of a proposal made by Mr Grenfell to raise a Body of Troops for the defence of the Coasts of Cornwall &amp; Devon. If circumstances should hereafter occur which may lead to measures of that sort, I shall not fail to submit Mr Grenfell's proposal to the consideration of His Majesty's Ministers, provided he furnishes me in the mean time with a regular detail of the proposed Corps".</t>
  </si>
  <si>
    <t xml:space="preserve">21-26 Dec 1792</t>
  </si>
  <si>
    <t xml:space="preserve">1792-12-21</t>
  </si>
  <si>
    <t xml:space="preserve">Cornwall &amp; Devon</t>
  </si>
  <si>
    <t xml:space="preserve">[Cornwall/Devon coast]</t>
  </si>
  <si>
    <t xml:space="preserve">Mr Grenfell, via Earl of Mount Edgcumbe (Lord Lieutenant of Cornwall)</t>
  </si>
  <si>
    <t xml:space="preserve">Deferred: to be submitted to Ministers if circumstances require, pending detailed plan.</t>
  </si>
  <si>
    <t xml:space="preserve">Unknown</t>
  </si>
  <si>
    <t xml:space="preserve">1792-12-26</t>
  </si>
  <si>
    <t xml:space="preserve">EXTERNAL DEFENCE (coast), not internal order - include for completeness; low relevance unless corps later used against riots. Grenfell likely Pascoe Grenfell (Cornish mining/merchant) - CHECK. Same file p.69 (f.539): a Highland corps proposal (Scotland, out of scope).</t>
  </si>
  <si>
    <t xml:space="preserve">HO42-0055</t>
  </si>
  <si>
    <t xml:space="preserve">E46</t>
  </si>
  <si>
    <t xml:space="preserve">HO-42-23_11.pdf</t>
  </si>
  <si>
    <t xml:space="preserve">31, 37-38</t>
  </si>
  <si>
    <t xml:space="preserve">ff.737, 743-744</t>
  </si>
  <si>
    <t xml:space="preserve">St Austell, 20 Jan 1793 (to Lord Lieutenant): "I wrote you under much Alarm from the Conduct of the Tinners at our Market... they did wrong in attempting to regulate the Market Yesterday... it was certainly time to stop the Exportation of Corn, or the Farmers would not have kept enough in the County to keep the Inhabitants from Starving; tho I trust we shall have no further Bustle, yet I still think it will be prudent to have some Military at Hand, in Case these Men should persist in wanting to regulate the Price of every Thing in the Markets".</t>
  </si>
  <si>
    <t xml:space="preserve">20 Jan 1793</t>
  </si>
  <si>
    <t xml:space="preserve">1793-01-20</t>
  </si>
  <si>
    <t xml:space="preserve">St Austell</t>
  </si>
  <si>
    <t xml:space="preserve">Unidentified St Austell correspondent (signature not read) to the Earl of Mount Edgcumbe (inferred, Lord Lieutenant)</t>
  </si>
  <si>
    <t xml:space="preserve">Lord Lieutenant (forwarded to HO)</t>
  </si>
  <si>
    <t xml:space="preserve">"some Military at Hand"</t>
  </si>
  <si>
    <t xml:space="preserve">Tinners' market price-regulation, Jan 1793 (with Penryn/Bodmin-area corn concealment - Penryn letter 23 Jan f.737). ROUTE: via Lord Lieutenant. CHECK writer and role. Continues Cornwall corn issue (HO42-0053).</t>
  </si>
  <si>
    <t xml:space="preserve">HO42-0056</t>
  </si>
  <si>
    <t xml:space="preserve">E47</t>
  </si>
  <si>
    <t xml:space="preserve">65-66</t>
  </si>
  <si>
    <t xml:space="preserve">ff.770-771</t>
  </si>
  <si>
    <t xml:space="preserve">"Tho' this part of the Country is now tolerably tranquill, yet as we understand it is the Purpose of the Admiralty to execute Press Warrants, which have been issued, We concur in thinking it highly expedient that the Detachment of the Inniskilling Dragoons should remain here for some Time longer; and we have therefore to request that you will have the Goodness to give the necessary orders for that Purpose. We have much Reason to hope that their Presence will materially contribute to deter the Sailors from attempting to resist an Impress, which they have long threatened."</t>
  </si>
  <si>
    <t xml:space="preserve">11 Mar 1793</t>
  </si>
  <si>
    <t xml:space="preserve">1793-03-11</t>
  </si>
  <si>
    <t xml:space="preserve">James Rudman (Mayor), John E. Blackett, Jn. Hedley, W. Cramlington, Francis Johnson, Wm Yielder (Aldermen)</t>
  </si>
  <si>
    <t xml:space="preserve">Retain detachment of Inniskilling Dragoons</t>
  </si>
  <si>
    <t xml:space="preserve">Request to KEEP troops, to protect impressment of seamen (war with France from Feb 1793). Follows Tyne seamen's strike (E42).</t>
  </si>
  <si>
    <t xml:space="preserve">HO42-0057</t>
  </si>
  <si>
    <t xml:space="preserve">E48</t>
  </si>
  <si>
    <t xml:space="preserve">HO 42/35</t>
  </si>
  <si>
    <t xml:space="preserve">HO-42-35_01.pdf</t>
  </si>
  <si>
    <t xml:space="preserve">11-12</t>
  </si>
  <si>
    <t xml:space="preserve">f.11</t>
  </si>
  <si>
    <t xml:space="preserve">Copy, Pemberton Milnes, Wakefield 15 Jun 1795: "The general discontent that prevails in the minds of the Manufacturers and common people in this populous part of the Country, is very great, and rather alarming on account of the high price of Corn &amp; other necessaries of Life; presuming the different Corps of Volunteers raised in this Town &amp; others in this neighbourhood, fall within your department... my request is, that you'll be pleased to give orders to the Commanding Officer of such Corps to be ready to aid the Civil Magistrate should they be called upon by him to quell any riotous proceedings".</t>
  </si>
  <si>
    <t xml:space="preserve">15 Jun 1795</t>
  </si>
  <si>
    <t xml:space="preserve">1795-06-15</t>
  </si>
  <si>
    <t xml:space="preserve">Wakefield</t>
  </si>
  <si>
    <t xml:space="preserve">Pemberton Milnes</t>
  </si>
  <si>
    <t xml:space="preserve">Secretary at War (copy sent to HO)</t>
  </si>
  <si>
    <t xml:space="preserve">Orders for local Volunteer corps to aid civil magistrate</t>
  </si>
  <si>
    <t xml:space="preserve">Request to authorise VOLUNTEERS (not regulars) for riot duty - relevant to corps question too. ROUTE: to Secretary at War. Writer role (JP/Deputy Lieutenant) inferred - CHECK.</t>
  </si>
  <si>
    <t xml:space="preserve">HO42-0058</t>
  </si>
  <si>
    <t xml:space="preserve">E49</t>
  </si>
  <si>
    <t xml:space="preserve">35-36, 42</t>
  </si>
  <si>
    <t xml:space="preserve">ff.32-33, 37</t>
  </si>
  <si>
    <t xml:space="preserve">Birmingham magistrates to Portland, 23 Jun 1795: "a Detachment of two Troops of the third Regt. of Dragoons having marched to Dudley... at the request of Mr Cartwright and the other Magistrates in that Neighbourhood (who were apprehensive of a Riot amongst the Colliers) a tumultuous assembly collected and attacked a considerable Corn Mill in Snowhill in this Town, under a pretence that the Proprietor Mr Pickard... had been the Means of raising the price of Flour... We then sent to Col. Callow to request him to have the rest of the Troops in readiness... The Riot Act was then twice read... the Peace Officer present found himself under the absolute necessity of directing some of the Party to fire... by which One Man was killed and two wounded... an Express having been sent last Night from Bromsgrove to two of us who are also Magistrates for Worcestershire, for Military assistance... we conceived it expedient to send one Troop for the Protection of that Town and Neighbourhood, there being no Troops either there or at Worcester."</t>
  </si>
  <si>
    <t xml:space="preserve">22-23 Jun 1795</t>
  </si>
  <si>
    <t xml:space="preserve">1795-06-22</t>
  </si>
  <si>
    <t xml:space="preserve">Birmingham (Snow Hill); Dudley; Bromsgrove</t>
  </si>
  <si>
    <t xml:space="preserve">W. Hicks, R. Spencer, W. Villers (Birmingham magistrates)</t>
  </si>
  <si>
    <t xml:space="preserve">Duke of Portland</t>
  </si>
  <si>
    <t xml:space="preserve">Local: Dudley JPs requested 2 troops 3rd Dragoons; Birmingham JPs asked Col. Callow to ready remaining troops; Bromsgrove express - 1 troop sent</t>
  </si>
  <si>
    <t xml:space="preserve">Troops acted locally; riot act read, troops fired (1 killed, 2 wounded); yeomanry (Legge's troop) also used.</t>
  </si>
  <si>
    <t xml:space="preserve">THREE local requests in one letter (Dudley colliers; Birmingham Snow Hill mill riot; Bromsgrove). ROUTE: all local, reported to HO. Seditious handbill circulated next morning, £100 reward. Also Garbett? 23 Jun f.37 and Mordaunt (Walton) 25 Jun f.36 forward Birmingham news. Aston Hall 30 Jun (f.64): peace restored but farmers shy of market.</t>
  </si>
  <si>
    <t xml:space="preserve">HO42-0059</t>
  </si>
  <si>
    <t xml:space="preserve">E50</t>
  </si>
  <si>
    <t xml:space="preserve">71-74</t>
  </si>
  <si>
    <t xml:space="preserve">ff.66-69</t>
  </si>
  <si>
    <t xml:space="preserve">John Moore, Shardlow 29 Jun 1795: "the lower Order of People inclined to be refractory, are restless and clamorous and we have too much reason to believe they will rise in a Body from the Leicestershire side... there is no Military at Derby - there are at Notting[ha]m... it would be prudent to have a few Horse Soldiers at or near [Shardlow] in case of a disturbance". Forwarded by Sparrow, Bishton 1 Jul: Mr Anson "recommends an application to Government for a party of Horse... Shardlow will accommodate from twelve to twenty Men... The Warehouses at Shardlow always contain property of great value".</t>
  </si>
  <si>
    <t xml:space="preserve">29 Jun - 1 Jul 1795</t>
  </si>
  <si>
    <t xml:space="preserve">1795-06-29</t>
  </si>
  <si>
    <t xml:space="preserve">Shardlow (Derbyshire), corn warehouses on Trent</t>
  </si>
  <si>
    <t xml:space="preserve">Shardlow</t>
  </si>
  <si>
    <t xml:space="preserve">Derbyshire</t>
  </si>
  <si>
    <t xml:space="preserve">John Moore (Shardlow); fwd by J. Sparrow (Bishton) on behalf of Mr Anson</t>
  </si>
  <si>
    <t xml:space="preserve">Duke of Portland (via Sparrow)</t>
  </si>
  <si>
    <t xml:space="preserve">A party of horse (12-20 men) at Shardlow</t>
  </si>
  <si>
    <t xml:space="preserve">Protection of corn warehouses (inland grain transit). ROUTE: forwarded. Sparrow had also advised application to local magistrates for 'assistance both civil and military'. CHECK writer roles.</t>
  </si>
  <si>
    <t xml:space="preserve">HO42-0060</t>
  </si>
  <si>
    <t xml:space="preserve">E51</t>
  </si>
  <si>
    <t xml:space="preserve">HO-42-35_02.pdf</t>
  </si>
  <si>
    <t xml:space="preserve">55</t>
  </si>
  <si>
    <t xml:space="preserve">f.127</t>
  </si>
  <si>
    <t xml:space="preserve">Gosfield, 9 Jul 1795 (to Portland): "Captain [?] officially reported to me the very gallant &amp; meritorious conduct of Dr John Tolbot of [?], Serjeant in his Yeomanry Troop, &amp; of seven armed yeomen of that town... The crier &amp; bellman of that town having been sent round to give publick notice to the people, to assemble to lower the price of corn, &amp; to pull down the mills; a very considerable mob, to the amount of above 500 people assembled &amp; seized two waggons loaded with wheat, which they began to plunder, but being instantly attacked by these few armed yeomen, the corn was rescued, &amp; escorted by them to the mill... &amp; the mob was dispersed in the course of half an hour."</t>
  </si>
  <si>
    <t xml:space="preserve">9 Jul 1795</t>
  </si>
  <si>
    <t xml:space="preserve">1795-07-09</t>
  </si>
  <si>
    <t xml:space="preserve">[Essex town near Gosfield - name not read]</t>
  </si>
  <si>
    <t xml:space="preserve">[Essex]</t>
  </si>
  <si>
    <t xml:space="preserve">Essex</t>
  </si>
  <si>
    <t xml:space="preserve">[Lord Lieutenant / Marquess of Buckingham at Gosfield - CHECK]</t>
  </si>
  <si>
    <t xml:space="preserve">Lord Lieutenant</t>
  </si>
  <si>
    <t xml:space="preserve">YEOMANRY used against a food riot (no request to HO). Evidence for corps-against-disorder question. CHECK town name (Halstead/Coggeshall?) and writer; copy sent to Privy Council 11 Jul.</t>
  </si>
  <si>
    <t xml:space="preserve">HO42-0061</t>
  </si>
  <si>
    <t xml:space="preserve">E52</t>
  </si>
  <si>
    <t xml:space="preserve">HO-42-35_03.pdf</t>
  </si>
  <si>
    <t xml:space="preserve">29</t>
  </si>
  <si>
    <t xml:space="preserve">f.176</t>
  </si>
  <si>
    <t xml:space="preserve">Walbrook, 16 Jul 1795: "Yesterday being the weekly Day of Exercise of the Honorable Artillery Company, when the Gentlemen met at their usual Hour... I mentioned to them the Expectations which were entertained of a Riot in that part of the Metropolis and although the Place threatened was not within the limits of the City, they unanimously determined to follow me to any District where the Corps might be of Service, and to remain under Arms to the late Hour of the Night I might think necessary."</t>
  </si>
  <si>
    <t xml:space="preserve">16 Jul 1795</t>
  </si>
  <si>
    <t xml:space="preserve">1795-07-16</t>
  </si>
  <si>
    <t xml:space="preserve">London (Walbrook)</t>
  </si>
  <si>
    <t xml:space="preserve">[Officer/commander of HAC - signature not read]</t>
  </si>
  <si>
    <t xml:space="preserve">Volunteer corps (Honourable Artillery Company) offering riot duty outside the City, Jul 1795 (probably crimping/recruiting-house riots, Jul 1795 - CHECK). CHECK writer.</t>
  </si>
  <si>
    <t xml:space="preserve">HO42-0062</t>
  </si>
  <si>
    <t xml:space="preserve">E53</t>
  </si>
  <si>
    <t xml:space="preserve">HO-42-35_04.pdf</t>
  </si>
  <si>
    <t xml:space="preserve">50-53</t>
  </si>
  <si>
    <t xml:space="preserve">ff.269-272</t>
  </si>
  <si>
    <t xml:space="preserve">Hardwicke (Lord Lieutenant), Wimpole 27 Jul 1795: "unless it is generally known, as a matter of notoriety, that the Magistrates have an opportunity of supporting the authority which the Law has given them, by a military force, capable of intimidating, the County will not think itself secure from the danger of riot &amp; tumult... If therefore a Troop of horse can be spared for the protection of that part of the Country I beg leave to observe that they cannot be more properly stationed than at Wisbech... at Chatteris in the Isle of Ely [a riot] this morning... We can raise troops of Yeomanry Cavalry, having raised a Troop of Fencibles of eighty men at a great expense, which are now sent to a distance, the County has in my opinion a strong claim to military protection". Enclosed, Wisbech JP 25 Jul: canal 'Bankers'... "threatening the principal Farmers, unless they would supply them with bread and mutton at 4 pence per pound, they would pull down their Houses and level them with the Ground... With submission to your Lordship we were safe while Volunteer Norfolk Dragoons were quartered here, but as they are removed the Farmers have every thing to dread from the hands of these Banditti".</t>
  </si>
  <si>
    <t xml:space="preserve">25-27 Jul 1795</t>
  </si>
  <si>
    <t xml:space="preserve">1795-07-25</t>
  </si>
  <si>
    <t xml:space="preserve">Wisbech &amp; Tydd St Giles (Isle of Ely); Chatteris; Cambridge</t>
  </si>
  <si>
    <t xml:space="preserve">Wisbech</t>
  </si>
  <si>
    <t xml:space="preserve">Cambridgeshire</t>
  </si>
  <si>
    <t xml:space="preserve">Earl of Hardwicke (Lord Lieutenant); enclosing Wisbech magistrate (clergyman) and 12 farmers</t>
  </si>
  <si>
    <t xml:space="preserve">A troop of horse, stationed at Wisbech</t>
  </si>
  <si>
    <t xml:space="preserve">Wisbech 3 Aug (HO 42/35_05 f.338): thanks Portland "for the timely and critical Assistance and Protection we received from your Grace's speedy attention to our Lord Lieutenant's kind Requisition for the immediate supply of a Party of Horse"; party of horse with quartermaster arrived Friday afternoon, the day after a riot "with much difficulty dispersed".</t>
  </si>
  <si>
    <t xml:space="preserve">1795-07-31</t>
  </si>
  <si>
    <t xml:space="preserve">ROUTE: local magistrate/farmers -&gt; Lord Lieutenant -&gt; HO. Canal labourers ('Bankers') threatening farmers; riots also at Cambridge (Saturday) and Chatteris. KEY: county claims military protection because its own Fencibles were sent away; removal of Norfolk volunteer dragoons left Wisbech exposed. Hardwicke also offers to raise Yeomanry Cavalry.</t>
  </si>
  <si>
    <t xml:space="preserve">HO42-0063</t>
  </si>
  <si>
    <t xml:space="preserve">E54</t>
  </si>
  <si>
    <t xml:space="preserve">HO-42-35_05.pdf</t>
  </si>
  <si>
    <t xml:space="preserve">72-75</t>
  </si>
  <si>
    <t xml:space="preserve">ff.353-356</t>
  </si>
  <si>
    <t xml:space="preserve">Smyth to Lt-Gen Scott (copy), Heath near Wakefield, 6 Aug 1795: "I take the liberty of applying to you to represent the great Disposition to Riot of the Lower Orders of the People in many different parts of this Country, and to suggest the Utility of your sending a Regt. of Dragoons to Wakefield or the Neighbourhood if you can with propriety do so. There are Commotions at Sheffield of the most serious Nature, where some lives have already been lost; a great Riot is now existing at Knottingley near Pontefract where the Volunteers of Wakefield have been sent for... it is greatly apprehended that the Volunteers of the Country tho numerous will be insufficient for the number of places where their Aid may be required... it is important that any troops sent should be steady and well-disciplined men." Covering letter to Portland: "The Riot at Knottingley seems alarming, in order to Places Corn Shipping has been stopp'd &amp; detain'd".</t>
  </si>
  <si>
    <t xml:space="preserve">6 Aug 1795</t>
  </si>
  <si>
    <t xml:space="preserve">1795-08-06</t>
  </si>
  <si>
    <t xml:space="preserve">Wakefield; Knottingley; Sheffield</t>
  </si>
  <si>
    <t xml:space="preserve">J. Smyth (magistrate), Heath near Wakefield</t>
  </si>
  <si>
    <t xml:space="preserve">Lt-Gen Scott (district commander, Beverley); copy to Duke of Portland</t>
  </si>
  <si>
    <t xml:space="preserve">A regiment of dragoons to Wakefield or neighbourhood; 'steady and well-disciplined men'</t>
  </si>
  <si>
    <t xml:space="preserve">ROUTE: to district commander + copy to HO. Volunteers judged insufficient. Knottingley corn-shipping riot; Sheffield commotions with deaths (Aug 1795, volunteers fired - CHECK Sheffield follow-up). Smyth = John Smyth of Heath (MP) - CHECK.</t>
  </si>
  <si>
    <t xml:space="preserve">HO42-0064</t>
  </si>
  <si>
    <t xml:space="preserve">E55</t>
  </si>
  <si>
    <t xml:space="preserve">85-87</t>
  </si>
  <si>
    <t xml:space="preserve">ff.366-368</t>
  </si>
  <si>
    <t xml:space="preserve">Woodstock area, 7 Aug 1795 (to Portland, re Oxfordshire): "on Wednesday the Inhabitants of Witney seized some grain as it was going to be sent out of the Country, brought it back to Witney and sold it at a low price - The lower class of People now say that since soldiers were sent into this Country and the Duke of Portland's letter to the Duke of Marlborough Farmers &amp; Jobbers dare demand double the price... it was mentioned that the Magistrates imagined Government meant to enforce the removal of Grain from this Country by the Military, as soldiers were sent without the application or even the knowledge of [the magistrates]".</t>
  </si>
  <si>
    <t xml:space="preserve">7 Aug 1795</t>
  </si>
  <si>
    <t xml:space="preserve">1795-08-05</t>
  </si>
  <si>
    <t xml:space="preserve">Witney / Woodstock</t>
  </si>
  <si>
    <t xml:space="preserve">Witney</t>
  </si>
  <si>
    <t xml:space="preserve">Oxfordshire</t>
  </si>
  <si>
    <t xml:space="preserve">[Oxfordshire magistrate - signature not read]</t>
  </si>
  <si>
    <t xml:space="preserve">KEY: troops SENT WITHOUT REQUEST to Oxfordshire in 1795 (cf. Bend on Oxford 1800) - magistrates suspect troops are there to enforce grain removal. Use for 'unrequested deployment' check. Writer CHECK.</t>
  </si>
  <si>
    <t xml:space="preserve">HO42-0065</t>
  </si>
  <si>
    <t xml:space="preserve">HO-42-35_06.pdf</t>
  </si>
  <si>
    <t xml:space="preserve">18-19, 51</t>
  </si>
  <si>
    <t xml:space="preserve">ff.385-386, 414</t>
  </si>
  <si>
    <t xml:space="preserve">Sheffield, 11 Aug 1795 (to Portland): "there is very little Effect in Suppression of the Riot to be attributed to any Exertion of mine. The Zealous firm &amp; determined Conduct &amp; Activity of Col. Athorpe &amp; his Regt. of Volunteers and of the Officers &amp; Men of the Cavalry secured our Success at that Time of Alarm when it was necessary to appear in Force". Saville Row 9 Aug (f.414): "the necessity of removing Colonel Cameron's Regiment from Sheffield was yesterday communicated from Mr Dundas's Office to the Quarter Master General, and... an order was sent by Post for their March from thence."</t>
  </si>
  <si>
    <t xml:space="preserve">9-11 Aug 1795</t>
  </si>
  <si>
    <t xml:space="preserve">1795-08-04</t>
  </si>
  <si>
    <t xml:space="preserve">[Sheffield magistrate - signature not read]; Saville Row letter signed [Brownrigg?]</t>
  </si>
  <si>
    <t xml:space="preserve">Sheffield riot of 4 Aug 1795 (soldiers of Col. Cameron's newly raised regiment over pay/bounty, joined by townspeople; Volunteers under Col. Athorpe fired, deaths). VOLUNTEER CORPS USED TO SUPPRESS RIOT; regulars (Cameron's) then REMOVED from town as a cause of disorder. Same episode as Wakefield/Knottingley (E54). CHECK riot details and writer.</t>
  </si>
  <si>
    <t xml:space="preserve">HO42-0066</t>
  </si>
  <si>
    <t xml:space="preserve">E56</t>
  </si>
  <si>
    <t xml:space="preserve">HO 42/36</t>
  </si>
  <si>
    <t xml:space="preserve">HO-42-36_02.pdf</t>
  </si>
  <si>
    <t xml:space="preserve">71-72</t>
  </si>
  <si>
    <t xml:space="preserve">ff.121-122</t>
  </si>
  <si>
    <t xml:space="preserve">Henry Cholmley, Howsham, 15 Nov 1795 (to Portland): "Stocks [of corn] from the interior part of the Country [are] totally shut up... which publication although not signed, has intimidated the Farmers from transporting their Corn, and the Sellers from buying... I have this moment heard that the Military from York have just passed my Door in great haste to aid the Magistrates at Whitby... it leads me to request your Grace will desire the Secretary at War, if not extremely inconvenient to the Service, that at least one Troop may be stationed there, as I have it from the first Authority (the principal Inhabitants of Whitby) that the Volunteers have lost the Confidence of the People, and that little Reliance can be had on that body, the one half of them being Republicans at Heart... the lower Class of people are as bad as a Nest of Hornets".</t>
  </si>
  <si>
    <t xml:space="preserve">15 Nov 1795</t>
  </si>
  <si>
    <t xml:space="preserve">1795-11-15</t>
  </si>
  <si>
    <t xml:space="preserve">Whitby (letter from Howsham)</t>
  </si>
  <si>
    <t xml:space="preserve">Whitby</t>
  </si>
  <si>
    <t xml:space="preserve">Henry Cholmley</t>
  </si>
  <si>
    <t xml:space="preserve">At least one troop stationed at Whitby</t>
  </si>
  <si>
    <t xml:space="preserve">KEY: VOLUNTEERS UNRELIABLE ('Republicans at Heart') - reason for requesting regulars. Military from York already marching to aid Whitby magistrates (separate, earlier request not seen). Corn shipping riots at Whitby Nov 1795 - CHECK HO 42/36-37 for Whitby magistrates' own letters. Writer role (landowner/JP?) - CHECK.</t>
  </si>
  <si>
    <t xml:space="preserve">HO42-0067</t>
  </si>
  <si>
    <t xml:space="preserve">E57</t>
  </si>
  <si>
    <t xml:space="preserve">HO-42-36_03.pdf</t>
  </si>
  <si>
    <t xml:space="preserve">69-70</t>
  </si>
  <si>
    <t xml:space="preserve">ff.202-203</t>
  </si>
  <si>
    <t xml:space="preserve">Hardwicke, Wimpole 18 Sep 1795: "a Riot which took place at Ely on Tuesday last, on account of the scarcity &amp; high price of Provisions. I am informed by a Letter from the Magistrates, that another is expected tomorrow, the Market day. They are very anxious to have some troops for the protection of the Place, &amp; the preservation of the Peace, and applied to me to know if I thought they had a right to demand the assistance of some Cavalry now stationed at Mildenhall, within six miles of Ely. As that place is in Suffolk, I told them it did not appear to me they had any right to call upon the officer to assist them, though I hope your Grace will give them that power, if the Cavalry remains at Mildenhall... the extraordinary Listlessness &amp; apathy, which I am sorry to say pervades this County, and has hitherto rendered every attempt to raise Volunteer Yeomanry Cavalry ineffectual."</t>
  </si>
  <si>
    <t xml:space="preserve">18 Sep 1795</t>
  </si>
  <si>
    <t xml:space="preserve">1795-09-18</t>
  </si>
  <si>
    <t xml:space="preserve">Ely (Isle of Ely)</t>
  </si>
  <si>
    <t xml:space="preserve">Ely</t>
  </si>
  <si>
    <t xml:space="preserve">Earl of Hardwicke (Lord Lieutenant), for Ely magistrates</t>
  </si>
  <si>
    <t xml:space="preserve">Authority to call cavalry stationed at Mildenhall (Suffolk), 6 miles away</t>
  </si>
  <si>
    <t xml:space="preserve">KEY: troops 6 miles away but across county line - magistrates had no right to call them without HO authority. Illustrates jurisdictional limit on local requisitions. Also: county apathy has defeated attempts to raise Yeomanry Cavalry.</t>
  </si>
  <si>
    <t xml:space="preserve">HO42-0068</t>
  </si>
  <si>
    <t xml:space="preserve">E58</t>
  </si>
  <si>
    <t xml:space="preserve">40-41</t>
  </si>
  <si>
    <t xml:space="preserve">"my apprehensions respecting the Rioting of the Miners (of which I had the honor of mentioning to you in a former Letter) is now almost come to a Crisis... I have, and will, do every thing in my power to keep them quiet but I am afraid all will be fruitless unless something is done to lower the price of Corn soon".</t>
  </si>
  <si>
    <t xml:space="preserve">5 Nov 1795</t>
  </si>
  <si>
    <t xml:space="preserve">1795-11-05</t>
  </si>
  <si>
    <t xml:space="preserve">Harewood [Cornwall?]</t>
  </si>
  <si>
    <t xml:space="preserve">Harewood</t>
  </si>
  <si>
    <t xml:space="preserve">[CHECK]</t>
  </si>
  <si>
    <t xml:space="preserve">J. H. Foote(?)</t>
  </si>
  <si>
    <t xml:space="preserve">Home Office (Under-Secretary)</t>
  </si>
  <si>
    <t xml:space="preserve">Miners threatening riot over corn prices; enclosure from mine captain. No explicit troop request on these pages. CHECK location (Harewood near Calstock, Cornwall/Devon border?) and writer; earlier letter referred to.</t>
  </si>
  <si>
    <t xml:space="preserve">HO42-0069</t>
  </si>
  <si>
    <t xml:space="preserve">E59</t>
  </si>
  <si>
    <t xml:space="preserve">HO 42/37</t>
  </si>
  <si>
    <t xml:space="preserve">HO-42-37_04.pdf</t>
  </si>
  <si>
    <t xml:space="preserve">92-93</t>
  </si>
  <si>
    <t xml:space="preserve">ff.306-307</t>
  </si>
  <si>
    <t xml:space="preserve">"A great many Women supported by a number of other persons had for some days past in the most riotous manner prevented the Shipping of Flour for the Capital... I previously order'd a Company of the Pembroke Militia from Holt to Warham about a Mile distant to wait for Orders - Upon our arrival at Wells, after Mr Hoste had twice warned them... and having twice read the Proclamation, amidst Clamour and Menaces, I order'd the Company of the Pembrokeshire to march in, whose behaviour was equally Active, as prudent, after driving the Mob off with Bayonets they secured and protected the Flour and Ship".</t>
  </si>
  <si>
    <t xml:space="preserve">16 Dec 1795</t>
  </si>
  <si>
    <t xml:space="preserve">1795-12-14</t>
  </si>
  <si>
    <t xml:space="preserve">Wells (next the Sea)</t>
  </si>
  <si>
    <t xml:space="preserve">Wells-next-the-Sea</t>
  </si>
  <si>
    <t xml:space="preserve">Marquis Townshend (Lord Lieutenant), with Rev. Mr Hoste (JP)</t>
  </si>
  <si>
    <t xml:space="preserve">A company of Pembrokeshire Militia from Holt (ordered locally by Lord Lieutenant)</t>
  </si>
  <si>
    <t xml:space="preserve">Militia drove crowd off with bayonets; flour shipped; Coke and magistrates settled poor allowances.</t>
  </si>
  <si>
    <t xml:space="preserve">ROUTE: Lord Lieutenant ordered nearby militia himself; reported to HO. Women-led riot against flour shipping to London. Date of riot approx. (several days before 16 Dec).</t>
  </si>
  <si>
    <t xml:space="preserve">HO42-0070</t>
  </si>
  <si>
    <t xml:space="preserve">96-97</t>
  </si>
  <si>
    <t xml:space="preserve">ff.308-309</t>
  </si>
  <si>
    <t xml:space="preserve">"the Evil is increasing since I had the honor to inform your Grace of what had pass'd at Wells; in those parts where there is Yeomanry Corps they are quiet. I have however desired them to be prepared in their several Hundreds as from such examples the total communication of this County with the Sea Ports may be intercepted - It may be necessary to alter the Quarters of Troops according to Circumstances, &amp; if a Detachment of some Light Cavalry, or of the Horse Artillery could be stationed on the Coast, I conceive it would be of great service, for the Military at Norwich should not be too much weakened... If the Evil increases, I request the Orders of Government".</t>
  </si>
  <si>
    <t xml:space="preserve">22 Dec 1795</t>
  </si>
  <si>
    <t xml:space="preserve">1795-12-22</t>
  </si>
  <si>
    <t xml:space="preserve">Norfolk coast (letter from Raynham)</t>
  </si>
  <si>
    <t xml:space="preserve">[North Norfolk coast]</t>
  </si>
  <si>
    <t xml:space="preserve">Marquis Townshend (Lord Lieutenant)</t>
  </si>
  <si>
    <t xml:space="preserve">Detachment of light cavalry or horse artillery stationed on the coast</t>
  </si>
  <si>
    <t xml:space="preserve">KEY: 'where there is Yeomanry Corps they are quiet' - yeomanry as deterrent. Also asks Admiralty to deal with sailors joining commotions in sea-port towns.</t>
  </si>
  <si>
    <t xml:space="preserve">HO42-0071</t>
  </si>
  <si>
    <t xml:space="preserve">E60</t>
  </si>
  <si>
    <t xml:space="preserve">100-108</t>
  </si>
  <si>
    <t xml:space="preserve">ff.310-314</t>
  </si>
  <si>
    <t xml:space="preserve">Jodrell, Bayfield 22 Dec 1795 (to Townshend): "in consequence of the Requisition of Mr Collyer &amp; myself Major Genl Leland dispatched Cornet Bower with Thirty of the Inniskillen Dragoons, who reached Holt early on the same Morning... a Mob intended to assemble &amp; take away the Flour which was left at the Publick House on Sherrington Common... I sent out Notices to the High Constables of the Hundred... the Farmers &amp; the Yeomanry of the different Parishes to assemble... nearly 300 respectable Farmers &amp; Yeomanry". Townshend 23 Dec: "the Farmers and others of Property are forming such an Association in support of the Civil Power as will in some degree supply the defect of a Corps of Yeomanry... I have consented to a small Detachment of Cavalry continuing at Holt till this body is form'd".</t>
  </si>
  <si>
    <t xml:space="preserve">20-23 Dec 1795</t>
  </si>
  <si>
    <t xml:space="preserve">1795-12-20</t>
  </si>
  <si>
    <t xml:space="preserve">Holt / Sheringham Common</t>
  </si>
  <si>
    <t xml:space="preserve">Holt</t>
  </si>
  <si>
    <t xml:space="preserve">H. Jodrell &amp; Mr Collyer (JPs); fwd by Marquis Townshend</t>
  </si>
  <si>
    <t xml:space="preserve">Maj-Gen Leland (requisition); report to Townshend, fwd to Portland</t>
  </si>
  <si>
    <t xml:space="preserve">Requisition to Maj-Gen Leland: 30 Inniskilling Dragoons sent</t>
  </si>
  <si>
    <t xml:space="preserve">30 dragoons sent by district general; ringleader taken; ~300 farmers and yeomen assembled; flour forwarded to Lynn.</t>
  </si>
  <si>
    <t xml:space="preserve">ROUTE: local requisition to district general. ALSO A CORPS EVENT: farmers forming an 'Association in support of the Civil Power' to substitute for missing yeomanry - KEY QUOTE for corps question.</t>
  </si>
  <si>
    <t xml:space="preserve">HO42-0072</t>
  </si>
  <si>
    <t xml:space="preserve">E61</t>
  </si>
  <si>
    <t xml:space="preserve">HO-42-37_05.pdf</t>
  </si>
  <si>
    <t xml:space="preserve">38-39</t>
  </si>
  <si>
    <t xml:space="preserve">Townshend, Yarmouth 4 Dec 1795: "the Barracks which had been badly smash'd, by the Huntingdon especially, and all would have been demolished but by the activity of the Officers, and Sir Thos Hyde Page, and Captain Hook of the Artillery who directed several Pieces of Ordnance upon the Rioters... a second violence was intended but the arrival of the two Troops of the Inniskilling Dragoons from Norwich and the vigilance of the Artillery prevented it. Their pretence was the shutting the Barrack Gates an hour sooner... it is imputed to their frequenting low Alehouses where they are instigated by the Dissenters of which there are many in the Regiment". Militia at Norwich, the Cambridge especially, expressed readiness to suppress the outrage.</t>
  </si>
  <si>
    <t xml:space="preserve">4 Dec 1795</t>
  </si>
  <si>
    <t xml:space="preserve">1795-12-03</t>
  </si>
  <si>
    <t xml:space="preserve">Great Yarmouth (barracks)</t>
  </si>
  <si>
    <t xml:space="preserve">2 troops Inniskilling Dragoons from Norwich (called in); artillery turned guns on rioters</t>
  </si>
  <si>
    <t xml:space="preserve">MILITIA MUTINY/RIOT (Huntingdonshire Militia attacking Yarmouth barracks) - troops used against troops. Requester of dragoons not stated (probably local commanders) - CHECK. Relevant to militia reliability and to barracks as flashpoints.</t>
  </si>
  <si>
    <t xml:space="preserve">Lead ID</t>
  </si>
  <si>
    <t xml:space="preserve">Place</t>
  </si>
  <si>
    <t xml:space="preserve">Summary</t>
  </si>
  <si>
    <t xml:space="preserve">Archive ref (as cited)</t>
  </si>
  <si>
    <t xml:space="preserve">Cited by</t>
  </si>
  <si>
    <t xml:space="preserve">Verified in original?</t>
  </si>
  <si>
    <t xml:space="preserve">Priority</t>
  </si>
  <si>
    <t xml:space="preserve">Notes / conflicts</t>
  </si>
  <si>
    <t xml:space="preserve">L001</t>
  </si>
  <si>
    <t xml:space="preserve">Oxford</t>
  </si>
  <si>
    <t xml:space="preserve">1800-09-04</t>
  </si>
  <si>
    <t xml:space="preserve">Troops (11th Light Dragoons) sent to Oxford; town clerk protests on behalf of volunteers; HO reply reassures them.</t>
  </si>
  <si>
    <t xml:space="preserve">HO 42/51 ff.36-7, 59-60; HO 50/388; HO 43/12 pp.106-7 (King to Taunton, 8 Sep 1800)</t>
  </si>
  <si>
    <t xml:space="preserve">Bend 2018; Gee (via other session)</t>
  </si>
  <si>
    <t xml:space="preserve">High</t>
  </si>
  <si>
    <t xml:space="preserve">CONFLICT: Gee says Vice-Chancellor requested troops; Bend says Portland sent them unrequested on Rev. D. Hughes's letter, V-C later asked they stay. Other session dated the reply 1801 - wrong, it is 1800.</t>
  </si>
  <si>
    <t xml:space="preserve">L002</t>
  </si>
  <si>
    <t xml:space="preserve">Banbury</t>
  </si>
  <si>
    <t xml:space="preserve">1800</t>
  </si>
  <si>
    <t xml:space="preserve">Mayor wants "soldiers unconnected with the place" because yeomanry sympathised with rioters.</t>
  </si>
  <si>
    <t xml:space="preserve">HO 42/51 f.116</t>
  </si>
  <si>
    <t xml:space="preserve">Gee (via other session)</t>
  </si>
  <si>
    <t xml:space="preserve">Local force distrusted - fits "civil power inadequate".</t>
  </si>
  <si>
    <t xml:space="preserve">L003</t>
  </si>
  <si>
    <t xml:space="preserve">1800-11</t>
  </si>
  <si>
    <t xml:space="preserve">Troops sent on Lord Lieutenants' information without consulting magistrates, who objected.</t>
  </si>
  <si>
    <t xml:space="preserve">HO 43/12 pp.313-6; HO 42/53 ff.404-5</t>
  </si>
  <si>
    <t xml:space="preserve">Bend 2018</t>
  </si>
  <si>
    <t xml:space="preserve">Medium</t>
  </si>
  <si>
    <t xml:space="preserve">Deployment WITHOUT request - code as unrequested, not as request.</t>
  </si>
  <si>
    <t xml:space="preserve">L004</t>
  </si>
  <si>
    <t xml:space="preserve">Berkeley</t>
  </si>
  <si>
    <t xml:space="preserve">Gloucestershire</t>
  </si>
  <si>
    <t xml:space="preserve">1800-09-16</t>
  </si>
  <si>
    <t xml:space="preserve">Earl of Berkeley: restraint in sending for soldiers "till... absolutely necessary"; cross-county correspondence rumoured.</t>
  </si>
  <si>
    <t xml:space="preserve">HO 42/51 ff.168-9</t>
  </si>
  <si>
    <t xml:space="preserve">Low</t>
  </si>
  <si>
    <t xml:space="preserve">Evidence of reluctance to request.</t>
  </si>
  <si>
    <t xml:space="preserve">L005</t>
  </si>
  <si>
    <t xml:space="preserve">Henley</t>
  </si>
  <si>
    <t xml:space="preserve">Anonymous threat leads to armed-association patrols.</t>
  </si>
  <si>
    <t xml:space="preserve">HO 42/49 f.393</t>
  </si>
  <si>
    <t xml:space="preserve">L006</t>
  </si>
  <si>
    <t xml:space="preserve">Hambledon &amp; Wickham</t>
  </si>
  <si>
    <t xml:space="preserve">1800-03</t>
  </si>
  <si>
    <t xml:space="preserve">Volunteers kept in constant readiness against grain-price disorder; Lt-Col Palmer seeks pay for nightly patrols; WO objects only to pay.</t>
  </si>
  <si>
    <t xml:space="preserve">HO 50/48 ff.153, 165, 209, 246</t>
  </si>
  <si>
    <t xml:space="preserve">Money for internal-order duty.</t>
  </si>
  <si>
    <t xml:space="preserve">L007</t>
  </si>
  <si>
    <t xml:space="preserve">Stony / Fenny Stratford</t>
  </si>
  <si>
    <t xml:space="preserve">Buckinghamshire</t>
  </si>
  <si>
    <t xml:space="preserve">1796-03-25</t>
  </si>
  <si>
    <t xml:space="preserve">Newport &amp; Buckingham Yeomanry in riot context.</t>
  </si>
  <si>
    <t xml:space="preserve">HO 50/330 (Nugent [Buckingham], 25 Mar 1796)</t>
  </si>
  <si>
    <t xml:space="preserve">Check whether this is a request or a report.</t>
  </si>
  <si>
    <t xml:space="preserve">L008</t>
  </si>
  <si>
    <t xml:space="preserve">Tavistock</t>
  </si>
  <si>
    <t xml:space="preserve">1801-03-14</t>
  </si>
  <si>
    <t xml:space="preserve">Riot-related correspondence.</t>
  </si>
  <si>
    <t xml:space="preserve">HO 50/49 (Bray to Dundas, 14 Mar 1801)</t>
  </si>
  <si>
    <t xml:space="preserve">L009</t>
  </si>
  <si>
    <t xml:space="preserve">c.1800-01</t>
  </si>
  <si>
    <t xml:space="preserve">Reliability enquiries on the corps; HO advises not to call it on active duty.</t>
  </si>
  <si>
    <t xml:space="preserve">HO 50/49</t>
  </si>
  <si>
    <t xml:space="preserve">A government response on corps reliability.</t>
  </si>
  <si>
    <t xml:space="preserve">L010</t>
  </si>
  <si>
    <t xml:space="preserve">Kettering &amp; Rothwell</t>
  </si>
  <si>
    <t xml:space="preserve">Northamptonshire</t>
  </si>
  <si>
    <t xml:space="preserve">1798-05-25</t>
  </si>
  <si>
    <t xml:space="preserve">Associations recommended to the Lord Lieutenant "entirely in terms of their usefulness against disturbances" after 1795 Kettering food riot.</t>
  </si>
  <si>
    <t xml:space="preserve">HO 50/42 (James Curry to Earl of Northampton)</t>
  </si>
  <si>
    <t xml:space="preserve">Key-quote candidate.</t>
  </si>
  <si>
    <t xml:space="preserve">L011</t>
  </si>
  <si>
    <t xml:space="preserve">Hampshire (county)</t>
  </si>
  <si>
    <t xml:space="preserve">1794-06-11</t>
  </si>
  <si>
    <t xml:space="preserve">Plan for a county-wide "Association for assisting the Civil Power" to suppress seditious tumults at magistrates' call.</t>
  </si>
  <si>
    <t xml:space="preserve">Hampshire RO 65 M 85/1</t>
  </si>
  <si>
    <t xml:space="preserve">Key-quote candidate. County record office, not TNA.</t>
  </si>
  <si>
    <t xml:space="preserve">L012</t>
  </si>
  <si>
    <t xml:space="preserve">Windsor</t>
  </si>
  <si>
    <t xml:space="preserve">Berkshire</t>
  </si>
  <si>
    <t xml:space="preserve">1803-08</t>
  </si>
  <si>
    <t xml:space="preserve">Magistrates, after repeated riots, request leave to levy an additional troop of fencible cavalry.</t>
  </si>
  <si>
    <t xml:space="preserve">Berkshire RO D/ERa O8/2 (5)</t>
  </si>
  <si>
    <t xml:space="preserve">1803 - outside 1790s window; confirm period with JV.</t>
  </si>
  <si>
    <t xml:space="preserve">L013</t>
  </si>
  <si>
    <t xml:space="preserve">Hampton Lucy</t>
  </si>
  <si>
    <t xml:space="preserve">1807-10-07</t>
  </si>
  <si>
    <t xml:space="preserve">Volunteers' unauthorised paid permanent duty allowed though "irregular".</t>
  </si>
  <si>
    <t xml:space="preserve">HO 51/86 (Hawkesbury to Warwick)</t>
  </si>
  <si>
    <t xml:space="preserve">1807 - outside window.</t>
  </si>
  <si>
    <t xml:space="preserve">L014</t>
  </si>
  <si>
    <t xml:space="preserve">National</t>
  </si>
  <si>
    <t xml:space="preserve">-</t>
  </si>
  <si>
    <t xml:space="preserve">1797-04</t>
  </si>
  <si>
    <t xml:space="preserve">Draft circular: volunteer/yeomanry COs to help magistrates apprehend persons in treasonable proceedings (June 1797 proclamation).</t>
  </si>
  <si>
    <t xml:space="preserve">HO 50/55</t>
  </si>
  <si>
    <t xml:space="preserve">Policy context.</t>
  </si>
  <si>
    <t xml:space="preserve">L015</t>
  </si>
  <si>
    <t xml:space="preserve">1798-03-05</t>
  </si>
  <si>
    <t xml:space="preserve">Dundas circulars proposing armed associations to relieve regulars in "the preservation of internal tranquillity and the maintenance of a proper police".</t>
  </si>
  <si>
    <t xml:space="preserve">Worcs RO BA 2868/4 705:73 (Dundas to Coventry, 5 Mar &amp; 6 Apr 1798)</t>
  </si>
  <si>
    <t xml:space="preserve">Key-quote candidate (government rationale).</t>
  </si>
  <si>
    <t xml:space="preserve">L016</t>
  </si>
  <si>
    <t xml:space="preserve">1794-08 to 1800-09</t>
  </si>
  <si>
    <t xml:space="preserve">London &amp; Westminster Light Horse Volunteers called out or on readiness at least 26 times, half in 1795; requests from Lord Mayor and police magistrates.</t>
  </si>
  <si>
    <t xml:space="preserve">PRO 30/3/2 (list of correspondence); PRO 30/3/25 (CO's reports) - Bosanquet Papers</t>
  </si>
  <si>
    <t xml:space="preserve">Best run of request + response in one place. Includes our log rows HO42-0014 and HO42-0017.</t>
  </si>
  <si>
    <t xml:space="preserve">L017</t>
  </si>
  <si>
    <t xml:space="preserve">1795-06-28</t>
  </si>
  <si>
    <t xml:space="preserve">HO directs Lord Mayor to request metropolitan corps before LCS meetings; HO requests LHV and St James's Association directly (1795-97).</t>
  </si>
  <si>
    <t xml:space="preserve">HO 65/1 (Portland to Lord Mayor 28 Jun 1795; King to Herries 24 Oct 1795; Portland to St James's Assoc. 28 Jul 1797)</t>
  </si>
  <si>
    <t xml:space="preserve">Requests initiated by HO, not by locality - code separately.</t>
  </si>
  <si>
    <t xml:space="preserve">L018</t>
  </si>
  <si>
    <t xml:space="preserve">England (food riots)</t>
  </si>
  <si>
    <t xml:space="preserve">1793-1801</t>
  </si>
  <si>
    <t xml:space="preserve">Wells tabulates 202 food disturbances with force used (volunteers 86, regulars 62, both 26).</t>
  </si>
  <si>
    <t xml:space="preserve">Wells, Wretched Faces, pp.419-440</t>
  </si>
  <si>
    <t xml:space="preserve">Candidate riot denominator. Get the table.</t>
  </si>
  <si>
    <t xml:space="preserve">L019</t>
  </si>
  <si>
    <t xml:space="preserve">1794-05-29</t>
  </si>
  <si>
    <t xml:space="preserve">F. Buller forwards letter from Mr Carter JP on "disturbances amongst the woolcombers", which "will not be confined to Tavistock".</t>
  </si>
  <si>
    <t xml:space="preserve">HO 42/30 f.324 (covering letter); enclosure not found at f.325</t>
  </si>
  <si>
    <t xml:space="preserve">HO 42 read 7 Oct 2026</t>
  </si>
  <si>
    <t xml:space="preserve">Partly</t>
  </si>
  <si>
    <t xml:space="preserve">Enclosure missing - may be a request; search nearby folios / HO 43/5 for reply c. 30 May 1794.</t>
  </si>
  <si>
    <t xml:space="preserve">L020</t>
  </si>
  <si>
    <t xml:space="preserve">Littlehampton (nr Arundel)</t>
  </si>
  <si>
    <t xml:space="preserve">Sussex</t>
  </si>
  <si>
    <t xml:space="preserve">1794-08-24</t>
  </si>
  <si>
    <t xml:space="preserve">Informant: privates of the Oxford and Surrey militia regiments in cantonment there said during the winter "they would join the French if they landed" and "should live better" in that case; landlord says disaffection general.</t>
  </si>
  <si>
    <t xml:space="preserve">HO 42/33 f.255</t>
  </si>
  <si>
    <t xml:space="preserve">Militia reliability (context for Q5 and for why regulars were requested). Not a request or corps event.</t>
  </si>
  <si>
    <t xml:space="preserve">L021</t>
  </si>
  <si>
    <t xml:space="preserve">West Riding</t>
  </si>
  <si>
    <t xml:space="preserve">1792-12-05</t>
  </si>
  <si>
    <t xml:space="preserve">Officer in Yorkshire: three parts out of four of each West Riding militia battalion are hired substitutes; relevant to deployment when embodied.</t>
  </si>
  <si>
    <t xml:space="preserve">HO 42/23_02 f.136 (extract)</t>
  </si>
  <si>
    <t xml:space="preserve">HO 42 read 27 Oct 2026</t>
  </si>
  <si>
    <t xml:space="preserve">Militia composition/reliability context (Dec 1792 embodiment of militia).</t>
  </si>
  <si>
    <t xml:space="preserve">L022</t>
  </si>
  <si>
    <t xml:space="preserve">Arundel</t>
  </si>
  <si>
    <t xml:space="preserve">1792-12-06</t>
  </si>
  <si>
    <t xml:space="preserve">Soldiers ordered to leave Arundel demanded three halfpence a day more pay before doing their duty; other "unfavourable reports".</t>
  </si>
  <si>
    <t xml:space="preserve">HO 42/23_02 f.148</t>
  </si>
  <si>
    <t xml:space="preserve">Troop reliability/pay grievance, Dec 1792.</t>
  </si>
  <si>
    <t xml:space="preserve">L023</t>
  </si>
  <si>
    <t xml:space="preserve">1792-12-10</t>
  </si>
  <si>
    <t xml:space="preserve">HO (Dundas) to Lord Hawkesbury, Whitehall 10 Dec 1792 (copy): Mr Garbett's letter "is the only account as yet brought to my Office of any riotous proceedings having lately taken place at Birmingham"; four troops of the Blues ordered westward but first relieved by two troops "intended to be stationed at that place", unless circumstances require augmentation.</t>
  </si>
  <si>
    <t xml:space="preserve">HO 42/23_04 f.288 (HO copy); Garbett's letter to Hawkesbury not seen</t>
  </si>
  <si>
    <t xml:space="preserve">Find Garbett's letter (possible request to keep/augment troops). Route: via Lord Hawkesbury.</t>
  </si>
  <si>
    <t xml:space="preserve">L024</t>
  </si>
  <si>
    <t xml:space="preserve">1792-12-08</t>
  </si>
  <si>
    <t xml:space="preserve">Informant: the Guards are dissatisfied over pay; "if any tumults should happen they will not oppose the mob, but will join them."</t>
  </si>
  <si>
    <t xml:space="preserve">HO 42/23_04 f.255</t>
  </si>
  <si>
    <t xml:space="preserve">Troop reliability (London), Dec 1792.</t>
  </si>
  <si>
    <t xml:space="preserve">L025</t>
  </si>
  <si>
    <t xml:space="preserve">Walker / Newcastle collieries</t>
  </si>
  <si>
    <t xml:space="preserve">1793-02-23</t>
  </si>
  <si>
    <t xml:space="preserve">Colliery agent Thos Barnes: pitmen at Walker stopped work, threw coals at him; warrants withdrawn under pressure of assembled pitmen; "The arm of Justice in this Country is Nerveless"; he will not act without protection. Wage petition.</t>
  </si>
  <si>
    <t xml:space="preserve">HO 42/23_05 ff.315-316 (misfiled; dated Feb 1793)</t>
  </si>
  <si>
    <t xml:space="preserve">Labour dispute report, no explicit troop request; civil power inadequacy claim. Check HO 42/24-25 for follow-up request.</t>
  </si>
  <si>
    <t xml:space="preserve">L026</t>
  </si>
  <si>
    <t xml:space="preserve">1792-12-12</t>
  </si>
  <si>
    <t xml:space="preserve">Thomas Walker (radical) reports "alarming disturbances" (Church-and-King crowd attacks); Dundas 14 Dec calls on magistrates (J. Bailey et al.) to take every measure for restoring tranquillity, while not doubting their exertions. Separate officer report 14 Dec: rumours of regiment's disaffection "extremely exaggerated".</t>
  </si>
  <si>
    <t xml:space="preserve">HO 42/23_06 ff.376-379, 384B (Walker's letter of 12 Dec not seen)</t>
  </si>
  <si>
    <t xml:space="preserve">Loyalist riot against radicals; no troop request seen. Check Walker's 12 Dec letter and magistrates' reply (HO 42/23_07+).</t>
  </si>
  <si>
    <t xml:space="preserve">L027</t>
  </si>
  <si>
    <t xml:space="preserve">England (county returns)</t>
  </si>
  <si>
    <t xml:space="preserve">1795-11</t>
  </si>
  <si>
    <t xml:space="preserve">Magistrates' returns to Portland's Oct-Nov 1795 circular on the 1795 harvest: crop yields (wheat, barley, oats, pease) by hundred/parish vs average years, for many counties (Cornwall, Devon, Northants, Lancashire, Kent, Surrey, Middlesex...).</t>
  </si>
  <si>
    <t xml:space="preserve">HO 42/36_01 ff.1-66 (and probably further 36_ files)</t>
  </si>
  <si>
    <t xml:space="preserve">HO 42 read 30 Oct 2026</t>
  </si>
  <si>
    <t xml:space="preserve">Possible HARVEST-SHORTFALL data by locality (Nov 1795) - a candidate control variable for JV. Not events.</t>
  </si>
  <si>
    <t xml:space="preserve">HO 42 extraction log - legend &amp; conventions</t>
  </si>
  <si>
    <t xml:space="preserve">Purpose</t>
  </si>
  <si>
    <t xml:space="preserve">Log events in HO 42 (Home Office domestic correspondence) for the Voth/UBS project.</t>
  </si>
  <si>
    <t xml:space="preserve">Requests for troops are ~10x more important than granting decisions (per JV). Barracks: in scope. Corps founded/armed (esp. 'to suppress Insurrections'): key quotes.</t>
  </si>
  <si>
    <t xml:space="preserve">Responses</t>
  </si>
  <si>
    <t xml:space="preserve">HO 43 (Home Secretary's replies) is NOT digitised and not in these PDFs; response columns (K-O) are blank unless a docket/endorsement appears in HO 42 itself. Treat as descriptive background only.</t>
  </si>
  <si>
    <t xml:space="preserve">Geography</t>
  </si>
  <si>
    <t xml:space="preserve">England only. Wales and Scotland are out of scope (per JV) - do not log.</t>
  </si>
  <si>
    <t xml:space="preserve">Event type (controlled vocabulary)</t>
  </si>
  <si>
    <t xml:space="preserve">Civil magistrate/corporation asks government for regular troops, militia or military aid against disturbance/insurrection.</t>
  </si>
  <si>
    <t xml:space="preserve">A new volunteer/militia/armed-association corps raised (offer, resolutions, or King's approbation).</t>
  </si>
  <si>
    <t xml:space="preserve">Existing corps seeking or granted more men, arms, field pieces or funding.</t>
  </si>
  <si>
    <t xml:space="preserve">Request to build or site barracks (often riot/internal-order driven).</t>
  </si>
  <si>
    <t xml:space="preserve">Mentions that associations/corps are being raised, without a discrete offer document.</t>
  </si>
  <si>
    <t xml:space="preserve">Column groups</t>
  </si>
  <si>
    <t xml:space="preserve">ID / triage (grey)</t>
  </si>
  <si>
    <t xml:space="preserve">Row ID, Episode ID, Event type, Key quote?</t>
  </si>
  <si>
    <t xml:space="preserve">Source (blue)</t>
  </si>
  <si>
    <t xml:space="preserve">Call number, File, PDF page, Folio, Folio basis, Link, Image status</t>
  </si>
  <si>
    <t xml:space="preserve">Text (yellow)</t>
  </si>
  <si>
    <t xml:space="preserve">Transcription status, key quote</t>
  </si>
  <si>
    <t xml:space="preserve">Where / when (green)</t>
  </si>
  <si>
    <t xml:space="preserve">Dates, place, county (England only)</t>
  </si>
  <si>
    <t xml:space="preserve">Who (orange)</t>
  </si>
  <si>
    <t xml:space="preserve">Writer, role, addressee, Home Secretary in office</t>
  </si>
  <si>
    <t xml:space="preserve">Request detail (red)</t>
  </si>
  <si>
    <t xml:space="preserve">Fill for requests and barracks rows: disturbance, request kind, civil power inadequate, force requested, military nearby</t>
  </si>
  <si>
    <t xml:space="preserve">Response (grey)</t>
  </si>
  <si>
    <t xml:space="preserve">HO 43 / dockets - background only</t>
  </si>
  <si>
    <t xml:space="preserve">Column notes</t>
  </si>
  <si>
    <t xml:space="preserve">Hover over any header in Events for its definition. Dropdown values live on the Lookups sheet; add new values there.</t>
  </si>
  <si>
    <t xml:space="preserve">Folio vs PDF page</t>
  </si>
  <si>
    <t xml:space="preserve">TNA HO 42 PDFs were made from microfilm before a later re-foliation. Record the stamped folio AND the PDF page; set Folio basis. Existing rows marked "Unclear - check".</t>
  </si>
  <si>
    <t xml:space="preserve">Dates</t>
  </si>
  <si>
    <t xml:space="preserve">Date (ISO) is typed as text YYYY-MM-DD - Excel cannot hold pre-1900 dates. Year and Home Secretary are formulas off it.</t>
  </si>
  <si>
    <t xml:space="preserve">Episodes</t>
  </si>
  <si>
    <t xml:space="preserve">One episode = one incident. Several letters about the same riot share an Episode ID. The regression unit is likely the episode, not the letter.</t>
  </si>
  <si>
    <t xml:space="preserve">Auto-filled fields</t>
  </si>
  <si>
    <t xml:space="preserve">Episode, county, role, disturbance, request kind, civil power, force, military nearby were filled from the existing quotes and notes on 7 Oct 2026 - verify against the letters. Uncertain cases flagged "CHECK:" in Notes.</t>
  </si>
  <si>
    <t xml:space="preserve">Coverage of this draft</t>
  </si>
  <si>
    <t xml:space="preserve">Fully read -&gt; rows derived</t>
  </si>
  <si>
    <t xml:space="preserve">HO 42/16 (01-05); HO 42/34 (01-05); HO 42/30_01; HO 42/33 (01-03) - read folio-by-folio.</t>
  </si>
  <si>
    <t xml:space="preserve">Coverage - status (7 Oct 2026)</t>
  </si>
  <si>
    <t xml:space="preserve">HO 42/30_02-05: now read in full (30_03 ff.156-184; 30_04 ff.204-261; 30_05 ff.280-334 completed this session). New rows: HO42-0018 Birmingham cavalry (30_04 ff.225-7), HO42-0019 Doncaster internal defence (30_05 f.333). Out of scope noted: Kirkwall barracks petition (30_03 ff.160-4, Scotland), Wrexham riot note (30_04 f.226, Wales), Dumfries (30_05 f.323, Scotland). HO 42/33_05 ff.369-376 now read: new row HO42-0020 Kenninghall/Harling request (ff.369-70). HO 42/33_04 ff.234-295 now read: no new rows (crimp-riot follow-ups added to HO42-0014 notes; militia disaffection at Littlehampton added to Leads). ALL GAP FILES NOW READ IN FULL. | 26 Oct 2026: HO 42/19_01 and 19_02 read in full (rows HO42-0021 to 0023, Priestley riots). | HO 42/19_03 read in full (Wolverhampton, Bristol, Leicester requests; Coventry thanks 22 Jul f.244 - troops' 'appearance has had the desired effect'). | HO 42/19_04 read in full (Sheffield enclosure-riot request; Bristol and Oxford follow-ups). | HO 42/19_05 read in full (mostly King's Bench depositions on Birmingham rioters; Sheffield request to keep troops). | HO 42/19_06 read in full: no events (Birmingham prosecution papers, handbills, depositions, list of prisoners). | HO 42/19_07 read in full: no events (Birmingham informations/depositions, prosecution correspondence, seditious placard 9 Aug 1791). | HO 42/19_08 read in full (Snitterfield and Raynham associations; Sheffield 25 Aug enclosure still opposed, military 'stationed here'; Bristol 10 Sep troops released). | HO 42/19_09 read in full: no new events (Birmingham depositions, Berwick convict, Dundas reply to Orford re Norfolk association added to HO42-0030). | HO 42/19_10 read: no events (King's Bench affidavits, petitions, Dutch/Irish business, Nov-Dec 1791). HO 42/19 COMPLETE. | HO 42/20_1 (Jan-Mar 1792) read: no events (convict/gaol business, pardons, Dutch frigate wreck at Coverack 1791 with plundering - context only, Cambridge degrees). | HO 42/20_2 (Mar 1792) read: no events (pamphlet on magistrates/police, convicts, Norwich United Constitutional Societies resolutions 24 Mar 1792 - context). | HO 42/20_3 (Mar-May 1792; also Liverpool letters to Oct 1792) read: 3 Liverpool/Wigan requests (labour disputes). | HO 42/20_4 (May 1792) read: Sheffield, Birmingham, Leeds requests; also Manchester radical-society surveillance (f.275), Bristol 1792. | HO 42/20_5 (May-Jun 1792) read: Mount Street riots (troops called locally). Context: replies to 21 May proclamation circular; 13 Jun report on disaffection in 2nd Dragoons at Manchester (f.386). | HO 42/20_6 (Jun 1792) read: no events (Prussia Cove smuggling, proclamation addresses, Lancaster gaol plot, police magistrate appointments). | HO 42/20_7 (Jun-Sep 1792) read: 1792 barracks programme (Sheffield, Manchester, Nottingham, Birmingham) with plans and costs; 2nd Dragoons combination at Manchester. HO 42/20 COMPLETE. | HO 42/21_01 (Jul 1792) read: Coventry barracks site plan; otherwise proclamation addresses, appointments, Paine pamphlet. | HO 42/21_02 (Jul 1792) read: no events (police magistrate appointments under Middlesex Justices Act, proclamation addresses, convicts, Hague dispatch). | HO 42/21_03 read: no events. HO 42/21_04 (Aug 1792) read: Kingswood/Somerset colliers' strike - Camerton troops (local request), Bristol report. | HO 42/21_03 (late Jul-Aug 1792) read: no events (police magistrate/clerk appointments, petitions, Durham county meeting on proclamation). | HO 42/21_05 (Aug-Sep 1792) read: no events (finance proposals, Warwick gaol plot, Nootka furs, Irish intelligence, Kent/Cumberland felon lists). | HO 42/21_06 (Sep 1792) read: Coventry barracks letters/plans added to HO42-0042; otherwise French emigre priests arriving (Eastbourne, Portsmouth), Nootka, appointments. | HO 42/21_07 (Sep 1792) read: no events (emigre priests Portsmouth/Jersey, convicts, Manchester handbills, Suffering Clergy committee). | HO 42/21_08 (late Sep 1792) read: no events (emigres, Preston combination convicts' petition, Stockport radical society papers). HO 42/21 COMPLETE. | HO 42/22_01 (1-3 Oct 1792) read: Wigan original requests (Campbell refused without Sec of State orders); Norwich barracks; also James Maxwell re brother Dr Maxwell (radical), emigres. | HO 42/22_02 (3-14 Oct 1792) read: DeLancey barracks programme report (f.156); Nepean enquiry re arms from Birmingham/Sheffield sent to Ireland (f.135, context); emigres; convicts. | HO 42/22_03 (15-30 Oct 1792) read: Leicester (to Sec at War) and Yarmouth (local requisition) requests; Brooke (Birmingham) re Dr Maxwell's dagger pattern (f.166); Anglesey seditious sermon (Bulkeley); Privy Council business lists. | HO 42/22_04 (late Oct-5 Nov 1792) read: Yarmouth sailors' and food riots (added to HO42-0049); North Shields seamen's strike; Ashby canal; Duke of Brunswick effigy plan (Southwark, informer). | HO 42/22_05 (5-11 Nov 1792) read: Newcastle magistrates' request + response (Tyne seamen); Yarmouth printed address; Durham/Bishop of Durham letters; Methodist pamphlet. | HO 42/22_06 (10-17 Nov 1792) read: Ipswich Ante-Levelling Society; Townshend 11 Nov on King's Lynn sailors' strike and Yarmouth riots ('the power they have to call on the Military when necessary'); South Shields 13 Nov riot ending, dragoons stopped at Durham; Nepean to DeLancey 13 Nov re Tynemouth Barracks force; Newcastle 14 Nov. | HO 42/22_07 (17-23 Nov 1792) read: no new rows (Stisted/Ipswich riot added to HO42-0052; Newcastle/Shields aftermath; Bristol printed resolutions; London debating society; Scots Brigade memorial). | HO 42/22_08 (23-27 Nov 1792) read: no new rows (Tyne aftermath, Norfolk radical clubs report, Liverpool reform association advert, county replies to 24 Nov circular on seditious writings). | HO 42/22_09 (28-30 Nov 1792) read: no new rows (S. Shields ship-owners criticise magistrates - added to HO42-0051; peace officers suggestion; Yarmouth seditious song; county replies to circular; Frenchmen with daggers at Chelmsford). HO 42/22 COMPLETE. | HO 42/23_01 (22 Nov-3 Dec 1792) read: no new rows (Newcastle 2 Dec sailors/press, added to HO42-0051; replies to sedition circular; Thetford-area/Portsmouth soldier rumours; Ayr; informer reports on Frenchmen). | HO 42/23_02 (3-6 Dec 1792) read: no new events (militia embodiment returns, Chelmsford foreigners, Arundel soldiers' pay, Yorkshire militia substitutes - 2 leads added). | HO 42/23_03 (6-7 Dec 1792) read: no new events (Salisbury: 'appearances of rising' in villages over scarcity of spinning work - handled by talking to manufacturers, no troops; Birmingham 10,000 daggers order for Dr Maxwell; Flintshire assignats; informers; Treaty with Dorset re Dover). | HO 42/23_04 (7-10 Dec 1792) read: no new Events rows (Birmingham Dec riot lead and Guards' disaffection lead added; Canterbury Kentish Gazette; Liverpool loyal address; emigrants arriving; Wycombe loyal; reform society toasts). | HO 42/23_05 (10-14 Dec 1792) read: Cornwall miners/corn export (HO42-0053, contingent); Newcastle pitmen Feb 1793 report misfiled (lead); London defence plan (ff.334-338, Guards/cavalry dispositions, context); Birmingham arms informer; Leigh (Kent) sedition. | HO 42/23_06 (14-18 Dec 1792) read: no new Events rows (Manchester Church-and-King riot lead; Molesworth original f.387; Chatham sedition examinations; emigrants). | HO 42/23_07 (18-22 Dec 1792) read: no events (petitions, informers on French/Jacobins, Univ. Society Friends of the People declaration, Debtors' relief, arrivals of French at Dover/Portsmouth, Chelsea sedition). | HO 42/23_08 (23-27 Dec 1792) read: Grenfell coastal corps proposal (HO42-0054); 'Birmingham waggon' to Dover suspected of carrying arms to France (f.505, context); informers on Jacobins; Chatham Barracks recruiting; French arrivals. | HO 42/23_09 (27-31 Dec 1792) read: no events (French arrivals at ports, Ramsgate warlike stores to France, convict petitions, Carlisle, Lancashire dissenting meeting-house lists, printed handbills). | HO 42/23_10 (undated 1792 items) read: no events (London radical clubs/foreigners intelligence, Redruth tinners loyal 'God save the King - down with the Methodists', anonymous riot letter, Scotch Brigade memorial, petitions). | HO 42/23_11 (Jan-Mar 1793, misc.) read: St Austell tinners (Jan 1793) and Newcastle impress requests; Bristol/Newcastle Feb 1793 sailors; Yarmouth intelligence; seamen's wage petition. HO 42/23 COMPLETE (Dropbox batch 19-23 finished). | HO 42/35_01 (13 Jun-1 Jul 1795) read: Wakefield, Birmingham/Dudley/Bromsgrove, Shardlow requests; Stourbridge, Gloucester, Lewes, Sheffield Place grain-supply letters (no troop requests); Aylesbury/Wisbech? barge riot reported (f.40, civil power sufficed). | HO 42/35_02 (2-13 Jul 1795) read: Essex yeomanry vs food riot (HO42-0060); otherwise grain-supply letters (Stourbridge, Gloucester, Winchester bakers re exports, Bristol, Southampton, Liverpool, Aston Hall/Birmingham corn purchase), Hoddesdon farm servants' wage combination (constables only), Shobdon circular reply. | HO 42/35_03 (13-20 Jul 1795) read: HAC riot-duty offer (HO42-0061); Nottingham JPs ask for grain supply by water (no troops, f.196); Newhaven sufferers' claims for Oxford Militia riot (ff.206-217, context, cf. Bend); Hilperton 'Jacobins hoarding corn'; Privy Council grain engagement replies; Guernsey. | HO 42/35_04 (20-29 Jul 1795) read: Wisbech/Cambridgeshire request via Hardwicke (HO42-0062); Bedford wheat-waggon riot 21 Jul (f.289, magistrate let waggon go, no troops); Barham Downs camp re French officers; grain circulars; Lancaster prisoner calendars. | HO 42/35_05 (29 Jul-7 Aug 1795) read: Wakefield/Knottingley request (HO42-0063); Witney unrequested troops (HO42-0064); Wisbech thanks (added to HO42-0062); Manchester provisions association; Wisbech printed notice; Yarmouth/Plymouth grain; Hampshire sedition. | HO 42/35_06 (7-29 Aug 1795) read: Sheffield volunteers suppress riot / Cameron's regiment removed (HO42-0065); Yorkshire Freeholder Society (Newcastle) libel; Ormskirk grain notice; Fishguard Volunteers acted on magistrates' requisition at Haverfordwest (Wales - not logged); grain/emigrant business. | HO 42/36_01 (Nov 1795) read: no events - county harvest returns (lead added as possible control data). | HO 42/36_02 (Nov 1795) read: Whitby request (HO42-0066); otherwise county harvest returns (Middlesex, Northants, Warwick, Staffs, Oxon, Sussex, Suffolk, Anglesey, Wales, Pembs...). | HO 42/36_03 (Sep-Nov 1795) read: Ely request via Hardwicke (cross-county troop limit); Harewood miners (Other); bread rising near Bristol (f.156, magistrate pacified, no troops); Ashford French prisoners affray - Knatchbull asks their removal (f.214, Kent); Nootka/Vancouver accounts; harvest returns. | HO 42/36_04 (Nov 1795) read: no new events (loyal addresses re Two Acts incl. York internal-defence volunteers' address f.226; Rolvenden (Kent) yeomanry captain offers service after anonymous letter f.258; govt corn to Plymouth/Penzance; Bristol market relief). | HO 42/37_01 (Dec 1795) read: no events (Colchester loyal petition; parish/hundred harvest returns - Notts, Kent, Hants, Northants, Sussex, Isle of Wight etc.). | HO 42/37_04 (Dec 1795) read: Norfolk flour-shipping riots (Wells, Holt) and Townshend coast request; Holt farmers' association; otherwise harvest returns (Notts, Hants, Surrey, Wales, Northumberland, Lincs) and Cambridge college petition. | HO 42/37_02 (Dec 1795) read: no events (harvest returns - Cheshire, Middlesex, Shropshire, Lancashire, Gloucs). | HO 42/37_03 (Dec 1795) read: no events (harvest returns - Lancs, Bucks, Derbys, Essex, Kent, Northumberland, Notts, Dorset/Kent via Duke of Dorset). | HO 42/37_05 (Dec 1795) read: Yarmouth barracks riot by Huntingdon Militia (HO42-0072); Fishguard vessel/butter (Wales, not logged); Huddersfield? loyal meeting reports; Kirkby Stephen/Westmorland; addresses; Hackney Rocks/Gosport association; McMahon memorial; Sudbury/Penrith addresses; Shoreham? - Lanstinan (Wales).</t>
  </si>
  <si>
    <t xml:space="preserve">Leads sheet</t>
  </si>
  <si>
    <t xml:space="preserve">Events cited by secondary works (Gee, Bend) but NOT yet seen in the original. Move a lead to Events only after reading the document; then set Verified = Y here.</t>
  </si>
  <si>
    <t xml:space="preserve">SOURCE SWITCH: HO 40 from 1812</t>
  </si>
  <si>
    <t xml:space="preserve">From 1812 onwards, use HO 40 (Home Office: Disturbances Correspondence) alongside HO 42. Disturbance letters were separated out of HO 42 into HO 40 from 1812 (Bend 2018, ch. 3). Caution: the split was not continuous. Bend finds disturbance letters back in HO 42 for Jul 1813-Jun 1816 and Mar 1818-Jan 1820, so for 1812-1819 check both series. Before 1812, HO 42 only.</t>
  </si>
  <si>
    <t xml:space="preserve">Home Sec from (ISO)</t>
  </si>
  <si>
    <t xml:space="preserve">Home Secretary</t>
  </si>
  <si>
    <t xml:space="preserve">1789-06-05</t>
  </si>
  <si>
    <t xml:space="preserve">Grenville</t>
  </si>
  <si>
    <t xml:space="preserve">1791-06-08</t>
  </si>
  <si>
    <t xml:space="preserve">Dundas</t>
  </si>
  <si>
    <t xml:space="preserve">PDF page</t>
  </si>
  <si>
    <t xml:space="preserve">Own photo taken</t>
  </si>
  <si>
    <t xml:space="preserve">HO 43</t>
  </si>
  <si>
    <t xml:space="preserve">1794-07-11</t>
  </si>
  <si>
    <t xml:space="preserve">Portland</t>
  </si>
  <si>
    <t xml:space="preserve">Needs photo</t>
  </si>
  <si>
    <t xml:space="preserve">Full transcription</t>
  </si>
  <si>
    <t xml:space="preserve">Partly approved</t>
  </si>
  <si>
    <t xml:space="preserve">1801-07-30</t>
  </si>
  <si>
    <t xml:space="preserve">Pelham</t>
  </si>
  <si>
    <t xml:space="preserve">Machine (VLM) draft</t>
  </si>
  <si>
    <t xml:space="preserve">None found</t>
  </si>
  <si>
    <t xml:space="preserve">1803-08-17</t>
  </si>
  <si>
    <t xml:space="preserve">C. Yorke</t>
  </si>
  <si>
    <t xml:space="preserve">VLM checked</t>
  </si>
  <si>
    <t xml:space="preserve">1804-05-12</t>
  </si>
  <si>
    <t xml:space="preserve">Hawkesbury</t>
  </si>
  <si>
    <t xml:space="preserve">1806-02-05</t>
  </si>
  <si>
    <t xml:space="preserve">Spencer</t>
  </si>
  <si>
    <t xml:space="preserve">Militia ballot</t>
  </si>
  <si>
    <t xml:space="preserve">1807-03-25</t>
  </si>
  <si>
    <t xml:space="preserve">1809-11-01</t>
  </si>
  <si>
    <t xml:space="preserve">Ryder</t>
  </si>
  <si>
    <t xml:space="preserve">1812-06-11</t>
  </si>
  <si>
    <t xml:space="preserve">Sidmouth</t>
  </si>
  <si>
    <t xml:space="preserve">1822-01-17</t>
  </si>
  <si>
    <t xml:space="preserve">Peel</t>
  </si>
  <si>
    <t xml:space="preserve">Source: standard lists of Secretaries of State for the Home Department (start of term). Context column only.</t>
  </si>
</sst>
</file>

<file path=xl/styles.xml><?xml version="1.0" encoding="utf-8"?>
<styleSheet xmlns="http://schemas.openxmlformats.org/spreadsheetml/2006/main">
  <numFmts count="2">
    <numFmt numFmtId="164" formatCode="General"/>
    <numFmt numFmtId="165" formatCode="@"/>
  </numFmts>
  <fonts count="10">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b val="true"/>
      <sz val="10"/>
      <name val="Arial"/>
      <family val="0"/>
      <charset val="1"/>
    </font>
    <font>
      <sz val="10"/>
      <name val="Arial"/>
      <family val="0"/>
      <charset val="1"/>
    </font>
    <font>
      <b val="true"/>
      <sz val="10"/>
      <color rgb="FFFFFFFF"/>
      <name val="Arial"/>
      <family val="0"/>
      <charset val="1"/>
    </font>
    <font>
      <sz val="10"/>
      <name val="Arial"/>
      <family val="2"/>
    </font>
    <font>
      <b val="true"/>
      <sz val="10"/>
      <color rgb="FFC0000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FCE4D6"/>
        <bgColor rgb="FFF2F2F2"/>
      </patternFill>
    </fill>
    <fill>
      <patternFill patternType="solid">
        <fgColor rgb="FFE2EFDA"/>
        <bgColor rgb="FFDDEBF7"/>
      </patternFill>
    </fill>
    <fill>
      <patternFill patternType="solid">
        <fgColor rgb="FFDDEBF7"/>
        <bgColor rgb="FFE2EFDA"/>
      </patternFill>
    </fill>
    <fill>
      <patternFill patternType="solid">
        <fgColor rgb="FFF2F2F2"/>
        <bgColor rgb="FFE2EFDA"/>
      </patternFill>
    </fill>
    <fill>
      <patternFill patternType="solid">
        <fgColor rgb="FFFFFFFF"/>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CE4D6"/>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10"/>
    <col collapsed="false" customWidth="true" hidden="false" outlineLevel="0" max="3" min="3" style="1" width="22"/>
  </cols>
  <sheetData>
    <row r="1" customFormat="false" ht="15" hidden="false" customHeight="true" outlineLevel="0" collapsed="false">
      <c r="A1" s="2" t="s">
        <v>0</v>
      </c>
    </row>
    <row r="3" customFormat="false" ht="15" hidden="false" customHeight="true" outlineLevel="0" collapsed="false">
      <c r="A3" s="3" t="s">
        <v>1</v>
      </c>
    </row>
    <row r="4" customFormat="false" ht="15" hidden="false" customHeight="true" outlineLevel="0" collapsed="false">
      <c r="A4" s="3" t="s">
        <v>2</v>
      </c>
      <c r="B4" s="3" t="s">
        <v>3</v>
      </c>
    </row>
    <row r="5" customFormat="false" ht="15" hidden="false" customHeight="true" outlineLevel="0" collapsed="false">
      <c r="A5" s="4" t="s">
        <v>4</v>
      </c>
      <c r="B5" s="4" t="n">
        <f aca="false">COUNTIF(Events!$C$2:$C$1000,A5)</f>
        <v>43</v>
      </c>
    </row>
    <row r="6" customFormat="false" ht="15" hidden="false" customHeight="true" outlineLevel="0" collapsed="false">
      <c r="A6" s="4" t="s">
        <v>5</v>
      </c>
      <c r="B6" s="4" t="n">
        <f aca="false">COUNTIF(Events!$C$2:$C$1000,A6)</f>
        <v>8</v>
      </c>
    </row>
    <row r="7" customFormat="false" ht="15" hidden="false" customHeight="true" outlineLevel="0" collapsed="false">
      <c r="A7" s="4" t="s">
        <v>6</v>
      </c>
      <c r="B7" s="4" t="n">
        <f aca="false">COUNTIF(Events!$C$2:$C$1000,A7)</f>
        <v>7</v>
      </c>
    </row>
    <row r="8" customFormat="false" ht="15" hidden="false" customHeight="true" outlineLevel="0" collapsed="false">
      <c r="A8" s="4" t="s">
        <v>7</v>
      </c>
      <c r="B8" s="4" t="n">
        <f aca="false">COUNTIF(Events!$C$2:$C$1000,A8)</f>
        <v>9</v>
      </c>
    </row>
    <row r="9" customFormat="false" ht="15" hidden="false" customHeight="true" outlineLevel="0" collapsed="false">
      <c r="A9" s="4" t="s">
        <v>8</v>
      </c>
      <c r="B9" s="4" t="n">
        <f aca="false">COUNTIF(Events!$C$2:$C$1000,A9)</f>
        <v>1</v>
      </c>
    </row>
    <row r="10" customFormat="false" ht="15" hidden="false" customHeight="true" outlineLevel="0" collapsed="false">
      <c r="A10" s="4" t="s">
        <v>9</v>
      </c>
      <c r="B10" s="4" t="n">
        <f aca="false">COUNTIF(Events!$C$2:$C$1000,A10)</f>
        <v>4</v>
      </c>
    </row>
    <row r="11" customFormat="false" ht="15" hidden="false" customHeight="true" outlineLevel="0" collapsed="false">
      <c r="A11" s="3" t="s">
        <v>10</v>
      </c>
      <c r="B11" s="3" t="n">
        <f aca="false">SUM(B5:B10)</f>
        <v>72</v>
      </c>
    </row>
    <row r="13" customFormat="false" ht="15" hidden="false" customHeight="true" outlineLevel="0" collapsed="false">
      <c r="A13" s="3" t="s">
        <v>11</v>
      </c>
    </row>
    <row r="14" customFormat="false" ht="15" hidden="false" customHeight="true" outlineLevel="0" collapsed="false">
      <c r="A14" s="3" t="s">
        <v>12</v>
      </c>
      <c r="B14" s="3" t="s">
        <v>3</v>
      </c>
    </row>
    <row r="15" customFormat="false" ht="15" hidden="false" customHeight="true" outlineLevel="0" collapsed="false">
      <c r="A15" s="4" t="s">
        <v>13</v>
      </c>
      <c r="B15" s="4" t="n">
        <f aca="false">COUNTIFS(Events!$C$2:$C$1000,"Request for troops",Events!$Y$2:$Y$1000,A15)</f>
        <v>17</v>
      </c>
    </row>
    <row r="16" customFormat="false" ht="15" hidden="false" customHeight="true" outlineLevel="0" collapsed="false">
      <c r="A16" s="4" t="s">
        <v>14</v>
      </c>
      <c r="B16" s="4" t="n">
        <f aca="false">COUNTIFS(Events!$C$2:$C$1000,"Request for troops",Events!$Y$2:$Y$1000,A16)</f>
        <v>17</v>
      </c>
    </row>
    <row r="17" customFormat="false" ht="15" hidden="false" customHeight="true" outlineLevel="0" collapsed="false">
      <c r="A17" s="4" t="s">
        <v>15</v>
      </c>
      <c r="B17" s="4" t="n">
        <f aca="false">COUNTIFS(Events!$C$2:$C$1000,"Request for troops",Events!$Y$2:$Y$1000,A17)</f>
        <v>4</v>
      </c>
    </row>
    <row r="18" customFormat="false" ht="15" hidden="false" customHeight="true" outlineLevel="0" collapsed="false">
      <c r="A18" s="4" t="s">
        <v>16</v>
      </c>
      <c r="B18" s="4" t="n">
        <f aca="false">COUNTIFS(Events!$C$2:$C$1000,"Request for troops",Events!$Y$2:$Y$1000,A18)</f>
        <v>5</v>
      </c>
    </row>
    <row r="19" customFormat="false" ht="15" hidden="false" customHeight="true" outlineLevel="0" collapsed="false">
      <c r="A19" s="3" t="s">
        <v>10</v>
      </c>
      <c r="B19" s="3" t="n">
        <f aca="false">SUM(B15:B18)</f>
        <v>43</v>
      </c>
    </row>
    <row r="21" customFormat="false" ht="15" hidden="false" customHeight="true" outlineLevel="0" collapsed="false">
      <c r="A21" s="3" t="s">
        <v>17</v>
      </c>
    </row>
    <row r="22" customFormat="false" ht="15" hidden="false" customHeight="true" outlineLevel="0" collapsed="false">
      <c r="A22" s="3" t="s">
        <v>18</v>
      </c>
      <c r="B22" s="3" t="s">
        <v>3</v>
      </c>
    </row>
    <row r="23" customFormat="false" ht="15" hidden="false" customHeight="true" outlineLevel="0" collapsed="false">
      <c r="A23" s="4" t="n">
        <v>1789</v>
      </c>
      <c r="B23" s="4" t="n">
        <f aca="false">COUNTIF(Events!$P$2:$P$1000,A23)</f>
        <v>0</v>
      </c>
    </row>
    <row r="24" customFormat="false" ht="15" hidden="false" customHeight="true" outlineLevel="0" collapsed="false">
      <c r="A24" s="4" t="n">
        <v>1790</v>
      </c>
      <c r="B24" s="4" t="n">
        <f aca="false">COUNTIF(Events!$P$2:$P$1000,A24)</f>
        <v>2</v>
      </c>
    </row>
    <row r="25" customFormat="false" ht="15" hidden="false" customHeight="true" outlineLevel="0" collapsed="false">
      <c r="A25" s="4" t="n">
        <v>1791</v>
      </c>
      <c r="B25" s="4" t="n">
        <f aca="false">COUNTIF(Events!$P$2:$P$1000,A25)</f>
        <v>10</v>
      </c>
    </row>
    <row r="26" customFormat="false" ht="15" hidden="false" customHeight="true" outlineLevel="0" collapsed="false">
      <c r="A26" s="4" t="n">
        <v>1792</v>
      </c>
      <c r="B26" s="4" t="n">
        <f aca="false">COUNTIF(Events!$P$2:$P$1000,A26)</f>
        <v>24</v>
      </c>
    </row>
    <row r="27" customFormat="false" ht="15" hidden="false" customHeight="true" outlineLevel="0" collapsed="false">
      <c r="A27" s="4" t="n">
        <v>1793</v>
      </c>
      <c r="B27" s="4" t="n">
        <f aca="false">COUNTIF(Events!$P$2:$P$1000,A27)</f>
        <v>2</v>
      </c>
    </row>
    <row r="28" customFormat="false" ht="15" hidden="false" customHeight="true" outlineLevel="0" collapsed="false">
      <c r="A28" s="4" t="n">
        <v>1794</v>
      </c>
      <c r="B28" s="4" t="n">
        <f aca="false">COUNTIF(Events!$P$2:$P$1000,A28)</f>
        <v>11</v>
      </c>
    </row>
    <row r="29" customFormat="false" ht="15" hidden="false" customHeight="true" outlineLevel="0" collapsed="false">
      <c r="A29" s="4" t="n">
        <v>1795</v>
      </c>
      <c r="B29" s="4" t="n">
        <f aca="false">COUNTIF(Events!$P$2:$P$1000,A29)</f>
        <v>23</v>
      </c>
    </row>
    <row r="30" customFormat="false" ht="15" hidden="false" customHeight="true" outlineLevel="0" collapsed="false">
      <c r="A30" s="4" t="n">
        <v>1796</v>
      </c>
      <c r="B30" s="4" t="n">
        <f aca="false">COUNTIF(Events!$P$2:$P$1000,A30)</f>
        <v>0</v>
      </c>
    </row>
    <row r="31" customFormat="false" ht="15" hidden="false" customHeight="true" outlineLevel="0" collapsed="false">
      <c r="A31" s="4" t="n">
        <v>1797</v>
      </c>
      <c r="B31" s="4" t="n">
        <f aca="false">COUNTIF(Events!$P$2:$P$1000,A31)</f>
        <v>0</v>
      </c>
    </row>
    <row r="32" customFormat="false" ht="15" hidden="false" customHeight="true" outlineLevel="0" collapsed="false">
      <c r="A32" s="4" t="n">
        <v>1798</v>
      </c>
      <c r="B32" s="4" t="n">
        <f aca="false">COUNTIF(Events!$P$2:$P$1000,A32)</f>
        <v>0</v>
      </c>
    </row>
    <row r="33" customFormat="false" ht="15" hidden="false" customHeight="true" outlineLevel="0" collapsed="false">
      <c r="A33" s="4" t="n">
        <v>1799</v>
      </c>
      <c r="B33" s="4" t="n">
        <f aca="false">COUNTIF(Events!$P$2:$P$1000,A33)</f>
        <v>0</v>
      </c>
    </row>
    <row r="34" customFormat="false" ht="15" hidden="false" customHeight="true" outlineLevel="0" collapsed="false">
      <c r="A34" s="4" t="n">
        <v>1800</v>
      </c>
      <c r="B34" s="4" t="n">
        <f aca="false">COUNTIF(Events!$P$2:$P$1000,A34)</f>
        <v>0</v>
      </c>
    </row>
    <row r="35" customFormat="false" ht="15" hidden="false" customHeight="true" outlineLevel="0" collapsed="false">
      <c r="A35" s="4" t="n">
        <v>1801</v>
      </c>
      <c r="B35" s="4" t="n">
        <f aca="false">COUNTIF(Events!$P$2:$P$1000,A35)</f>
        <v>0</v>
      </c>
    </row>
    <row r="36" customFormat="false" ht="15" hidden="false" customHeight="true" outlineLevel="0" collapsed="false">
      <c r="A36" s="3" t="s">
        <v>10</v>
      </c>
      <c r="B36" s="3" t="n">
        <f aca="false">SUM(B23:B35)</f>
        <v>72</v>
      </c>
    </row>
    <row r="38" customFormat="false" ht="15" hidden="false" customHeight="true" outlineLevel="0" collapsed="false">
      <c r="A38" s="3" t="s">
        <v>19</v>
      </c>
      <c r="B38" s="4" t="n">
        <f aca="false">SUMPRODUCT((Events!$B$2:$B$1000&lt;&gt;"")/COUNTIF(Events!$B$2:$B$1000,Events!$B$2:$B$1000&amp;""))</f>
        <v>61</v>
      </c>
    </row>
    <row r="39" customFormat="false" ht="15" hidden="false" customHeight="true" outlineLevel="0" collapsed="false">
      <c r="A39" s="3" t="s">
        <v>20</v>
      </c>
      <c r="B39" s="4" t="n">
        <f aca="false">COUNTIF(Events!$I$2:$I$1000,"Unclear - check")</f>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9"/>
    <col collapsed="false" customWidth="true" hidden="false" outlineLevel="0" max="3" min="3" style="1" width="20"/>
    <col collapsed="false" customWidth="true" hidden="false" outlineLevel="0" max="4" min="4" style="1" width="9"/>
    <col collapsed="false" customWidth="true" hidden="false" outlineLevel="0" max="5" min="5" style="1" width="11"/>
    <col collapsed="false" customWidth="true" hidden="false" outlineLevel="0" max="6" min="6" style="1" width="18"/>
    <col collapsed="false" customWidth="true" hidden="false" outlineLevel="0" max="7" min="7" style="1" width="9"/>
    <col collapsed="false" customWidth="true" hidden="false" outlineLevel="0" max="8" min="8" style="1" width="16"/>
    <col collapsed="false" customWidth="true" hidden="false" outlineLevel="0" max="9" min="9" style="1" width="13"/>
    <col collapsed="false" customWidth="true" hidden="false" outlineLevel="0" max="10" min="10" style="1" width="16"/>
    <col collapsed="false" customWidth="true" hidden="false" outlineLevel="0" max="12" min="11" style="1" width="15"/>
    <col collapsed="false" customWidth="true" hidden="false" outlineLevel="0" max="13" min="13" style="1" width="55"/>
    <col collapsed="false" customWidth="true" hidden="false" outlineLevel="0" max="14" min="14" style="1" width="15"/>
    <col collapsed="false" customWidth="true" hidden="false" outlineLevel="0" max="15" min="15" style="1" width="11"/>
    <col collapsed="false" customWidth="true" hidden="false" outlineLevel="0" max="16" min="16" style="1" width="6"/>
    <col collapsed="false" customWidth="true" hidden="false" outlineLevel="0" max="17" min="17" style="1" width="22"/>
    <col collapsed="false" customWidth="true" hidden="false" outlineLevel="0" max="18" min="18" style="1" width="16"/>
    <col collapsed="false" customWidth="true" hidden="false" outlineLevel="0" max="19" min="19" style="1" width="15"/>
    <col collapsed="false" customWidth="true" hidden="false" outlineLevel="0" max="20" min="20" style="1" width="26"/>
    <col collapsed="false" customWidth="true" hidden="false" outlineLevel="0" max="21" min="21" style="1" width="17"/>
    <col collapsed="false" customWidth="true" hidden="false" outlineLevel="0" max="22" min="22" style="1" width="18"/>
    <col collapsed="false" customWidth="true" hidden="false" outlineLevel="0" max="23" min="23" style="1" width="12"/>
    <col collapsed="false" customWidth="true" hidden="false" outlineLevel="0" max="24" min="24" style="1" width="17"/>
    <col collapsed="false" customWidth="true" hidden="false" outlineLevel="0" max="25" min="25" style="1" width="15"/>
    <col collapsed="false" customWidth="true" hidden="false" outlineLevel="0" max="26" min="26" style="1" width="11"/>
    <col collapsed="false" customWidth="true" hidden="false" outlineLevel="0" max="27" min="27" style="1" width="24"/>
    <col collapsed="false" customWidth="true" hidden="false" outlineLevel="0" max="28" min="28" style="1" width="13"/>
    <col collapsed="false" customWidth="true" hidden="false" outlineLevel="0" max="29" min="29" style="1" width="36"/>
    <col collapsed="false" customWidth="true" hidden="false" outlineLevel="0" max="31" min="30" style="1" width="13"/>
    <col collapsed="false" customWidth="true" hidden="false" outlineLevel="0" max="32" min="32" style="1" width="14"/>
    <col collapsed="false" customWidth="true" hidden="false" outlineLevel="0" max="33" min="33" style="1" width="16"/>
    <col collapsed="false" customWidth="true" hidden="false" outlineLevel="0" max="34" min="34" style="1" width="14"/>
    <col collapsed="false" customWidth="true" hidden="false" outlineLevel="0" max="35" min="35" style="1" width="45"/>
  </cols>
  <sheetData>
    <row r="1" customFormat="false" ht="42" hidden="false" customHeight="true" outlineLevel="0" collapsed="false">
      <c r="A1" s="5" t="s">
        <v>21</v>
      </c>
      <c r="B1" s="5" t="s">
        <v>22</v>
      </c>
      <c r="C1" s="5" t="s">
        <v>2</v>
      </c>
      <c r="D1" s="5" t="s">
        <v>23</v>
      </c>
      <c r="E1" s="5" t="s">
        <v>24</v>
      </c>
      <c r="F1" s="5" t="s">
        <v>25</v>
      </c>
      <c r="G1" s="5" t="s">
        <v>26</v>
      </c>
      <c r="H1" s="5" t="s">
        <v>27</v>
      </c>
      <c r="I1" s="5" t="s">
        <v>28</v>
      </c>
      <c r="J1" s="5" t="s">
        <v>29</v>
      </c>
      <c r="K1" s="5" t="s">
        <v>30</v>
      </c>
      <c r="L1" s="5" t="s">
        <v>31</v>
      </c>
      <c r="M1" s="5" t="s">
        <v>32</v>
      </c>
      <c r="N1" s="5" t="s">
        <v>33</v>
      </c>
      <c r="O1" s="5" t="s">
        <v>34</v>
      </c>
      <c r="P1" s="5" t="s">
        <v>18</v>
      </c>
      <c r="Q1" s="5" t="s">
        <v>35</v>
      </c>
      <c r="R1" s="5" t="s">
        <v>36</v>
      </c>
      <c r="S1" s="5" t="s">
        <v>37</v>
      </c>
      <c r="T1" s="5" t="s">
        <v>38</v>
      </c>
      <c r="U1" s="5" t="s">
        <v>39</v>
      </c>
      <c r="V1" s="5" t="s">
        <v>40</v>
      </c>
      <c r="W1" s="5" t="s">
        <v>41</v>
      </c>
      <c r="X1" s="5" t="s">
        <v>42</v>
      </c>
      <c r="Y1" s="5" t="s">
        <v>12</v>
      </c>
      <c r="Z1" s="5" t="s">
        <v>43</v>
      </c>
      <c r="AA1" s="5" t="s">
        <v>44</v>
      </c>
      <c r="AB1" s="5" t="s">
        <v>45</v>
      </c>
      <c r="AC1" s="5" t="s">
        <v>46</v>
      </c>
      <c r="AD1" s="5" t="s">
        <v>47</v>
      </c>
      <c r="AE1" s="5" t="s">
        <v>48</v>
      </c>
      <c r="AF1" s="5" t="s">
        <v>49</v>
      </c>
      <c r="AG1" s="5" t="s">
        <v>50</v>
      </c>
      <c r="AH1" s="5" t="s">
        <v>51</v>
      </c>
      <c r="AI1" s="5" t="s">
        <v>52</v>
      </c>
    </row>
    <row r="2" customFormat="false" ht="45.75" hidden="false" customHeight="true" outlineLevel="0" collapsed="false">
      <c r="A2" s="6" t="s">
        <v>53</v>
      </c>
      <c r="B2" s="6" t="s">
        <v>54</v>
      </c>
      <c r="C2" s="7" t="s">
        <v>4</v>
      </c>
      <c r="D2" s="6" t="s">
        <v>55</v>
      </c>
      <c r="E2" s="6" t="s">
        <v>56</v>
      </c>
      <c r="F2" s="6" t="s">
        <v>57</v>
      </c>
      <c r="G2" s="6"/>
      <c r="H2" s="6" t="s">
        <v>58</v>
      </c>
      <c r="I2" s="6" t="s">
        <v>59</v>
      </c>
      <c r="J2" s="6"/>
      <c r="K2" s="6" t="s">
        <v>60</v>
      </c>
      <c r="L2" s="6" t="s">
        <v>61</v>
      </c>
      <c r="M2" s="6" t="s">
        <v>62</v>
      </c>
      <c r="N2" s="6" t="s">
        <v>63</v>
      </c>
      <c r="O2" s="8" t="s">
        <v>64</v>
      </c>
      <c r="P2" s="6" t="n">
        <f aca="false">IF(O2="","",VALUE(LEFT(O2,4)))</f>
        <v>1790</v>
      </c>
      <c r="Q2" s="6" t="s">
        <v>65</v>
      </c>
      <c r="R2" s="6" t="s">
        <v>66</v>
      </c>
      <c r="S2" s="6" t="s">
        <v>67</v>
      </c>
      <c r="T2" s="6" t="s">
        <v>68</v>
      </c>
      <c r="U2" s="6" t="s">
        <v>69</v>
      </c>
      <c r="V2" s="6"/>
      <c r="W2" s="6" t="str">
        <f aca="false">IF(O2="","",INDEX(Lookups!$B$2:$B$20,MATCH(O2,Lookups!$A$2:$A$20,1)))</f>
        <v>Grenville</v>
      </c>
      <c r="X2" s="6" t="s">
        <v>70</v>
      </c>
      <c r="Y2" s="6" t="s">
        <v>15</v>
      </c>
      <c r="Z2" s="6" t="s">
        <v>55</v>
      </c>
      <c r="AA2" s="6" t="s">
        <v>71</v>
      </c>
      <c r="AB2" s="6" t="s">
        <v>72</v>
      </c>
      <c r="AC2" s="6"/>
      <c r="AD2" s="6" t="s">
        <v>73</v>
      </c>
      <c r="AE2" s="6"/>
      <c r="AF2" s="6"/>
      <c r="AG2" s="6"/>
      <c r="AH2" s="6"/>
      <c r="AI2" s="6" t="s">
        <v>74</v>
      </c>
    </row>
    <row r="3" customFormat="false" ht="57" hidden="false" customHeight="true" outlineLevel="0" collapsed="false">
      <c r="A3" s="6" t="s">
        <v>75</v>
      </c>
      <c r="B3" s="6" t="s">
        <v>76</v>
      </c>
      <c r="C3" s="7" t="s">
        <v>4</v>
      </c>
      <c r="D3" s="6" t="s">
        <v>55</v>
      </c>
      <c r="E3" s="6" t="s">
        <v>56</v>
      </c>
      <c r="F3" s="6" t="s">
        <v>77</v>
      </c>
      <c r="G3" s="6"/>
      <c r="H3" s="6" t="s">
        <v>78</v>
      </c>
      <c r="I3" s="6" t="s">
        <v>59</v>
      </c>
      <c r="J3" s="6"/>
      <c r="K3" s="6" t="s">
        <v>60</v>
      </c>
      <c r="L3" s="6" t="s">
        <v>61</v>
      </c>
      <c r="M3" s="6" t="s">
        <v>79</v>
      </c>
      <c r="N3" s="6" t="s">
        <v>80</v>
      </c>
      <c r="O3" s="8" t="s">
        <v>81</v>
      </c>
      <c r="P3" s="6" t="n">
        <f aca="false">IF(O3="","",VALUE(LEFT(O3,4)))</f>
        <v>1790</v>
      </c>
      <c r="Q3" s="6" t="s">
        <v>82</v>
      </c>
      <c r="R3" s="6" t="s">
        <v>82</v>
      </c>
      <c r="S3" s="6" t="s">
        <v>83</v>
      </c>
      <c r="T3" s="6" t="s">
        <v>84</v>
      </c>
      <c r="U3" s="6" t="s">
        <v>85</v>
      </c>
      <c r="V3" s="6" t="s">
        <v>86</v>
      </c>
      <c r="W3" s="6" t="str">
        <f aca="false">IF(O3="","",INDEX(Lookups!$B$2:$B$20,MATCH(O3,Lookups!$A$2:$A$20,1)))</f>
        <v>Grenville</v>
      </c>
      <c r="X3" s="6" t="s">
        <v>87</v>
      </c>
      <c r="Y3" s="6" t="s">
        <v>14</v>
      </c>
      <c r="Z3" s="6" t="s">
        <v>88</v>
      </c>
      <c r="AA3" s="6" t="s">
        <v>89</v>
      </c>
      <c r="AB3" s="6" t="s">
        <v>72</v>
      </c>
      <c r="AC3" s="6"/>
      <c r="AD3" s="6" t="s">
        <v>90</v>
      </c>
      <c r="AE3" s="6"/>
      <c r="AF3" s="6"/>
      <c r="AG3" s="6"/>
      <c r="AH3" s="6"/>
      <c r="AI3" s="6" t="s">
        <v>91</v>
      </c>
    </row>
    <row r="4" customFormat="false" ht="57" hidden="false" customHeight="true" outlineLevel="0" collapsed="false">
      <c r="A4" s="6" t="s">
        <v>92</v>
      </c>
      <c r="B4" s="6" t="s">
        <v>93</v>
      </c>
      <c r="C4" s="7" t="s">
        <v>4</v>
      </c>
      <c r="D4" s="6" t="s">
        <v>55</v>
      </c>
      <c r="E4" s="6" t="s">
        <v>94</v>
      </c>
      <c r="F4" s="6" t="s">
        <v>95</v>
      </c>
      <c r="G4" s="6"/>
      <c r="H4" s="6" t="s">
        <v>96</v>
      </c>
      <c r="I4" s="6" t="s">
        <v>59</v>
      </c>
      <c r="J4" s="6"/>
      <c r="K4" s="6" t="s">
        <v>60</v>
      </c>
      <c r="L4" s="6" t="s">
        <v>61</v>
      </c>
      <c r="M4" s="6" t="s">
        <v>97</v>
      </c>
      <c r="N4" s="6" t="s">
        <v>98</v>
      </c>
      <c r="O4" s="8" t="s">
        <v>99</v>
      </c>
      <c r="P4" s="6" t="n">
        <f aca="false">IF(O4="","",VALUE(LEFT(O4,4)))</f>
        <v>1795</v>
      </c>
      <c r="Q4" s="6" t="s">
        <v>100</v>
      </c>
      <c r="R4" s="6" t="s">
        <v>100</v>
      </c>
      <c r="S4" s="6" t="s">
        <v>101</v>
      </c>
      <c r="T4" s="6" t="s">
        <v>102</v>
      </c>
      <c r="U4" s="6" t="s">
        <v>69</v>
      </c>
      <c r="V4" s="6"/>
      <c r="W4" s="6" t="str">
        <f aca="false">IF(O4="","",INDEX(Lookups!$B$2:$B$20,MATCH(O4,Lookups!$A$2:$A$20,1)))</f>
        <v>Portland</v>
      </c>
      <c r="X4" s="6" t="s">
        <v>103</v>
      </c>
      <c r="Y4" s="6" t="s">
        <v>14</v>
      </c>
      <c r="Z4" s="6" t="s">
        <v>72</v>
      </c>
      <c r="AA4" s="6" t="s">
        <v>104</v>
      </c>
      <c r="AB4" s="6" t="s">
        <v>72</v>
      </c>
      <c r="AC4" s="6" t="s">
        <v>105</v>
      </c>
      <c r="AD4" s="6" t="s">
        <v>106</v>
      </c>
      <c r="AE4" s="6" t="s">
        <v>107</v>
      </c>
      <c r="AF4" s="6" t="s">
        <v>108</v>
      </c>
      <c r="AG4" s="6" t="s">
        <v>109</v>
      </c>
      <c r="AH4" s="6" t="s">
        <v>110</v>
      </c>
      <c r="AI4" s="6" t="s">
        <v>111</v>
      </c>
    </row>
    <row r="5" customFormat="false" ht="45.75" hidden="false" customHeight="true" outlineLevel="0" collapsed="false">
      <c r="A5" s="6" t="s">
        <v>112</v>
      </c>
      <c r="B5" s="6" t="s">
        <v>113</v>
      </c>
      <c r="C5" s="9" t="s">
        <v>5</v>
      </c>
      <c r="D5" s="6" t="s">
        <v>88</v>
      </c>
      <c r="E5" s="6" t="s">
        <v>94</v>
      </c>
      <c r="F5" s="6" t="s">
        <v>114</v>
      </c>
      <c r="G5" s="6"/>
      <c r="H5" s="6" t="s">
        <v>115</v>
      </c>
      <c r="I5" s="6" t="s">
        <v>59</v>
      </c>
      <c r="J5" s="6"/>
      <c r="K5" s="6" t="s">
        <v>60</v>
      </c>
      <c r="L5" s="6" t="s">
        <v>116</v>
      </c>
      <c r="M5" s="6" t="s">
        <v>117</v>
      </c>
      <c r="N5" s="6" t="s">
        <v>118</v>
      </c>
      <c r="O5" s="8" t="s">
        <v>119</v>
      </c>
      <c r="P5" s="6" t="n">
        <f aca="false">IF(O5="","",VALUE(LEFT(O5,4)))</f>
        <v>1795</v>
      </c>
      <c r="Q5" s="6" t="s">
        <v>120</v>
      </c>
      <c r="R5" s="6" t="s">
        <v>120</v>
      </c>
      <c r="S5" s="6" t="s">
        <v>121</v>
      </c>
      <c r="T5" s="6" t="s">
        <v>122</v>
      </c>
      <c r="U5" s="6" t="s">
        <v>85</v>
      </c>
      <c r="V5" s="6" t="s">
        <v>123</v>
      </c>
      <c r="W5" s="6" t="str">
        <f aca="false">IF(O5="","",INDEX(Lookups!$B$2:$B$20,MATCH(O5,Lookups!$A$2:$A$20,1)))</f>
        <v>Portland</v>
      </c>
      <c r="X5" s="6" t="s">
        <v>124</v>
      </c>
      <c r="Y5" s="6"/>
      <c r="Z5" s="6"/>
      <c r="AA5" s="6"/>
      <c r="AB5" s="6"/>
      <c r="AC5" s="6" t="s">
        <v>125</v>
      </c>
      <c r="AD5" s="6" t="s">
        <v>106</v>
      </c>
      <c r="AE5" s="6" t="s">
        <v>126</v>
      </c>
      <c r="AF5" s="6"/>
      <c r="AG5" s="6" t="s">
        <v>127</v>
      </c>
      <c r="AH5" s="6" t="s">
        <v>9</v>
      </c>
      <c r="AI5" s="6" t="s">
        <v>128</v>
      </c>
    </row>
    <row r="6" customFormat="false" ht="57" hidden="false" customHeight="true" outlineLevel="0" collapsed="false">
      <c r="A6" s="6" t="s">
        <v>129</v>
      </c>
      <c r="B6" s="6" t="s">
        <v>130</v>
      </c>
      <c r="C6" s="9" t="s">
        <v>6</v>
      </c>
      <c r="D6" s="6" t="s">
        <v>55</v>
      </c>
      <c r="E6" s="6" t="s">
        <v>94</v>
      </c>
      <c r="F6" s="6" t="s">
        <v>131</v>
      </c>
      <c r="G6" s="6"/>
      <c r="H6" s="6" t="s">
        <v>132</v>
      </c>
      <c r="I6" s="6" t="s">
        <v>59</v>
      </c>
      <c r="J6" s="6"/>
      <c r="K6" s="6" t="s">
        <v>60</v>
      </c>
      <c r="L6" s="6" t="s">
        <v>61</v>
      </c>
      <c r="M6" s="6" t="s">
        <v>133</v>
      </c>
      <c r="N6" s="6" t="s">
        <v>134</v>
      </c>
      <c r="O6" s="8" t="s">
        <v>135</v>
      </c>
      <c r="P6" s="6" t="n">
        <f aca="false">IF(O6="","",VALUE(LEFT(O6,4)))</f>
        <v>1795</v>
      </c>
      <c r="Q6" s="6" t="s">
        <v>136</v>
      </c>
      <c r="R6" s="6" t="s">
        <v>136</v>
      </c>
      <c r="S6" s="6" t="s">
        <v>137</v>
      </c>
      <c r="T6" s="6" t="s">
        <v>138</v>
      </c>
      <c r="U6" s="6" t="s">
        <v>139</v>
      </c>
      <c r="V6" s="6"/>
      <c r="W6" s="6" t="str">
        <f aca="false">IF(O6="","",INDEX(Lookups!$B$2:$B$20,MATCH(O6,Lookups!$A$2:$A$20,1)))</f>
        <v>Portland</v>
      </c>
      <c r="X6" s="6" t="s">
        <v>140</v>
      </c>
      <c r="Y6" s="6"/>
      <c r="Z6" s="6"/>
      <c r="AA6" s="6"/>
      <c r="AB6" s="6" t="s">
        <v>141</v>
      </c>
      <c r="AC6" s="6"/>
      <c r="AD6" s="6"/>
      <c r="AE6" s="6"/>
      <c r="AF6" s="6"/>
      <c r="AG6" s="6"/>
      <c r="AH6" s="6"/>
      <c r="AI6" s="6" t="s">
        <v>142</v>
      </c>
    </row>
    <row r="7" customFormat="false" ht="45.75" hidden="false" customHeight="true" outlineLevel="0" collapsed="false">
      <c r="A7" s="6" t="s">
        <v>143</v>
      </c>
      <c r="B7" s="6" t="s">
        <v>130</v>
      </c>
      <c r="C7" s="9" t="s">
        <v>6</v>
      </c>
      <c r="D7" s="6" t="s">
        <v>55</v>
      </c>
      <c r="E7" s="6" t="s">
        <v>94</v>
      </c>
      <c r="F7" s="6" t="s">
        <v>131</v>
      </c>
      <c r="G7" s="6"/>
      <c r="H7" s="6" t="s">
        <v>144</v>
      </c>
      <c r="I7" s="6" t="s">
        <v>59</v>
      </c>
      <c r="J7" s="6"/>
      <c r="K7" s="6" t="s">
        <v>60</v>
      </c>
      <c r="L7" s="6" t="s">
        <v>61</v>
      </c>
      <c r="M7" s="6" t="s">
        <v>145</v>
      </c>
      <c r="N7" s="6" t="s">
        <v>146</v>
      </c>
      <c r="O7" s="8" t="s">
        <v>147</v>
      </c>
      <c r="P7" s="6" t="n">
        <f aca="false">IF(O7="","",VALUE(LEFT(O7,4)))</f>
        <v>1795</v>
      </c>
      <c r="Q7" s="6" t="s">
        <v>136</v>
      </c>
      <c r="R7" s="6" t="s">
        <v>136</v>
      </c>
      <c r="S7" s="6" t="s">
        <v>137</v>
      </c>
      <c r="T7" s="6" t="s">
        <v>148</v>
      </c>
      <c r="U7" s="6" t="s">
        <v>139</v>
      </c>
      <c r="V7" s="6"/>
      <c r="W7" s="6" t="str">
        <f aca="false">IF(O7="","",INDEX(Lookups!$B$2:$B$20,MATCH(O7,Lookups!$A$2:$A$20,1)))</f>
        <v>Portland</v>
      </c>
      <c r="X7" s="6" t="s">
        <v>140</v>
      </c>
      <c r="Y7" s="6"/>
      <c r="Z7" s="6"/>
      <c r="AA7" s="6"/>
      <c r="AB7" s="6" t="s">
        <v>141</v>
      </c>
      <c r="AC7" s="6"/>
      <c r="AD7" s="6"/>
      <c r="AE7" s="6"/>
      <c r="AF7" s="6"/>
      <c r="AG7" s="6"/>
      <c r="AH7" s="6"/>
      <c r="AI7" s="6" t="s">
        <v>149</v>
      </c>
    </row>
    <row r="8" customFormat="false" ht="34.5" hidden="false" customHeight="true" outlineLevel="0" collapsed="false">
      <c r="A8" s="6" t="s">
        <v>150</v>
      </c>
      <c r="B8" s="6" t="s">
        <v>130</v>
      </c>
      <c r="C8" s="9" t="s">
        <v>6</v>
      </c>
      <c r="D8" s="6" t="s">
        <v>55</v>
      </c>
      <c r="E8" s="6" t="s">
        <v>94</v>
      </c>
      <c r="F8" s="6" t="s">
        <v>131</v>
      </c>
      <c r="G8" s="6"/>
      <c r="H8" s="6" t="s">
        <v>151</v>
      </c>
      <c r="I8" s="6" t="s">
        <v>59</v>
      </c>
      <c r="J8" s="6"/>
      <c r="K8" s="6" t="s">
        <v>60</v>
      </c>
      <c r="L8" s="6" t="s">
        <v>61</v>
      </c>
      <c r="M8" s="6" t="s">
        <v>152</v>
      </c>
      <c r="N8" s="6" t="s">
        <v>146</v>
      </c>
      <c r="O8" s="8" t="s">
        <v>147</v>
      </c>
      <c r="P8" s="6" t="n">
        <f aca="false">IF(O8="","",VALUE(LEFT(O8,4)))</f>
        <v>1795</v>
      </c>
      <c r="Q8" s="6" t="s">
        <v>136</v>
      </c>
      <c r="R8" s="6" t="s">
        <v>136</v>
      </c>
      <c r="S8" s="6" t="s">
        <v>137</v>
      </c>
      <c r="T8" s="6" t="s">
        <v>153</v>
      </c>
      <c r="U8" s="6" t="s">
        <v>85</v>
      </c>
      <c r="V8" s="6"/>
      <c r="W8" s="6" t="str">
        <f aca="false">IF(O8="","",INDEX(Lookups!$B$2:$B$20,MATCH(O8,Lookups!$A$2:$A$20,1)))</f>
        <v>Portland</v>
      </c>
      <c r="X8" s="6" t="s">
        <v>140</v>
      </c>
      <c r="Y8" s="6"/>
      <c r="Z8" s="6"/>
      <c r="AA8" s="6"/>
      <c r="AB8" s="6" t="s">
        <v>141</v>
      </c>
      <c r="AC8" s="6"/>
      <c r="AD8" s="6"/>
      <c r="AE8" s="6"/>
      <c r="AF8" s="6"/>
      <c r="AG8" s="6"/>
      <c r="AH8" s="6"/>
      <c r="AI8" s="6" t="s">
        <v>154</v>
      </c>
    </row>
    <row r="9" customFormat="false" ht="57" hidden="false" customHeight="true" outlineLevel="0" collapsed="false">
      <c r="A9" s="6" t="s">
        <v>155</v>
      </c>
      <c r="B9" s="6" t="s">
        <v>130</v>
      </c>
      <c r="C9" s="7" t="s">
        <v>4</v>
      </c>
      <c r="D9" s="6" t="s">
        <v>55</v>
      </c>
      <c r="E9" s="6" t="s">
        <v>94</v>
      </c>
      <c r="F9" s="6" t="s">
        <v>131</v>
      </c>
      <c r="G9" s="6"/>
      <c r="H9" s="6" t="s">
        <v>156</v>
      </c>
      <c r="I9" s="6" t="s">
        <v>59</v>
      </c>
      <c r="J9" s="6"/>
      <c r="K9" s="6" t="s">
        <v>60</v>
      </c>
      <c r="L9" s="6" t="s">
        <v>61</v>
      </c>
      <c r="M9" s="6" t="s">
        <v>157</v>
      </c>
      <c r="N9" s="6" t="s">
        <v>158</v>
      </c>
      <c r="O9" s="8" t="s">
        <v>159</v>
      </c>
      <c r="P9" s="6" t="n">
        <f aca="false">IF(O9="","",VALUE(LEFT(O9,4)))</f>
        <v>1795</v>
      </c>
      <c r="Q9" s="6" t="s">
        <v>160</v>
      </c>
      <c r="R9" s="6" t="s">
        <v>136</v>
      </c>
      <c r="S9" s="6" t="s">
        <v>137</v>
      </c>
      <c r="T9" s="6" t="s">
        <v>161</v>
      </c>
      <c r="U9" s="6" t="s">
        <v>69</v>
      </c>
      <c r="V9" s="6"/>
      <c r="W9" s="6" t="str">
        <f aca="false">IF(O9="","",INDEX(Lookups!$B$2:$B$20,MATCH(O9,Lookups!$A$2:$A$20,1)))</f>
        <v>Portland</v>
      </c>
      <c r="X9" s="6" t="s">
        <v>140</v>
      </c>
      <c r="Y9" s="6" t="s">
        <v>13</v>
      </c>
      <c r="Z9" s="6" t="s">
        <v>88</v>
      </c>
      <c r="AA9" s="6" t="s">
        <v>162</v>
      </c>
      <c r="AB9" s="6" t="s">
        <v>141</v>
      </c>
      <c r="AC9" s="6"/>
      <c r="AD9" s="6"/>
      <c r="AE9" s="6"/>
      <c r="AF9" s="6"/>
      <c r="AG9" s="6"/>
      <c r="AH9" s="6"/>
      <c r="AI9" s="6" t="s">
        <v>163</v>
      </c>
    </row>
    <row r="10" customFormat="false" ht="34.5" hidden="false" customHeight="true" outlineLevel="0" collapsed="false">
      <c r="A10" s="6" t="s">
        <v>164</v>
      </c>
      <c r="B10" s="6" t="s">
        <v>165</v>
      </c>
      <c r="C10" s="9" t="s">
        <v>6</v>
      </c>
      <c r="D10" s="6" t="s">
        <v>55</v>
      </c>
      <c r="E10" s="6" t="s">
        <v>94</v>
      </c>
      <c r="F10" s="6" t="s">
        <v>95</v>
      </c>
      <c r="G10" s="6"/>
      <c r="H10" s="6" t="s">
        <v>166</v>
      </c>
      <c r="I10" s="6" t="s">
        <v>59</v>
      </c>
      <c r="J10" s="6"/>
      <c r="K10" s="6" t="s">
        <v>60</v>
      </c>
      <c r="L10" s="6" t="s">
        <v>61</v>
      </c>
      <c r="M10" s="6" t="s">
        <v>167</v>
      </c>
      <c r="N10" s="6" t="s">
        <v>168</v>
      </c>
      <c r="O10" s="8" t="s">
        <v>169</v>
      </c>
      <c r="P10" s="6" t="n">
        <f aca="false">IF(O10="","",VALUE(LEFT(O10,4)))</f>
        <v>1795</v>
      </c>
      <c r="Q10" s="6" t="s">
        <v>170</v>
      </c>
      <c r="R10" s="6" t="s">
        <v>171</v>
      </c>
      <c r="S10" s="6" t="s">
        <v>172</v>
      </c>
      <c r="T10" s="6" t="s">
        <v>173</v>
      </c>
      <c r="U10" s="6" t="s">
        <v>174</v>
      </c>
      <c r="V10" s="6"/>
      <c r="W10" s="6" t="str">
        <f aca="false">IF(O10="","",INDEX(Lookups!$B$2:$B$20,MATCH(O10,Lookups!$A$2:$A$20,1)))</f>
        <v>Portland</v>
      </c>
      <c r="X10" s="6"/>
      <c r="Y10" s="6"/>
      <c r="Z10" s="6"/>
      <c r="AA10" s="6"/>
      <c r="AB10" s="6"/>
      <c r="AC10" s="6"/>
      <c r="AD10" s="6"/>
      <c r="AE10" s="6"/>
      <c r="AF10" s="6"/>
      <c r="AG10" s="6"/>
      <c r="AH10" s="6"/>
      <c r="AI10" s="6" t="s">
        <v>175</v>
      </c>
    </row>
    <row r="11" customFormat="false" ht="57" hidden="false" customHeight="true" outlineLevel="0" collapsed="false">
      <c r="A11" s="6" t="s">
        <v>176</v>
      </c>
      <c r="B11" s="6" t="s">
        <v>177</v>
      </c>
      <c r="C11" s="9" t="s">
        <v>5</v>
      </c>
      <c r="D11" s="6" t="s">
        <v>88</v>
      </c>
      <c r="E11" s="6" t="s">
        <v>178</v>
      </c>
      <c r="F11" s="6" t="s">
        <v>179</v>
      </c>
      <c r="G11" s="6"/>
      <c r="H11" s="6" t="s">
        <v>180</v>
      </c>
      <c r="I11" s="6" t="s">
        <v>59</v>
      </c>
      <c r="J11" s="6"/>
      <c r="K11" s="6" t="s">
        <v>60</v>
      </c>
      <c r="L11" s="6" t="s">
        <v>116</v>
      </c>
      <c r="M11" s="6" t="s">
        <v>181</v>
      </c>
      <c r="N11" s="6" t="s">
        <v>182</v>
      </c>
      <c r="O11" s="8" t="s">
        <v>183</v>
      </c>
      <c r="P11" s="6" t="n">
        <f aca="false">IF(O11="","",VALUE(LEFT(O11,4)))</f>
        <v>1794</v>
      </c>
      <c r="Q11" s="6" t="s">
        <v>184</v>
      </c>
      <c r="R11" s="6" t="s">
        <v>184</v>
      </c>
      <c r="S11" s="6" t="s">
        <v>185</v>
      </c>
      <c r="T11" s="6" t="s">
        <v>186</v>
      </c>
      <c r="U11" s="6" t="s">
        <v>187</v>
      </c>
      <c r="V11" s="6"/>
      <c r="W11" s="6" t="str">
        <f aca="false">IF(O11="","",INDEX(Lookups!$B$2:$B$20,MATCH(O11,Lookups!$A$2:$A$20,1)))</f>
        <v>Dundas</v>
      </c>
      <c r="X11" s="6" t="s">
        <v>124</v>
      </c>
      <c r="Y11" s="6"/>
      <c r="Z11" s="6"/>
      <c r="AA11" s="6"/>
      <c r="AB11" s="6"/>
      <c r="AC11" s="6"/>
      <c r="AD11" s="6"/>
      <c r="AE11" s="6"/>
      <c r="AF11" s="6"/>
      <c r="AG11" s="6"/>
      <c r="AH11" s="6"/>
      <c r="AI11" s="6" t="s">
        <v>188</v>
      </c>
    </row>
    <row r="12" customFormat="false" ht="45.75" hidden="false" customHeight="true" outlineLevel="0" collapsed="false">
      <c r="A12" s="6" t="s">
        <v>189</v>
      </c>
      <c r="B12" s="6" t="s">
        <v>190</v>
      </c>
      <c r="C12" s="9" t="s">
        <v>5</v>
      </c>
      <c r="D12" s="6" t="s">
        <v>88</v>
      </c>
      <c r="E12" s="6" t="s">
        <v>178</v>
      </c>
      <c r="F12" s="6" t="s">
        <v>179</v>
      </c>
      <c r="G12" s="6"/>
      <c r="H12" s="6" t="s">
        <v>191</v>
      </c>
      <c r="I12" s="6" t="s">
        <v>59</v>
      </c>
      <c r="J12" s="6"/>
      <c r="K12" s="6" t="s">
        <v>60</v>
      </c>
      <c r="L12" s="6" t="s">
        <v>61</v>
      </c>
      <c r="M12" s="6" t="s">
        <v>192</v>
      </c>
      <c r="N12" s="6" t="s">
        <v>193</v>
      </c>
      <c r="O12" s="8" t="s">
        <v>194</v>
      </c>
      <c r="P12" s="6" t="n">
        <f aca="false">IF(O12="","",VALUE(LEFT(O12,4)))</f>
        <v>1794</v>
      </c>
      <c r="Q12" s="6" t="s">
        <v>195</v>
      </c>
      <c r="R12" s="6" t="s">
        <v>195</v>
      </c>
      <c r="S12" s="6" t="s">
        <v>196</v>
      </c>
      <c r="T12" s="6" t="s">
        <v>197</v>
      </c>
      <c r="U12" s="6" t="s">
        <v>187</v>
      </c>
      <c r="V12" s="6"/>
      <c r="W12" s="6" t="str">
        <f aca="false">IF(O12="","",INDEX(Lookups!$B$2:$B$20,MATCH(O12,Lookups!$A$2:$A$20,1)))</f>
        <v>Dundas</v>
      </c>
      <c r="X12" s="6" t="s">
        <v>124</v>
      </c>
      <c r="Y12" s="6"/>
      <c r="Z12" s="6"/>
      <c r="AA12" s="6"/>
      <c r="AB12" s="6"/>
      <c r="AC12" s="6"/>
      <c r="AD12" s="6"/>
      <c r="AE12" s="6"/>
      <c r="AF12" s="6"/>
      <c r="AG12" s="6"/>
      <c r="AH12" s="6"/>
      <c r="AI12" s="6" t="s">
        <v>198</v>
      </c>
    </row>
    <row r="13" customFormat="false" ht="45.75" hidden="false" customHeight="true" outlineLevel="0" collapsed="false">
      <c r="A13" s="6" t="s">
        <v>199</v>
      </c>
      <c r="B13" s="6" t="s">
        <v>200</v>
      </c>
      <c r="C13" s="10" t="s">
        <v>7</v>
      </c>
      <c r="D13" s="6" t="s">
        <v>88</v>
      </c>
      <c r="E13" s="6" t="s">
        <v>178</v>
      </c>
      <c r="F13" s="6" t="s">
        <v>179</v>
      </c>
      <c r="G13" s="6"/>
      <c r="H13" s="6" t="s">
        <v>201</v>
      </c>
      <c r="I13" s="6" t="s">
        <v>59</v>
      </c>
      <c r="J13" s="6"/>
      <c r="K13" s="6" t="s">
        <v>60</v>
      </c>
      <c r="L13" s="6" t="s">
        <v>61</v>
      </c>
      <c r="M13" s="6" t="s">
        <v>202</v>
      </c>
      <c r="N13" s="6" t="s">
        <v>203</v>
      </c>
      <c r="O13" s="8" t="s">
        <v>204</v>
      </c>
      <c r="P13" s="6" t="n">
        <f aca="false">IF(O13="","",VALUE(LEFT(O13,4)))</f>
        <v>1794</v>
      </c>
      <c r="Q13" s="6" t="s">
        <v>120</v>
      </c>
      <c r="R13" s="6" t="s">
        <v>120</v>
      </c>
      <c r="S13" s="6" t="s">
        <v>121</v>
      </c>
      <c r="T13" s="6" t="s">
        <v>205</v>
      </c>
      <c r="U13" s="6" t="s">
        <v>85</v>
      </c>
      <c r="V13" s="6"/>
      <c r="W13" s="6" t="str">
        <f aca="false">IF(O13="","",INDEX(Lookups!$B$2:$B$20,MATCH(O13,Lookups!$A$2:$A$20,1)))</f>
        <v>Dundas</v>
      </c>
      <c r="X13" s="6" t="s">
        <v>206</v>
      </c>
      <c r="Y13" s="6" t="s">
        <v>14</v>
      </c>
      <c r="Z13" s="6"/>
      <c r="AA13" s="6" t="s">
        <v>207</v>
      </c>
      <c r="AB13" s="6" t="s">
        <v>72</v>
      </c>
      <c r="AC13" s="6"/>
      <c r="AD13" s="6"/>
      <c r="AE13" s="6"/>
      <c r="AF13" s="6"/>
      <c r="AG13" s="6"/>
      <c r="AH13" s="6"/>
      <c r="AI13" s="6" t="s">
        <v>208</v>
      </c>
    </row>
    <row r="14" customFormat="false" ht="45.75" hidden="false" customHeight="true" outlineLevel="0" collapsed="false">
      <c r="A14" s="6" t="s">
        <v>209</v>
      </c>
      <c r="B14" s="6" t="s">
        <v>210</v>
      </c>
      <c r="C14" s="10" t="s">
        <v>7</v>
      </c>
      <c r="D14" s="6" t="s">
        <v>55</v>
      </c>
      <c r="E14" s="6" t="s">
        <v>178</v>
      </c>
      <c r="F14" s="6" t="s">
        <v>179</v>
      </c>
      <c r="G14" s="6"/>
      <c r="H14" s="6" t="s">
        <v>211</v>
      </c>
      <c r="I14" s="6" t="s">
        <v>59</v>
      </c>
      <c r="J14" s="6"/>
      <c r="K14" s="6" t="s">
        <v>60</v>
      </c>
      <c r="L14" s="6" t="s">
        <v>61</v>
      </c>
      <c r="M14" s="6" t="s">
        <v>212</v>
      </c>
      <c r="N14" s="6" t="s">
        <v>213</v>
      </c>
      <c r="O14" s="8" t="s">
        <v>214</v>
      </c>
      <c r="P14" s="6" t="n">
        <f aca="false">IF(O14="","",VALUE(LEFT(O14,4)))</f>
        <v>1794</v>
      </c>
      <c r="Q14" s="6" t="s">
        <v>215</v>
      </c>
      <c r="R14" s="6" t="s">
        <v>215</v>
      </c>
      <c r="S14" s="6" t="s">
        <v>67</v>
      </c>
      <c r="T14" s="6" t="s">
        <v>216</v>
      </c>
      <c r="U14" s="6" t="s">
        <v>217</v>
      </c>
      <c r="V14" s="6"/>
      <c r="W14" s="6" t="str">
        <f aca="false">IF(O14="","",INDEX(Lookups!$B$2:$B$20,MATCH(O14,Lookups!$A$2:$A$20,1)))</f>
        <v>Dundas</v>
      </c>
      <c r="X14" s="6" t="s">
        <v>124</v>
      </c>
      <c r="Y14" s="6"/>
      <c r="Z14" s="6"/>
      <c r="AA14" s="6"/>
      <c r="AB14" s="6"/>
      <c r="AC14" s="6"/>
      <c r="AD14" s="6"/>
      <c r="AE14" s="6"/>
      <c r="AF14" s="6"/>
      <c r="AG14" s="6"/>
      <c r="AH14" s="6"/>
      <c r="AI14" s="6" t="s">
        <v>218</v>
      </c>
    </row>
    <row r="15" customFormat="false" ht="45.75" hidden="false" customHeight="true" outlineLevel="0" collapsed="false">
      <c r="A15" s="6" t="s">
        <v>219</v>
      </c>
      <c r="B15" s="6" t="s">
        <v>220</v>
      </c>
      <c r="C15" s="7" t="s">
        <v>4</v>
      </c>
      <c r="D15" s="6" t="s">
        <v>55</v>
      </c>
      <c r="E15" s="6" t="s">
        <v>221</v>
      </c>
      <c r="F15" s="6" t="s">
        <v>222</v>
      </c>
      <c r="G15" s="6"/>
      <c r="H15" s="6" t="s">
        <v>223</v>
      </c>
      <c r="I15" s="6" t="s">
        <v>59</v>
      </c>
      <c r="J15" s="6"/>
      <c r="K15" s="6" t="s">
        <v>60</v>
      </c>
      <c r="L15" s="6" t="s">
        <v>61</v>
      </c>
      <c r="M15" s="6" t="s">
        <v>224</v>
      </c>
      <c r="N15" s="6" t="s">
        <v>225</v>
      </c>
      <c r="O15" s="8" t="s">
        <v>226</v>
      </c>
      <c r="P15" s="6" t="n">
        <f aca="false">IF(O15="","",VALUE(LEFT(O15,4)))</f>
        <v>1794</v>
      </c>
      <c r="Q15" s="6" t="s">
        <v>227</v>
      </c>
      <c r="R15" s="6" t="s">
        <v>227</v>
      </c>
      <c r="S15" s="6" t="s">
        <v>228</v>
      </c>
      <c r="T15" s="6" t="s">
        <v>229</v>
      </c>
      <c r="U15" s="6" t="s">
        <v>85</v>
      </c>
      <c r="V15" s="6" t="s">
        <v>230</v>
      </c>
      <c r="W15" s="6" t="str">
        <f aca="false">IF(O15="","",INDEX(Lookups!$B$2:$B$20,MATCH(O15,Lookups!$A$2:$A$20,1)))</f>
        <v>Portland</v>
      </c>
      <c r="X15" s="6" t="s">
        <v>231</v>
      </c>
      <c r="Y15" s="6" t="s">
        <v>13</v>
      </c>
      <c r="Z15" s="6" t="s">
        <v>88</v>
      </c>
      <c r="AA15" s="6" t="s">
        <v>232</v>
      </c>
      <c r="AB15" s="6" t="s">
        <v>88</v>
      </c>
      <c r="AC15" s="6"/>
      <c r="AD15" s="6"/>
      <c r="AE15" s="6"/>
      <c r="AF15" s="6"/>
      <c r="AG15" s="6"/>
      <c r="AH15" s="6"/>
      <c r="AI15" s="6" t="s">
        <v>233</v>
      </c>
    </row>
    <row r="16" customFormat="false" ht="45.75" hidden="false" customHeight="true" outlineLevel="0" collapsed="false">
      <c r="A16" s="6" t="s">
        <v>234</v>
      </c>
      <c r="B16" s="6" t="s">
        <v>220</v>
      </c>
      <c r="C16" s="11" t="s">
        <v>8</v>
      </c>
      <c r="D16" s="6" t="s">
        <v>55</v>
      </c>
      <c r="E16" s="6" t="s">
        <v>221</v>
      </c>
      <c r="F16" s="6" t="s">
        <v>235</v>
      </c>
      <c r="G16" s="6"/>
      <c r="H16" s="6" t="s">
        <v>236</v>
      </c>
      <c r="I16" s="6" t="s">
        <v>59</v>
      </c>
      <c r="J16" s="6"/>
      <c r="K16" s="6" t="s">
        <v>60</v>
      </c>
      <c r="L16" s="6" t="s">
        <v>61</v>
      </c>
      <c r="M16" s="6" t="s">
        <v>237</v>
      </c>
      <c r="N16" s="6" t="s">
        <v>238</v>
      </c>
      <c r="O16" s="8" t="s">
        <v>239</v>
      </c>
      <c r="P16" s="6" t="n">
        <f aca="false">IF(O16="","",VALUE(LEFT(O16,4)))</f>
        <v>1794</v>
      </c>
      <c r="Q16" s="6" t="s">
        <v>240</v>
      </c>
      <c r="R16" s="6" t="s">
        <v>227</v>
      </c>
      <c r="S16" s="6" t="s">
        <v>241</v>
      </c>
      <c r="T16" s="6" t="s">
        <v>242</v>
      </c>
      <c r="U16" s="6" t="s">
        <v>69</v>
      </c>
      <c r="V16" s="6"/>
      <c r="W16" s="6" t="str">
        <f aca="false">IF(O16="","",INDEX(Lookups!$B$2:$B$20,MATCH(O16,Lookups!$A$2:$A$20,1)))</f>
        <v>Portland</v>
      </c>
      <c r="X16" s="6"/>
      <c r="Y16" s="6"/>
      <c r="Z16" s="6"/>
      <c r="AA16" s="6"/>
      <c r="AB16" s="6"/>
      <c r="AC16" s="6"/>
      <c r="AD16" s="6"/>
      <c r="AE16" s="6"/>
      <c r="AF16" s="6"/>
      <c r="AG16" s="6"/>
      <c r="AH16" s="6"/>
      <c r="AI16" s="6" t="s">
        <v>243</v>
      </c>
    </row>
    <row r="17" customFormat="false" ht="68.25" hidden="false" customHeight="true" outlineLevel="0" collapsed="false">
      <c r="A17" s="6" t="s">
        <v>244</v>
      </c>
      <c r="B17" s="6" t="s">
        <v>245</v>
      </c>
      <c r="C17" s="9" t="s">
        <v>6</v>
      </c>
      <c r="D17" s="6" t="s">
        <v>55</v>
      </c>
      <c r="E17" s="6" t="s">
        <v>178</v>
      </c>
      <c r="F17" s="6" t="s">
        <v>246</v>
      </c>
      <c r="G17" s="6"/>
      <c r="H17" s="6" t="s">
        <v>247</v>
      </c>
      <c r="I17" s="6" t="s">
        <v>59</v>
      </c>
      <c r="J17" s="6"/>
      <c r="K17" s="6" t="s">
        <v>60</v>
      </c>
      <c r="L17" s="6" t="s">
        <v>61</v>
      </c>
      <c r="M17" s="6" t="s">
        <v>248</v>
      </c>
      <c r="N17" s="6" t="s">
        <v>249</v>
      </c>
      <c r="O17" s="8" t="s">
        <v>250</v>
      </c>
      <c r="P17" s="6" t="n">
        <f aca="false">IF(O17="","",VALUE(LEFT(O17,4)))</f>
        <v>1794</v>
      </c>
      <c r="Q17" s="6" t="s">
        <v>251</v>
      </c>
      <c r="R17" s="6" t="s">
        <v>251</v>
      </c>
      <c r="S17" s="6" t="s">
        <v>252</v>
      </c>
      <c r="T17" s="6" t="s">
        <v>253</v>
      </c>
      <c r="U17" s="6" t="s">
        <v>254</v>
      </c>
      <c r="V17" s="6"/>
      <c r="W17" s="6" t="str">
        <f aca="false">IF(O17="","",INDEX(Lookups!$B$2:$B$20,MATCH(O17,Lookups!$A$2:$A$20,1)))</f>
        <v>Dundas</v>
      </c>
      <c r="X17" s="6" t="s">
        <v>124</v>
      </c>
      <c r="Y17" s="6"/>
      <c r="Z17" s="6"/>
      <c r="AA17" s="6"/>
      <c r="AB17" s="6"/>
      <c r="AC17" s="6" t="s">
        <v>255</v>
      </c>
      <c r="AD17" s="6" t="s">
        <v>106</v>
      </c>
      <c r="AE17" s="6"/>
      <c r="AF17" s="6"/>
      <c r="AG17" s="6"/>
      <c r="AH17" s="6" t="s">
        <v>9</v>
      </c>
      <c r="AI17" s="6" t="s">
        <v>256</v>
      </c>
    </row>
    <row r="18" customFormat="false" ht="57" hidden="false" customHeight="true" outlineLevel="0" collapsed="false">
      <c r="A18" s="6" t="s">
        <v>257</v>
      </c>
      <c r="B18" s="6" t="s">
        <v>258</v>
      </c>
      <c r="C18" s="7" t="s">
        <v>4</v>
      </c>
      <c r="D18" s="6" t="s">
        <v>55</v>
      </c>
      <c r="E18" s="6" t="s">
        <v>221</v>
      </c>
      <c r="F18" s="6" t="s">
        <v>259</v>
      </c>
      <c r="G18" s="6"/>
      <c r="H18" s="6" t="s">
        <v>260</v>
      </c>
      <c r="I18" s="6" t="s">
        <v>59</v>
      </c>
      <c r="J18" s="6"/>
      <c r="K18" s="6" t="s">
        <v>60</v>
      </c>
      <c r="L18" s="6" t="s">
        <v>61</v>
      </c>
      <c r="M18" s="6" t="s">
        <v>261</v>
      </c>
      <c r="N18" s="6" t="s">
        <v>262</v>
      </c>
      <c r="O18" s="8" t="s">
        <v>263</v>
      </c>
      <c r="P18" s="6" t="n">
        <f aca="false">IF(O18="","",VALUE(LEFT(O18,4)))</f>
        <v>1794</v>
      </c>
      <c r="Q18" s="6" t="s">
        <v>264</v>
      </c>
      <c r="R18" s="6" t="s">
        <v>227</v>
      </c>
      <c r="S18" s="6" t="s">
        <v>265</v>
      </c>
      <c r="T18" s="6" t="s">
        <v>266</v>
      </c>
      <c r="U18" s="6" t="s">
        <v>85</v>
      </c>
      <c r="V18" s="6"/>
      <c r="W18" s="6" t="str">
        <f aca="false">IF(O18="","",INDEX(Lookups!$B$2:$B$20,MATCH(O18,Lookups!$A$2:$A$20,1)))</f>
        <v>Portland</v>
      </c>
      <c r="X18" s="6" t="s">
        <v>267</v>
      </c>
      <c r="Y18" s="6" t="s">
        <v>16</v>
      </c>
      <c r="Z18" s="6" t="s">
        <v>55</v>
      </c>
      <c r="AA18" s="6" t="s">
        <v>268</v>
      </c>
      <c r="AB18" s="6" t="s">
        <v>88</v>
      </c>
      <c r="AC18" s="6"/>
      <c r="AD18" s="6"/>
      <c r="AE18" s="6"/>
      <c r="AF18" s="6"/>
      <c r="AG18" s="6"/>
      <c r="AH18" s="6"/>
      <c r="AI18" s="6" t="s">
        <v>269</v>
      </c>
    </row>
    <row r="19" customFormat="false" ht="15" hidden="false" customHeight="true" outlineLevel="0" collapsed="false">
      <c r="A19" s="6" t="s">
        <v>270</v>
      </c>
      <c r="B19" s="6" t="s">
        <v>271</v>
      </c>
      <c r="C19" s="7" t="s">
        <v>4</v>
      </c>
      <c r="D19" s="6" t="s">
        <v>55</v>
      </c>
      <c r="E19" s="6" t="s">
        <v>178</v>
      </c>
      <c r="F19" s="6" t="s">
        <v>246</v>
      </c>
      <c r="G19" s="6" t="s">
        <v>272</v>
      </c>
      <c r="H19" s="6" t="s">
        <v>273</v>
      </c>
      <c r="I19" s="6" t="s">
        <v>274</v>
      </c>
      <c r="J19" s="6"/>
      <c r="K19" s="6" t="s">
        <v>60</v>
      </c>
      <c r="L19" s="6" t="s">
        <v>61</v>
      </c>
      <c r="M19" s="6" t="s">
        <v>275</v>
      </c>
      <c r="N19" s="6" t="s">
        <v>276</v>
      </c>
      <c r="O19" s="8" t="s">
        <v>277</v>
      </c>
      <c r="P19" s="6" t="n">
        <f aca="false">IF(O19="","",VALUE(LEFT(O19,4)))</f>
        <v>1794</v>
      </c>
      <c r="Q19" s="6" t="s">
        <v>184</v>
      </c>
      <c r="R19" s="6" t="s">
        <v>184</v>
      </c>
      <c r="S19" s="6" t="s">
        <v>185</v>
      </c>
      <c r="T19" s="6" t="s">
        <v>278</v>
      </c>
      <c r="U19" s="6" t="s">
        <v>279</v>
      </c>
      <c r="V19" s="6" t="s">
        <v>280</v>
      </c>
      <c r="W19" s="6" t="str">
        <f aca="false">IF(O19="","",INDEX(Lookups!$B$2:$B$20,MATCH(O19,Lookups!$A$2:$A$20,1)))</f>
        <v>Dundas</v>
      </c>
      <c r="X19" s="6" t="s">
        <v>267</v>
      </c>
      <c r="Y19" s="6" t="s">
        <v>14</v>
      </c>
      <c r="Z19" s="6" t="s">
        <v>72</v>
      </c>
      <c r="AA19" s="6" t="s">
        <v>281</v>
      </c>
      <c r="AB19" s="6" t="s">
        <v>88</v>
      </c>
      <c r="AC19" s="6"/>
      <c r="AD19" s="6"/>
      <c r="AE19" s="6"/>
      <c r="AF19" s="6"/>
      <c r="AG19" s="6"/>
      <c r="AH19" s="6"/>
      <c r="AI19" s="6" t="s">
        <v>282</v>
      </c>
    </row>
    <row r="20" customFormat="false" ht="15" hidden="false" customHeight="true" outlineLevel="0" collapsed="false">
      <c r="A20" s="6" t="s">
        <v>283</v>
      </c>
      <c r="B20" s="6" t="s">
        <v>284</v>
      </c>
      <c r="C20" s="9" t="s">
        <v>5</v>
      </c>
      <c r="D20" s="6" t="s">
        <v>88</v>
      </c>
      <c r="E20" s="6" t="s">
        <v>178</v>
      </c>
      <c r="F20" s="6" t="s">
        <v>285</v>
      </c>
      <c r="G20" s="6" t="s">
        <v>286</v>
      </c>
      <c r="H20" s="6" t="s">
        <v>287</v>
      </c>
      <c r="I20" s="6" t="s">
        <v>274</v>
      </c>
      <c r="J20" s="6"/>
      <c r="K20" s="6" t="s">
        <v>60</v>
      </c>
      <c r="L20" s="6" t="s">
        <v>61</v>
      </c>
      <c r="M20" s="6" t="s">
        <v>288</v>
      </c>
      <c r="N20" s="6" t="s">
        <v>289</v>
      </c>
      <c r="O20" s="8" t="s">
        <v>290</v>
      </c>
      <c r="P20" s="6" t="n">
        <f aca="false">IF(O20="","",VALUE(LEFT(O20,4)))</f>
        <v>1794</v>
      </c>
      <c r="Q20" s="6" t="s">
        <v>291</v>
      </c>
      <c r="R20" s="6" t="s">
        <v>291</v>
      </c>
      <c r="S20" s="6" t="s">
        <v>196</v>
      </c>
      <c r="T20" s="6" t="s">
        <v>292</v>
      </c>
      <c r="U20" s="6" t="s">
        <v>217</v>
      </c>
      <c r="V20" s="6" t="s">
        <v>293</v>
      </c>
      <c r="W20" s="6" t="str">
        <f aca="false">IF(O20="","",INDEX(Lookups!$B$2:$B$20,MATCH(O20,Lookups!$A$2:$A$20,1)))</f>
        <v>Dundas</v>
      </c>
      <c r="X20" s="6" t="s">
        <v>267</v>
      </c>
      <c r="Y20" s="6"/>
      <c r="Z20" s="6"/>
      <c r="AA20" s="6"/>
      <c r="AB20" s="6"/>
      <c r="AC20" s="6"/>
      <c r="AD20" s="6"/>
      <c r="AE20" s="6"/>
      <c r="AF20" s="6"/>
      <c r="AG20" s="6"/>
      <c r="AH20" s="6"/>
      <c r="AI20" s="6" t="s">
        <v>294</v>
      </c>
    </row>
    <row r="21" customFormat="false" ht="15" hidden="false" customHeight="true" outlineLevel="0" collapsed="false">
      <c r="A21" s="6" t="s">
        <v>295</v>
      </c>
      <c r="B21" s="6" t="s">
        <v>296</v>
      </c>
      <c r="C21" s="7" t="s">
        <v>4</v>
      </c>
      <c r="D21" s="6" t="s">
        <v>88</v>
      </c>
      <c r="E21" s="6" t="s">
        <v>221</v>
      </c>
      <c r="F21" s="6" t="s">
        <v>259</v>
      </c>
      <c r="G21" s="6" t="s">
        <v>297</v>
      </c>
      <c r="H21" s="6" t="s">
        <v>298</v>
      </c>
      <c r="I21" s="6" t="s">
        <v>274</v>
      </c>
      <c r="J21" s="6"/>
      <c r="K21" s="6" t="s">
        <v>60</v>
      </c>
      <c r="L21" s="6" t="s">
        <v>61</v>
      </c>
      <c r="M21" s="6" t="s">
        <v>299</v>
      </c>
      <c r="N21" s="6" t="s">
        <v>300</v>
      </c>
      <c r="O21" s="8" t="s">
        <v>301</v>
      </c>
      <c r="P21" s="6" t="n">
        <f aca="false">IF(O21="","",VALUE(LEFT(O21,4)))</f>
        <v>1794</v>
      </c>
      <c r="Q21" s="6" t="s">
        <v>302</v>
      </c>
      <c r="R21" s="6" t="s">
        <v>303</v>
      </c>
      <c r="S21" s="6" t="s">
        <v>304</v>
      </c>
      <c r="T21" s="6" t="s">
        <v>305</v>
      </c>
      <c r="U21" s="6" t="s">
        <v>279</v>
      </c>
      <c r="V21" s="6" t="s">
        <v>306</v>
      </c>
      <c r="W21" s="6" t="str">
        <f aca="false">IF(O21="","",INDEX(Lookups!$B$2:$B$21,MATCH(O21,Lookups!$A$2:$A$21,1)))</f>
        <v>Portland</v>
      </c>
      <c r="X21" s="6" t="s">
        <v>103</v>
      </c>
      <c r="Y21" s="6" t="s">
        <v>14</v>
      </c>
      <c r="Z21" s="6" t="s">
        <v>72</v>
      </c>
      <c r="AA21" s="6" t="s">
        <v>307</v>
      </c>
      <c r="AB21" s="6" t="s">
        <v>55</v>
      </c>
      <c r="AC21" s="6"/>
      <c r="AD21" s="6"/>
      <c r="AE21" s="6"/>
      <c r="AF21" s="6"/>
      <c r="AG21" s="6"/>
      <c r="AH21" s="6"/>
      <c r="AI21" s="6" t="s">
        <v>308</v>
      </c>
    </row>
    <row r="22" customFormat="false" ht="15" hidden="false" customHeight="true" outlineLevel="0" collapsed="false">
      <c r="A22" s="6" t="s">
        <v>309</v>
      </c>
      <c r="B22" s="6" t="s">
        <v>310</v>
      </c>
      <c r="C22" s="7" t="s">
        <v>4</v>
      </c>
      <c r="D22" s="6" t="s">
        <v>88</v>
      </c>
      <c r="E22" s="6" t="s">
        <v>311</v>
      </c>
      <c r="F22" s="6" t="s">
        <v>312</v>
      </c>
      <c r="G22" s="6" t="s">
        <v>313</v>
      </c>
      <c r="H22" s="6" t="s">
        <v>314</v>
      </c>
      <c r="I22" s="6" t="s">
        <v>274</v>
      </c>
      <c r="J22" s="6"/>
      <c r="K22" s="6" t="s">
        <v>60</v>
      </c>
      <c r="L22" s="6" t="s">
        <v>61</v>
      </c>
      <c r="M22" s="6" t="s">
        <v>315</v>
      </c>
      <c r="N22" s="6" t="s">
        <v>316</v>
      </c>
      <c r="O22" s="8" t="s">
        <v>317</v>
      </c>
      <c r="P22" s="6" t="n">
        <f aca="false">IF(O22="","",VALUE(LEFT(O22,4)))</f>
        <v>1791</v>
      </c>
      <c r="Q22" s="6" t="s">
        <v>184</v>
      </c>
      <c r="R22" s="6" t="s">
        <v>184</v>
      </c>
      <c r="S22" s="6" t="s">
        <v>185</v>
      </c>
      <c r="T22" s="6" t="s">
        <v>318</v>
      </c>
      <c r="U22" s="6" t="s">
        <v>69</v>
      </c>
      <c r="V22" s="6" t="s">
        <v>319</v>
      </c>
      <c r="W22" s="6" t="str">
        <f aca="false">IF(O22="","",INDEX(Lookups!$B$2:$B$22,MATCH(O22,Lookups!$A$2:$A$22,1)))</f>
        <v>Dundas</v>
      </c>
      <c r="X22" s="6" t="s">
        <v>267</v>
      </c>
      <c r="Y22" s="6" t="s">
        <v>13</v>
      </c>
      <c r="Z22" s="6" t="s">
        <v>88</v>
      </c>
      <c r="AA22" s="6" t="s">
        <v>320</v>
      </c>
      <c r="AB22" s="6" t="s">
        <v>55</v>
      </c>
      <c r="AC22" s="6" t="s">
        <v>321</v>
      </c>
      <c r="AD22" s="6" t="s">
        <v>106</v>
      </c>
      <c r="AE22" s="6" t="s">
        <v>322</v>
      </c>
      <c r="AF22" s="6" t="s">
        <v>108</v>
      </c>
      <c r="AG22" s="6" t="s">
        <v>323</v>
      </c>
      <c r="AH22" s="6" t="s">
        <v>9</v>
      </c>
      <c r="AI22" s="6" t="s">
        <v>324</v>
      </c>
    </row>
    <row r="23" customFormat="false" ht="15" hidden="false" customHeight="true" outlineLevel="0" collapsed="false">
      <c r="A23" s="6" t="s">
        <v>325</v>
      </c>
      <c r="B23" s="6" t="s">
        <v>310</v>
      </c>
      <c r="C23" s="7" t="s">
        <v>4</v>
      </c>
      <c r="D23" s="6" t="s">
        <v>55</v>
      </c>
      <c r="E23" s="6" t="s">
        <v>311</v>
      </c>
      <c r="F23" s="6" t="s">
        <v>312</v>
      </c>
      <c r="G23" s="6" t="s">
        <v>326</v>
      </c>
      <c r="H23" s="6" t="s">
        <v>327</v>
      </c>
      <c r="I23" s="6" t="s">
        <v>274</v>
      </c>
      <c r="J23" s="6"/>
      <c r="K23" s="6" t="s">
        <v>60</v>
      </c>
      <c r="L23" s="6" t="s">
        <v>61</v>
      </c>
      <c r="M23" s="6" t="s">
        <v>328</v>
      </c>
      <c r="N23" s="6" t="s">
        <v>329</v>
      </c>
      <c r="O23" s="8" t="s">
        <v>330</v>
      </c>
      <c r="P23" s="6" t="n">
        <f aca="false">IF(O23="","",VALUE(LEFT(O23,4)))</f>
        <v>1791</v>
      </c>
      <c r="Q23" s="6" t="s">
        <v>184</v>
      </c>
      <c r="R23" s="6" t="s">
        <v>184</v>
      </c>
      <c r="S23" s="6" t="s">
        <v>185</v>
      </c>
      <c r="T23" s="6" t="s">
        <v>331</v>
      </c>
      <c r="U23" s="6" t="s">
        <v>69</v>
      </c>
      <c r="V23" s="6" t="s">
        <v>332</v>
      </c>
      <c r="W23" s="6" t="str">
        <f aca="false">IF(O23="","",INDEX(Lookups!$B$2:$B$23,MATCH(O23,Lookups!$A$2:$A$23,1)))</f>
        <v>Dundas</v>
      </c>
      <c r="X23" s="6" t="s">
        <v>267</v>
      </c>
      <c r="Y23" s="6" t="s">
        <v>13</v>
      </c>
      <c r="Z23" s="6" t="s">
        <v>88</v>
      </c>
      <c r="AA23" s="6" t="s">
        <v>333</v>
      </c>
      <c r="AB23" s="6" t="s">
        <v>55</v>
      </c>
      <c r="AC23" s="6"/>
      <c r="AD23" s="6"/>
      <c r="AE23" s="6"/>
      <c r="AF23" s="6"/>
      <c r="AG23" s="6"/>
      <c r="AH23" s="6"/>
      <c r="AI23" s="6" t="s">
        <v>334</v>
      </c>
    </row>
    <row r="24" customFormat="false" ht="15" hidden="false" customHeight="true" outlineLevel="0" collapsed="false">
      <c r="A24" s="6" t="s">
        <v>335</v>
      </c>
      <c r="B24" s="6" t="s">
        <v>336</v>
      </c>
      <c r="C24" s="7" t="s">
        <v>4</v>
      </c>
      <c r="D24" s="6" t="s">
        <v>55</v>
      </c>
      <c r="E24" s="6" t="s">
        <v>311</v>
      </c>
      <c r="F24" s="6" t="s">
        <v>312</v>
      </c>
      <c r="G24" s="6" t="s">
        <v>337</v>
      </c>
      <c r="H24" s="6" t="s">
        <v>338</v>
      </c>
      <c r="I24" s="6" t="s">
        <v>274</v>
      </c>
      <c r="J24" s="6"/>
      <c r="K24" s="6" t="s">
        <v>60</v>
      </c>
      <c r="L24" s="6" t="s">
        <v>61</v>
      </c>
      <c r="M24" s="6" t="s">
        <v>339</v>
      </c>
      <c r="N24" s="6" t="s">
        <v>340</v>
      </c>
      <c r="O24" s="8" t="s">
        <v>330</v>
      </c>
      <c r="P24" s="6" t="n">
        <f aca="false">IF(O24="","",VALUE(LEFT(O24,4)))</f>
        <v>1791</v>
      </c>
      <c r="Q24" s="6" t="s">
        <v>341</v>
      </c>
      <c r="R24" s="6" t="s">
        <v>341</v>
      </c>
      <c r="S24" s="6" t="s">
        <v>185</v>
      </c>
      <c r="T24" s="6" t="s">
        <v>342</v>
      </c>
      <c r="U24" s="6" t="s">
        <v>85</v>
      </c>
      <c r="V24" s="6" t="s">
        <v>343</v>
      </c>
      <c r="W24" s="6" t="str">
        <f aca="false">IF(O24="","",INDEX(Lookups!$B$2:$B$24,MATCH(O24,Lookups!$A$2:$A$24,1)))</f>
        <v>Dundas</v>
      </c>
      <c r="X24" s="6" t="s">
        <v>267</v>
      </c>
      <c r="Y24" s="6" t="s">
        <v>14</v>
      </c>
      <c r="Z24" s="6" t="s">
        <v>72</v>
      </c>
      <c r="AA24" s="6" t="s">
        <v>344</v>
      </c>
      <c r="AB24" s="6" t="s">
        <v>55</v>
      </c>
      <c r="AC24" s="6" t="s">
        <v>345</v>
      </c>
      <c r="AD24" s="6" t="s">
        <v>106</v>
      </c>
      <c r="AE24" s="6" t="s">
        <v>346</v>
      </c>
      <c r="AF24" s="6" t="s">
        <v>108</v>
      </c>
      <c r="AG24" s="6" t="s">
        <v>347</v>
      </c>
      <c r="AH24" s="6" t="s">
        <v>9</v>
      </c>
      <c r="AI24" s="6" t="s">
        <v>348</v>
      </c>
    </row>
    <row r="25" customFormat="false" ht="15" hidden="false" customHeight="true" outlineLevel="0" collapsed="false">
      <c r="A25" s="6" t="s">
        <v>349</v>
      </c>
      <c r="B25" s="6" t="s">
        <v>350</v>
      </c>
      <c r="C25" s="7" t="s">
        <v>4</v>
      </c>
      <c r="D25" s="6" t="s">
        <v>55</v>
      </c>
      <c r="E25" s="6" t="s">
        <v>311</v>
      </c>
      <c r="F25" s="6" t="s">
        <v>351</v>
      </c>
      <c r="G25" s="6" t="s">
        <v>352</v>
      </c>
      <c r="H25" s="6" t="s">
        <v>353</v>
      </c>
      <c r="I25" s="6" t="s">
        <v>274</v>
      </c>
      <c r="J25" s="6"/>
      <c r="K25" s="6" t="s">
        <v>60</v>
      </c>
      <c r="L25" s="6" t="s">
        <v>61</v>
      </c>
      <c r="M25" s="6" t="s">
        <v>354</v>
      </c>
      <c r="N25" s="6" t="s">
        <v>355</v>
      </c>
      <c r="O25" s="8" t="s">
        <v>356</v>
      </c>
      <c r="P25" s="6" t="n">
        <f aca="false">IF(O25="","",VALUE(LEFT(O25,4)))</f>
        <v>1791</v>
      </c>
      <c r="Q25" s="6" t="s">
        <v>357</v>
      </c>
      <c r="R25" s="6" t="s">
        <v>357</v>
      </c>
      <c r="S25" s="6" t="s">
        <v>358</v>
      </c>
      <c r="T25" s="6" t="s">
        <v>359</v>
      </c>
      <c r="U25" s="6" t="s">
        <v>217</v>
      </c>
      <c r="V25" s="6" t="s">
        <v>332</v>
      </c>
      <c r="W25" s="6" t="str">
        <f aca="false">IF(O25="","",INDEX(Lookups!$B$2:$B$25,MATCH(O25,Lookups!$A$2:$A$25,1)))</f>
        <v>Dundas</v>
      </c>
      <c r="X25" s="6" t="s">
        <v>267</v>
      </c>
      <c r="Y25" s="6" t="s">
        <v>14</v>
      </c>
      <c r="Z25" s="6" t="s">
        <v>55</v>
      </c>
      <c r="AA25" s="6" t="s">
        <v>360</v>
      </c>
      <c r="AB25" s="6" t="s">
        <v>55</v>
      </c>
      <c r="AC25" s="6"/>
      <c r="AD25" s="6"/>
      <c r="AE25" s="6"/>
      <c r="AF25" s="6"/>
      <c r="AG25" s="6"/>
      <c r="AH25" s="6"/>
      <c r="AI25" s="6" t="s">
        <v>361</v>
      </c>
    </row>
    <row r="26" customFormat="false" ht="15" hidden="false" customHeight="true" outlineLevel="0" collapsed="false">
      <c r="A26" s="6" t="s">
        <v>362</v>
      </c>
      <c r="B26" s="6" t="s">
        <v>363</v>
      </c>
      <c r="C26" s="7" t="s">
        <v>4</v>
      </c>
      <c r="D26" s="6" t="s">
        <v>55</v>
      </c>
      <c r="E26" s="6" t="s">
        <v>311</v>
      </c>
      <c r="F26" s="6" t="s">
        <v>351</v>
      </c>
      <c r="G26" s="6" t="s">
        <v>364</v>
      </c>
      <c r="H26" s="6" t="s">
        <v>365</v>
      </c>
      <c r="I26" s="6" t="s">
        <v>274</v>
      </c>
      <c r="J26" s="6"/>
      <c r="K26" s="6" t="s">
        <v>60</v>
      </c>
      <c r="L26" s="6" t="s">
        <v>61</v>
      </c>
      <c r="M26" s="6" t="s">
        <v>366</v>
      </c>
      <c r="N26" s="6" t="s">
        <v>367</v>
      </c>
      <c r="O26" s="8" t="s">
        <v>368</v>
      </c>
      <c r="P26" s="6" t="n">
        <f aca="false">IF(O26="","",VALUE(LEFT(O26,4)))</f>
        <v>1791</v>
      </c>
      <c r="Q26" s="6" t="s">
        <v>369</v>
      </c>
      <c r="R26" s="6" t="s">
        <v>369</v>
      </c>
      <c r="S26" s="6" t="s">
        <v>370</v>
      </c>
      <c r="T26" s="6" t="s">
        <v>371</v>
      </c>
      <c r="U26" s="6" t="s">
        <v>85</v>
      </c>
      <c r="V26" s="6" t="s">
        <v>323</v>
      </c>
      <c r="W26" s="6" t="str">
        <f aca="false">IF(O26="","",INDEX(Lookups!$B$2:$B$26,MATCH(O26,Lookups!$A$2:$A$26,1)))</f>
        <v>Dundas</v>
      </c>
      <c r="X26" s="6" t="s">
        <v>267</v>
      </c>
      <c r="Y26" s="6" t="s">
        <v>14</v>
      </c>
      <c r="Z26" s="6" t="s">
        <v>55</v>
      </c>
      <c r="AA26" s="6" t="s">
        <v>372</v>
      </c>
      <c r="AB26" s="6" t="s">
        <v>55</v>
      </c>
      <c r="AC26" s="6" t="s">
        <v>373</v>
      </c>
      <c r="AD26" s="6" t="s">
        <v>106</v>
      </c>
      <c r="AE26" s="6" t="s">
        <v>374</v>
      </c>
      <c r="AF26" s="6"/>
      <c r="AG26" s="6"/>
      <c r="AH26" s="6" t="s">
        <v>9</v>
      </c>
      <c r="AI26" s="6" t="s">
        <v>375</v>
      </c>
    </row>
    <row r="27" customFormat="false" ht="15" hidden="false" customHeight="true" outlineLevel="0" collapsed="false">
      <c r="A27" s="6" t="s">
        <v>376</v>
      </c>
      <c r="B27" s="6" t="s">
        <v>377</v>
      </c>
      <c r="C27" s="7" t="s">
        <v>4</v>
      </c>
      <c r="D27" s="6" t="s">
        <v>55</v>
      </c>
      <c r="E27" s="6" t="s">
        <v>311</v>
      </c>
      <c r="F27" s="6" t="s">
        <v>351</v>
      </c>
      <c r="G27" s="6" t="s">
        <v>378</v>
      </c>
      <c r="H27" s="6" t="s">
        <v>379</v>
      </c>
      <c r="I27" s="6" t="s">
        <v>274</v>
      </c>
      <c r="J27" s="6"/>
      <c r="K27" s="6" t="s">
        <v>60</v>
      </c>
      <c r="L27" s="6" t="s">
        <v>61</v>
      </c>
      <c r="M27" s="6" t="s">
        <v>380</v>
      </c>
      <c r="N27" s="6" t="s">
        <v>381</v>
      </c>
      <c r="O27" s="8" t="s">
        <v>374</v>
      </c>
      <c r="P27" s="6" t="n">
        <f aca="false">IF(O27="","",VALUE(LEFT(O27,4)))</f>
        <v>1791</v>
      </c>
      <c r="Q27" s="6" t="s">
        <v>382</v>
      </c>
      <c r="R27" s="6" t="s">
        <v>382</v>
      </c>
      <c r="S27" s="6" t="s">
        <v>383</v>
      </c>
      <c r="T27" s="6" t="s">
        <v>384</v>
      </c>
      <c r="U27" s="6" t="s">
        <v>85</v>
      </c>
      <c r="V27" s="6" t="s">
        <v>385</v>
      </c>
      <c r="W27" s="6" t="str">
        <f aca="false">IF(O27="","",INDEX(Lookups!$B$2:$B$27,MATCH(O27,Lookups!$A$2:$A$27,1)))</f>
        <v>Dundas</v>
      </c>
      <c r="X27" s="6" t="s">
        <v>267</v>
      </c>
      <c r="Y27" s="6" t="s">
        <v>14</v>
      </c>
      <c r="Z27" s="6" t="s">
        <v>72</v>
      </c>
      <c r="AA27" s="6" t="s">
        <v>386</v>
      </c>
      <c r="AB27" s="6" t="s">
        <v>55</v>
      </c>
      <c r="AC27" s="6"/>
      <c r="AD27" s="6"/>
      <c r="AE27" s="6"/>
      <c r="AF27" s="6"/>
      <c r="AG27" s="6"/>
      <c r="AH27" s="6"/>
      <c r="AI27" s="6" t="s">
        <v>387</v>
      </c>
    </row>
    <row r="28" customFormat="false" ht="15" hidden="false" customHeight="true" outlineLevel="0" collapsed="false">
      <c r="A28" s="6" t="s">
        <v>388</v>
      </c>
      <c r="B28" s="6" t="s">
        <v>389</v>
      </c>
      <c r="C28" s="7" t="s">
        <v>4</v>
      </c>
      <c r="D28" s="6" t="s">
        <v>88</v>
      </c>
      <c r="E28" s="6" t="s">
        <v>311</v>
      </c>
      <c r="F28" s="6" t="s">
        <v>390</v>
      </c>
      <c r="G28" s="6" t="s">
        <v>391</v>
      </c>
      <c r="H28" s="6" t="s">
        <v>392</v>
      </c>
      <c r="I28" s="6" t="s">
        <v>274</v>
      </c>
      <c r="J28" s="6"/>
      <c r="K28" s="6" t="s">
        <v>60</v>
      </c>
      <c r="L28" s="6" t="s">
        <v>61</v>
      </c>
      <c r="M28" s="6" t="s">
        <v>393</v>
      </c>
      <c r="N28" s="6" t="s">
        <v>381</v>
      </c>
      <c r="O28" s="8" t="s">
        <v>374</v>
      </c>
      <c r="P28" s="6" t="n">
        <f aca="false">IF(O28="","",VALUE(LEFT(O28,4)))</f>
        <v>1791</v>
      </c>
      <c r="Q28" s="6" t="s">
        <v>195</v>
      </c>
      <c r="R28" s="6" t="s">
        <v>195</v>
      </c>
      <c r="S28" s="6" t="s">
        <v>196</v>
      </c>
      <c r="T28" s="6" t="s">
        <v>394</v>
      </c>
      <c r="U28" s="6" t="s">
        <v>69</v>
      </c>
      <c r="V28" s="6" t="s">
        <v>323</v>
      </c>
      <c r="W28" s="6" t="str">
        <f aca="false">IF(O28="","",INDEX(Lookups!$B$2:$B$28,MATCH(O28,Lookups!$A$2:$A$28,1)))</f>
        <v>Dundas</v>
      </c>
      <c r="X28" s="6" t="s">
        <v>395</v>
      </c>
      <c r="Y28" s="6" t="s">
        <v>13</v>
      </c>
      <c r="Z28" s="6" t="s">
        <v>72</v>
      </c>
      <c r="AA28" s="6" t="s">
        <v>396</v>
      </c>
      <c r="AB28" s="6" t="s">
        <v>55</v>
      </c>
      <c r="AC28" s="6" t="s">
        <v>397</v>
      </c>
      <c r="AD28" s="6" t="s">
        <v>106</v>
      </c>
      <c r="AE28" s="6" t="s">
        <v>398</v>
      </c>
      <c r="AF28" s="6" t="s">
        <v>108</v>
      </c>
      <c r="AG28" s="6" t="s">
        <v>399</v>
      </c>
      <c r="AH28" s="6" t="s">
        <v>9</v>
      </c>
      <c r="AI28" s="6" t="s">
        <v>400</v>
      </c>
    </row>
    <row r="29" customFormat="false" ht="15" hidden="false" customHeight="true" outlineLevel="0" collapsed="false">
      <c r="A29" s="6" t="s">
        <v>401</v>
      </c>
      <c r="B29" s="6" t="s">
        <v>389</v>
      </c>
      <c r="C29" s="7" t="s">
        <v>4</v>
      </c>
      <c r="D29" s="6" t="s">
        <v>88</v>
      </c>
      <c r="E29" s="6" t="s">
        <v>311</v>
      </c>
      <c r="F29" s="6" t="s">
        <v>402</v>
      </c>
      <c r="G29" s="6" t="s">
        <v>403</v>
      </c>
      <c r="H29" s="6" t="s">
        <v>404</v>
      </c>
      <c r="I29" s="6" t="s">
        <v>274</v>
      </c>
      <c r="J29" s="6"/>
      <c r="K29" s="6" t="s">
        <v>60</v>
      </c>
      <c r="L29" s="6" t="s">
        <v>61</v>
      </c>
      <c r="M29" s="6" t="s">
        <v>405</v>
      </c>
      <c r="N29" s="6" t="s">
        <v>406</v>
      </c>
      <c r="O29" s="8" t="s">
        <v>407</v>
      </c>
      <c r="P29" s="6" t="n">
        <f aca="false">IF(O29="","",VALUE(LEFT(O29,4)))</f>
        <v>1791</v>
      </c>
      <c r="Q29" s="6" t="s">
        <v>195</v>
      </c>
      <c r="R29" s="6" t="s">
        <v>195</v>
      </c>
      <c r="S29" s="6" t="s">
        <v>196</v>
      </c>
      <c r="T29" s="6" t="s">
        <v>408</v>
      </c>
      <c r="U29" s="6" t="s">
        <v>254</v>
      </c>
      <c r="V29" s="6" t="s">
        <v>323</v>
      </c>
      <c r="W29" s="6" t="str">
        <f aca="false">IF(O29="","",INDEX(Lookups!$B$2:$B$29,MATCH(O29,Lookups!$A$2:$A$29,1)))</f>
        <v>Dundas</v>
      </c>
      <c r="X29" s="6" t="s">
        <v>267</v>
      </c>
      <c r="Y29" s="6" t="s">
        <v>14</v>
      </c>
      <c r="Z29" s="6" t="s">
        <v>55</v>
      </c>
      <c r="AA29" s="6" t="s">
        <v>409</v>
      </c>
      <c r="AB29" s="6" t="s">
        <v>88</v>
      </c>
      <c r="AC29" s="6"/>
      <c r="AD29" s="6"/>
      <c r="AE29" s="6"/>
      <c r="AF29" s="6"/>
      <c r="AG29" s="6"/>
      <c r="AH29" s="6"/>
      <c r="AI29" s="6" t="s">
        <v>410</v>
      </c>
    </row>
    <row r="30" customFormat="false" ht="15" hidden="false" customHeight="true" outlineLevel="0" collapsed="false">
      <c r="A30" s="6" t="s">
        <v>411</v>
      </c>
      <c r="B30" s="6" t="s">
        <v>412</v>
      </c>
      <c r="C30" s="9" t="s">
        <v>5</v>
      </c>
      <c r="D30" s="6" t="s">
        <v>88</v>
      </c>
      <c r="E30" s="6" t="s">
        <v>311</v>
      </c>
      <c r="F30" s="6" t="s">
        <v>413</v>
      </c>
      <c r="G30" s="6" t="s">
        <v>414</v>
      </c>
      <c r="H30" s="6" t="s">
        <v>415</v>
      </c>
      <c r="I30" s="6" t="s">
        <v>274</v>
      </c>
      <c r="J30" s="6"/>
      <c r="K30" s="6" t="s">
        <v>60</v>
      </c>
      <c r="L30" s="6" t="s">
        <v>61</v>
      </c>
      <c r="M30" s="6" t="s">
        <v>416</v>
      </c>
      <c r="N30" s="6" t="s">
        <v>417</v>
      </c>
      <c r="O30" s="8" t="s">
        <v>418</v>
      </c>
      <c r="P30" s="6" t="n">
        <f aca="false">IF(O30="","",VALUE(LEFT(O30,4)))</f>
        <v>1791</v>
      </c>
      <c r="Q30" s="6" t="s">
        <v>419</v>
      </c>
      <c r="R30" s="6" t="s">
        <v>419</v>
      </c>
      <c r="S30" s="6" t="s">
        <v>185</v>
      </c>
      <c r="T30" s="6" t="s">
        <v>420</v>
      </c>
      <c r="U30" s="6" t="s">
        <v>187</v>
      </c>
      <c r="V30" s="6" t="s">
        <v>332</v>
      </c>
      <c r="W30" s="6" t="str">
        <f aca="false">IF(O30="","",INDEX(Lookups!$B$2:$B$30,MATCH(O30,Lookups!$A$2:$A$30,1)))</f>
        <v>Dundas</v>
      </c>
      <c r="X30" s="6" t="s">
        <v>124</v>
      </c>
      <c r="Y30" s="6"/>
      <c r="Z30" s="6"/>
      <c r="AA30" s="6"/>
      <c r="AB30" s="6"/>
      <c r="AC30" s="6"/>
      <c r="AD30" s="6"/>
      <c r="AE30" s="6"/>
      <c r="AF30" s="6"/>
      <c r="AG30" s="6"/>
      <c r="AH30" s="6"/>
      <c r="AI30" s="6" t="s">
        <v>421</v>
      </c>
    </row>
    <row r="31" customFormat="false" ht="15" hidden="false" customHeight="true" outlineLevel="0" collapsed="false">
      <c r="A31" s="6" t="s">
        <v>422</v>
      </c>
      <c r="B31" s="6" t="s">
        <v>423</v>
      </c>
      <c r="C31" s="9" t="s">
        <v>5</v>
      </c>
      <c r="D31" s="6" t="s">
        <v>55</v>
      </c>
      <c r="E31" s="6" t="s">
        <v>311</v>
      </c>
      <c r="F31" s="6" t="s">
        <v>413</v>
      </c>
      <c r="G31" s="6" t="s">
        <v>424</v>
      </c>
      <c r="H31" s="6" t="s">
        <v>425</v>
      </c>
      <c r="I31" s="6" t="s">
        <v>274</v>
      </c>
      <c r="J31" s="6"/>
      <c r="K31" s="6" t="s">
        <v>60</v>
      </c>
      <c r="L31" s="6" t="s">
        <v>61</v>
      </c>
      <c r="M31" s="6" t="s">
        <v>426</v>
      </c>
      <c r="N31" s="6" t="s">
        <v>427</v>
      </c>
      <c r="O31" s="8" t="s">
        <v>428</v>
      </c>
      <c r="P31" s="6" t="n">
        <f aca="false">IF(O31="","",VALUE(LEFT(O31,4)))</f>
        <v>1791</v>
      </c>
      <c r="Q31" s="6" t="s">
        <v>429</v>
      </c>
      <c r="R31" s="6" t="s">
        <v>430</v>
      </c>
      <c r="S31" s="6" t="s">
        <v>304</v>
      </c>
      <c r="T31" s="6" t="s">
        <v>431</v>
      </c>
      <c r="U31" s="6" t="s">
        <v>279</v>
      </c>
      <c r="V31" s="6" t="s">
        <v>432</v>
      </c>
      <c r="W31" s="6" t="str">
        <f aca="false">IF(O31="","",INDEX(Lookups!$B$2:$B$31,MATCH(O31,Lookups!$A$2:$A$31,1)))</f>
        <v>Dundas</v>
      </c>
      <c r="X31" s="6" t="s">
        <v>124</v>
      </c>
      <c r="Y31" s="6"/>
      <c r="Z31" s="6"/>
      <c r="AA31" s="6"/>
      <c r="AB31" s="6"/>
      <c r="AC31" s="6" t="s">
        <v>433</v>
      </c>
      <c r="AD31" s="6" t="s">
        <v>434</v>
      </c>
      <c r="AE31" s="6" t="s">
        <v>435</v>
      </c>
      <c r="AF31" s="6" t="s">
        <v>108</v>
      </c>
      <c r="AG31" s="6" t="s">
        <v>323</v>
      </c>
      <c r="AH31" s="6" t="s">
        <v>9</v>
      </c>
      <c r="AI31" s="6" t="s">
        <v>436</v>
      </c>
    </row>
    <row r="32" customFormat="false" ht="15" hidden="false" customHeight="true" outlineLevel="0" collapsed="false">
      <c r="A32" s="6" t="s">
        <v>437</v>
      </c>
      <c r="B32" s="6" t="s">
        <v>438</v>
      </c>
      <c r="C32" s="7" t="s">
        <v>4</v>
      </c>
      <c r="D32" s="6" t="s">
        <v>55</v>
      </c>
      <c r="E32" s="6" t="s">
        <v>439</v>
      </c>
      <c r="F32" s="6" t="s">
        <v>440</v>
      </c>
      <c r="G32" s="6" t="s">
        <v>441</v>
      </c>
      <c r="H32" s="6" t="s">
        <v>442</v>
      </c>
      <c r="I32" s="6" t="s">
        <v>274</v>
      </c>
      <c r="J32" s="6"/>
      <c r="K32" s="6" t="s">
        <v>60</v>
      </c>
      <c r="L32" s="6" t="s">
        <v>61</v>
      </c>
      <c r="M32" s="6" t="s">
        <v>443</v>
      </c>
      <c r="N32" s="6" t="s">
        <v>444</v>
      </c>
      <c r="O32" s="8" t="s">
        <v>445</v>
      </c>
      <c r="P32" s="6" t="n">
        <f aca="false">IF(O32="","",VALUE(LEFT(O32,4)))</f>
        <v>1792</v>
      </c>
      <c r="Q32" s="6" t="s">
        <v>446</v>
      </c>
      <c r="R32" s="6" t="s">
        <v>446</v>
      </c>
      <c r="S32" s="6" t="s">
        <v>447</v>
      </c>
      <c r="T32" s="6" t="s">
        <v>448</v>
      </c>
      <c r="U32" s="6" t="s">
        <v>85</v>
      </c>
      <c r="V32" s="6" t="s">
        <v>323</v>
      </c>
      <c r="W32" s="6" t="str">
        <f aca="false">IF(O32="","",INDEX(Lookups!$B$2:$B$32,MATCH(O32,Lookups!$A$2:$A$32,1)))</f>
        <v>Dundas</v>
      </c>
      <c r="X32" s="6" t="s">
        <v>206</v>
      </c>
      <c r="Y32" s="6" t="s">
        <v>14</v>
      </c>
      <c r="Z32" s="6" t="s">
        <v>55</v>
      </c>
      <c r="AA32" s="6" t="s">
        <v>449</v>
      </c>
      <c r="AB32" s="6" t="s">
        <v>88</v>
      </c>
      <c r="AC32" s="6"/>
      <c r="AD32" s="6"/>
      <c r="AE32" s="6"/>
      <c r="AF32" s="6"/>
      <c r="AG32" s="6"/>
      <c r="AH32" s="6"/>
      <c r="AI32" s="6" t="s">
        <v>450</v>
      </c>
    </row>
    <row r="33" customFormat="false" ht="15" hidden="false" customHeight="true" outlineLevel="0" collapsed="false">
      <c r="A33" s="6" t="s">
        <v>451</v>
      </c>
      <c r="B33" s="6" t="s">
        <v>452</v>
      </c>
      <c r="C33" s="7" t="s">
        <v>4</v>
      </c>
      <c r="D33" s="6" t="s">
        <v>55</v>
      </c>
      <c r="E33" s="6" t="s">
        <v>439</v>
      </c>
      <c r="F33" s="6" t="s">
        <v>440</v>
      </c>
      <c r="G33" s="6" t="s">
        <v>453</v>
      </c>
      <c r="H33" s="6" t="s">
        <v>454</v>
      </c>
      <c r="I33" s="6" t="s">
        <v>274</v>
      </c>
      <c r="J33" s="6"/>
      <c r="K33" s="6" t="s">
        <v>60</v>
      </c>
      <c r="L33" s="6" t="s">
        <v>61</v>
      </c>
      <c r="M33" s="6" t="s">
        <v>455</v>
      </c>
      <c r="N33" s="6" t="s">
        <v>456</v>
      </c>
      <c r="O33" s="8" t="s">
        <v>457</v>
      </c>
      <c r="P33" s="6" t="n">
        <f aca="false">IF(O33="","",VALUE(LEFT(O33,4)))</f>
        <v>1792</v>
      </c>
      <c r="Q33" s="6" t="s">
        <v>446</v>
      </c>
      <c r="R33" s="6" t="s">
        <v>446</v>
      </c>
      <c r="S33" s="6" t="s">
        <v>447</v>
      </c>
      <c r="T33" s="6" t="s">
        <v>448</v>
      </c>
      <c r="U33" s="6" t="s">
        <v>85</v>
      </c>
      <c r="V33" s="6" t="s">
        <v>323</v>
      </c>
      <c r="W33" s="6" t="str">
        <f aca="false">IF(O33="","",INDEX(Lookups!$B$2:$B$33,MATCH(O33,Lookups!$A$2:$A$33,1)))</f>
        <v>Dundas</v>
      </c>
      <c r="X33" s="6" t="s">
        <v>206</v>
      </c>
      <c r="Y33" s="6" t="s">
        <v>15</v>
      </c>
      <c r="Z33" s="6" t="s">
        <v>55</v>
      </c>
      <c r="AA33" s="6" t="s">
        <v>458</v>
      </c>
      <c r="AB33" s="6" t="s">
        <v>88</v>
      </c>
      <c r="AC33" s="6" t="s">
        <v>459</v>
      </c>
      <c r="AD33" s="6" t="s">
        <v>106</v>
      </c>
      <c r="AE33" s="6" t="s">
        <v>460</v>
      </c>
      <c r="AF33" s="6"/>
      <c r="AG33" s="6"/>
      <c r="AH33" s="6" t="s">
        <v>9</v>
      </c>
      <c r="AI33" s="6" t="s">
        <v>461</v>
      </c>
    </row>
    <row r="34" customFormat="false" ht="15" hidden="false" customHeight="true" outlineLevel="0" collapsed="false">
      <c r="A34" s="6" t="s">
        <v>462</v>
      </c>
      <c r="B34" s="6" t="s">
        <v>463</v>
      </c>
      <c r="C34" s="7" t="s">
        <v>4</v>
      </c>
      <c r="D34" s="6" t="s">
        <v>55</v>
      </c>
      <c r="E34" s="6" t="s">
        <v>439</v>
      </c>
      <c r="F34" s="6" t="s">
        <v>440</v>
      </c>
      <c r="G34" s="6" t="s">
        <v>464</v>
      </c>
      <c r="H34" s="6" t="s">
        <v>465</v>
      </c>
      <c r="I34" s="6" t="s">
        <v>274</v>
      </c>
      <c r="J34" s="6"/>
      <c r="K34" s="6" t="s">
        <v>60</v>
      </c>
      <c r="L34" s="6" t="s">
        <v>61</v>
      </c>
      <c r="M34" s="6" t="s">
        <v>466</v>
      </c>
      <c r="N34" s="6" t="s">
        <v>467</v>
      </c>
      <c r="O34" s="8" t="s">
        <v>468</v>
      </c>
      <c r="P34" s="6" t="n">
        <f aca="false">IF(O34="","",VALUE(LEFT(O34,4)))</f>
        <v>1792</v>
      </c>
      <c r="Q34" s="6" t="s">
        <v>469</v>
      </c>
      <c r="R34" s="6" t="s">
        <v>470</v>
      </c>
      <c r="S34" s="6" t="s">
        <v>447</v>
      </c>
      <c r="T34" s="6" t="s">
        <v>471</v>
      </c>
      <c r="U34" s="6" t="s">
        <v>85</v>
      </c>
      <c r="V34" s="6" t="s">
        <v>323</v>
      </c>
      <c r="W34" s="6" t="str">
        <f aca="false">IF(O34="","",INDEX(Lookups!$B$2:$B$34,MATCH(O34,Lookups!$A$2:$A$34,1)))</f>
        <v>Dundas</v>
      </c>
      <c r="X34" s="6" t="s">
        <v>206</v>
      </c>
      <c r="Y34" s="6" t="s">
        <v>13</v>
      </c>
      <c r="Z34" s="6" t="s">
        <v>72</v>
      </c>
      <c r="AA34" s="6" t="s">
        <v>472</v>
      </c>
      <c r="AB34" s="6" t="s">
        <v>88</v>
      </c>
      <c r="AC34" s="6" t="s">
        <v>473</v>
      </c>
      <c r="AD34" s="6" t="s">
        <v>106</v>
      </c>
      <c r="AE34" s="6" t="s">
        <v>468</v>
      </c>
      <c r="AF34" s="6"/>
      <c r="AG34" s="6"/>
      <c r="AH34" s="6" t="s">
        <v>9</v>
      </c>
      <c r="AI34" s="6" t="s">
        <v>474</v>
      </c>
    </row>
    <row r="35" customFormat="false" ht="15" hidden="false" customHeight="true" outlineLevel="0" collapsed="false">
      <c r="A35" s="6" t="s">
        <v>475</v>
      </c>
      <c r="B35" s="6" t="s">
        <v>476</v>
      </c>
      <c r="C35" s="7" t="s">
        <v>4</v>
      </c>
      <c r="D35" s="6" t="s">
        <v>55</v>
      </c>
      <c r="E35" s="6" t="s">
        <v>439</v>
      </c>
      <c r="F35" s="6" t="s">
        <v>477</v>
      </c>
      <c r="G35" s="6" t="s">
        <v>478</v>
      </c>
      <c r="H35" s="6" t="s">
        <v>479</v>
      </c>
      <c r="I35" s="6" t="s">
        <v>274</v>
      </c>
      <c r="J35" s="6"/>
      <c r="K35" s="6" t="s">
        <v>60</v>
      </c>
      <c r="L35" s="6" t="s">
        <v>61</v>
      </c>
      <c r="M35" s="6" t="s">
        <v>480</v>
      </c>
      <c r="N35" s="6" t="s">
        <v>481</v>
      </c>
      <c r="O35" s="8" t="s">
        <v>482</v>
      </c>
      <c r="P35" s="6" t="n">
        <f aca="false">IF(O35="","",VALUE(LEFT(O35,4)))</f>
        <v>1792</v>
      </c>
      <c r="Q35" s="6" t="s">
        <v>195</v>
      </c>
      <c r="R35" s="6" t="s">
        <v>195</v>
      </c>
      <c r="S35" s="6" t="s">
        <v>196</v>
      </c>
      <c r="T35" s="6" t="s">
        <v>483</v>
      </c>
      <c r="U35" s="6" t="s">
        <v>69</v>
      </c>
      <c r="V35" s="6" t="s">
        <v>484</v>
      </c>
      <c r="W35" s="6" t="str">
        <f aca="false">IF(O35="","",INDEX(Lookups!$B$2:$B$35,MATCH(O35,Lookups!$A$2:$A$35,1)))</f>
        <v>Dundas</v>
      </c>
      <c r="X35" s="6" t="s">
        <v>140</v>
      </c>
      <c r="Y35" s="6" t="s">
        <v>13</v>
      </c>
      <c r="Z35" s="6" t="s">
        <v>55</v>
      </c>
      <c r="AA35" s="6" t="s">
        <v>485</v>
      </c>
      <c r="AB35" s="6" t="s">
        <v>88</v>
      </c>
      <c r="AC35" s="6"/>
      <c r="AD35" s="6"/>
      <c r="AE35" s="6"/>
      <c r="AF35" s="6"/>
      <c r="AG35" s="6"/>
      <c r="AH35" s="6"/>
      <c r="AI35" s="6" t="s">
        <v>486</v>
      </c>
    </row>
    <row r="36" customFormat="false" ht="15" hidden="false" customHeight="true" outlineLevel="0" collapsed="false">
      <c r="A36" s="6" t="s">
        <v>487</v>
      </c>
      <c r="B36" s="6" t="s">
        <v>488</v>
      </c>
      <c r="C36" s="7" t="s">
        <v>4</v>
      </c>
      <c r="D36" s="6" t="s">
        <v>55</v>
      </c>
      <c r="E36" s="6" t="s">
        <v>439</v>
      </c>
      <c r="F36" s="6" t="s">
        <v>477</v>
      </c>
      <c r="G36" s="6" t="s">
        <v>489</v>
      </c>
      <c r="H36" s="6" t="s">
        <v>490</v>
      </c>
      <c r="I36" s="6" t="s">
        <v>274</v>
      </c>
      <c r="J36" s="6"/>
      <c r="K36" s="6" t="s">
        <v>60</v>
      </c>
      <c r="L36" s="6" t="s">
        <v>61</v>
      </c>
      <c r="M36" s="6" t="s">
        <v>491</v>
      </c>
      <c r="N36" s="6" t="s">
        <v>492</v>
      </c>
      <c r="O36" s="8" t="s">
        <v>493</v>
      </c>
      <c r="P36" s="6" t="n">
        <f aca="false">IF(O36="","",VALUE(LEFT(O36,4)))</f>
        <v>1792</v>
      </c>
      <c r="Q36" s="6" t="s">
        <v>184</v>
      </c>
      <c r="R36" s="6" t="s">
        <v>184</v>
      </c>
      <c r="S36" s="6" t="s">
        <v>185</v>
      </c>
      <c r="T36" s="6" t="s">
        <v>494</v>
      </c>
      <c r="U36" s="6" t="s">
        <v>69</v>
      </c>
      <c r="V36" s="6" t="s">
        <v>323</v>
      </c>
      <c r="W36" s="6" t="str">
        <f aca="false">IF(O36="","",INDEX(Lookups!$B$2:$B$36,MATCH(O36,Lookups!$A$2:$A$36,1)))</f>
        <v>Dundas</v>
      </c>
      <c r="X36" s="6" t="s">
        <v>140</v>
      </c>
      <c r="Y36" s="6" t="s">
        <v>16</v>
      </c>
      <c r="Z36" s="6" t="s">
        <v>72</v>
      </c>
      <c r="AA36" s="6" t="s">
        <v>495</v>
      </c>
      <c r="AB36" s="6" t="s">
        <v>88</v>
      </c>
      <c r="AC36" s="6" t="s">
        <v>496</v>
      </c>
      <c r="AD36" s="6" t="s">
        <v>106</v>
      </c>
      <c r="AE36" s="6" t="s">
        <v>497</v>
      </c>
      <c r="AF36" s="6"/>
      <c r="AG36" s="6"/>
      <c r="AH36" s="6" t="s">
        <v>9</v>
      </c>
      <c r="AI36" s="6" t="s">
        <v>498</v>
      </c>
    </row>
    <row r="37" customFormat="false" ht="15" hidden="false" customHeight="true" outlineLevel="0" collapsed="false">
      <c r="A37" s="6" t="s">
        <v>499</v>
      </c>
      <c r="B37" s="6" t="s">
        <v>500</v>
      </c>
      <c r="C37" s="7" t="s">
        <v>4</v>
      </c>
      <c r="D37" s="6" t="s">
        <v>88</v>
      </c>
      <c r="E37" s="6" t="s">
        <v>439</v>
      </c>
      <c r="F37" s="6" t="s">
        <v>477</v>
      </c>
      <c r="G37" s="6" t="s">
        <v>297</v>
      </c>
      <c r="H37" s="6" t="s">
        <v>501</v>
      </c>
      <c r="I37" s="6" t="s">
        <v>274</v>
      </c>
      <c r="J37" s="6"/>
      <c r="K37" s="6" t="s">
        <v>60</v>
      </c>
      <c r="L37" s="6" t="s">
        <v>61</v>
      </c>
      <c r="M37" s="6" t="s">
        <v>502</v>
      </c>
      <c r="N37" s="6" t="s">
        <v>503</v>
      </c>
      <c r="O37" s="8" t="s">
        <v>504</v>
      </c>
      <c r="P37" s="6" t="n">
        <f aca="false">IF(O37="","",VALUE(LEFT(O37,4)))</f>
        <v>1792</v>
      </c>
      <c r="Q37" s="6" t="s">
        <v>505</v>
      </c>
      <c r="R37" s="6" t="s">
        <v>505</v>
      </c>
      <c r="S37" s="6" t="s">
        <v>196</v>
      </c>
      <c r="T37" s="6" t="s">
        <v>506</v>
      </c>
      <c r="U37" s="6" t="s">
        <v>85</v>
      </c>
      <c r="V37" s="6" t="s">
        <v>323</v>
      </c>
      <c r="W37" s="6" t="str">
        <f aca="false">IF(O37="","",INDEX(Lookups!$B$2:$B$37,MATCH(O37,Lookups!$A$2:$A$37,1)))</f>
        <v>Dundas</v>
      </c>
      <c r="X37" s="6" t="s">
        <v>124</v>
      </c>
      <c r="Y37" s="6" t="s">
        <v>15</v>
      </c>
      <c r="Z37" s="6" t="s">
        <v>55</v>
      </c>
      <c r="AA37" s="6" t="s">
        <v>507</v>
      </c>
      <c r="AB37" s="6" t="s">
        <v>55</v>
      </c>
      <c r="AC37" s="6"/>
      <c r="AD37" s="6"/>
      <c r="AE37" s="6"/>
      <c r="AF37" s="6"/>
      <c r="AG37" s="6"/>
      <c r="AH37" s="6"/>
      <c r="AI37" s="6" t="s">
        <v>508</v>
      </c>
    </row>
    <row r="38" customFormat="false" ht="15" hidden="false" customHeight="true" outlineLevel="0" collapsed="false">
      <c r="A38" s="6" t="s">
        <v>509</v>
      </c>
      <c r="B38" s="6" t="s">
        <v>510</v>
      </c>
      <c r="C38" s="7" t="s">
        <v>4</v>
      </c>
      <c r="D38" s="6" t="s">
        <v>55</v>
      </c>
      <c r="E38" s="6" t="s">
        <v>439</v>
      </c>
      <c r="F38" s="6" t="s">
        <v>511</v>
      </c>
      <c r="G38" s="6" t="s">
        <v>512</v>
      </c>
      <c r="H38" s="6" t="s">
        <v>513</v>
      </c>
      <c r="I38" s="6" t="s">
        <v>274</v>
      </c>
      <c r="J38" s="6"/>
      <c r="K38" s="6" t="s">
        <v>60</v>
      </c>
      <c r="L38" s="6" t="s">
        <v>61</v>
      </c>
      <c r="M38" s="6" t="s">
        <v>514</v>
      </c>
      <c r="N38" s="6" t="s">
        <v>515</v>
      </c>
      <c r="O38" s="8" t="s">
        <v>516</v>
      </c>
      <c r="P38" s="6" t="n">
        <f aca="false">IF(O38="","",VALUE(LEFT(O38,4)))</f>
        <v>1792</v>
      </c>
      <c r="Q38" s="6" t="s">
        <v>517</v>
      </c>
      <c r="R38" s="6" t="s">
        <v>518</v>
      </c>
      <c r="S38" s="6" t="s">
        <v>241</v>
      </c>
      <c r="T38" s="6" t="s">
        <v>519</v>
      </c>
      <c r="U38" s="6" t="s">
        <v>69</v>
      </c>
      <c r="V38" s="6" t="s">
        <v>520</v>
      </c>
      <c r="W38" s="6" t="str">
        <f aca="false">IF(O38="","",INDEX(Lookups!$B$2:$B$38,MATCH(O38,Lookups!$A$2:$A$38,1)))</f>
        <v>Dundas</v>
      </c>
      <c r="X38" s="6" t="s">
        <v>140</v>
      </c>
      <c r="Y38" s="6" t="s">
        <v>16</v>
      </c>
      <c r="Z38" s="6" t="s">
        <v>72</v>
      </c>
      <c r="AA38" s="6" t="s">
        <v>521</v>
      </c>
      <c r="AB38" s="6" t="s">
        <v>88</v>
      </c>
      <c r="AC38" s="6"/>
      <c r="AD38" s="6"/>
      <c r="AE38" s="6"/>
      <c r="AF38" s="6"/>
      <c r="AG38" s="6"/>
      <c r="AH38" s="6"/>
      <c r="AI38" s="6" t="s">
        <v>522</v>
      </c>
    </row>
    <row r="39" customFormat="false" ht="15" hidden="false" customHeight="true" outlineLevel="0" collapsed="false">
      <c r="A39" s="6" t="s">
        <v>523</v>
      </c>
      <c r="B39" s="6" t="s">
        <v>524</v>
      </c>
      <c r="C39" s="10" t="s">
        <v>7</v>
      </c>
      <c r="D39" s="6" t="s">
        <v>55</v>
      </c>
      <c r="E39" s="6" t="s">
        <v>439</v>
      </c>
      <c r="F39" s="6" t="s">
        <v>525</v>
      </c>
      <c r="G39" s="6" t="s">
        <v>526</v>
      </c>
      <c r="H39" s="6" t="s">
        <v>527</v>
      </c>
      <c r="I39" s="6" t="s">
        <v>274</v>
      </c>
      <c r="J39" s="6"/>
      <c r="K39" s="6" t="s">
        <v>60</v>
      </c>
      <c r="L39" s="6" t="s">
        <v>61</v>
      </c>
      <c r="M39" s="6" t="s">
        <v>528</v>
      </c>
      <c r="N39" s="6" t="s">
        <v>529</v>
      </c>
      <c r="O39" s="8" t="s">
        <v>530</v>
      </c>
      <c r="P39" s="6" t="n">
        <f aca="false">IF(O39="","",VALUE(LEFT(O39,4)))</f>
        <v>1792</v>
      </c>
      <c r="Q39" s="6" t="s">
        <v>195</v>
      </c>
      <c r="R39" s="6" t="s">
        <v>195</v>
      </c>
      <c r="S39" s="6" t="s">
        <v>196</v>
      </c>
      <c r="T39" s="6" t="s">
        <v>531</v>
      </c>
      <c r="U39" s="6" t="s">
        <v>174</v>
      </c>
      <c r="V39" s="6" t="s">
        <v>532</v>
      </c>
      <c r="W39" s="6" t="str">
        <f aca="false">IF(O39="","",INDEX(Lookups!$B$2:$B$39,MATCH(O39,Lookups!$A$2:$A$39,1)))</f>
        <v>Dundas</v>
      </c>
      <c r="X39" s="6" t="s">
        <v>124</v>
      </c>
      <c r="Y39" s="6"/>
      <c r="Z39" s="6"/>
      <c r="AA39" s="6" t="s">
        <v>533</v>
      </c>
      <c r="AB39" s="6"/>
      <c r="AC39" s="6"/>
      <c r="AD39" s="6"/>
      <c r="AE39" s="6"/>
      <c r="AF39" s="6"/>
      <c r="AG39" s="6"/>
      <c r="AH39" s="6"/>
      <c r="AI39" s="6" t="s">
        <v>534</v>
      </c>
    </row>
    <row r="40" customFormat="false" ht="15" hidden="false" customHeight="true" outlineLevel="0" collapsed="false">
      <c r="A40" s="6" t="s">
        <v>535</v>
      </c>
      <c r="B40" s="6" t="s">
        <v>536</v>
      </c>
      <c r="C40" s="10" t="s">
        <v>7</v>
      </c>
      <c r="D40" s="6" t="s">
        <v>55</v>
      </c>
      <c r="E40" s="6" t="s">
        <v>439</v>
      </c>
      <c r="F40" s="6" t="s">
        <v>525</v>
      </c>
      <c r="G40" s="6" t="s">
        <v>537</v>
      </c>
      <c r="H40" s="6" t="s">
        <v>538</v>
      </c>
      <c r="I40" s="6" t="s">
        <v>274</v>
      </c>
      <c r="J40" s="6"/>
      <c r="K40" s="6" t="s">
        <v>60</v>
      </c>
      <c r="L40" s="6" t="s">
        <v>61</v>
      </c>
      <c r="M40" s="6" t="s">
        <v>539</v>
      </c>
      <c r="N40" s="6" t="s">
        <v>540</v>
      </c>
      <c r="O40" s="8" t="s">
        <v>541</v>
      </c>
      <c r="P40" s="6" t="n">
        <f aca="false">IF(O40="","",VALUE(LEFT(O40,4)))</f>
        <v>1792</v>
      </c>
      <c r="Q40" s="6" t="s">
        <v>542</v>
      </c>
      <c r="R40" s="6" t="s">
        <v>542</v>
      </c>
      <c r="S40" s="6" t="s">
        <v>447</v>
      </c>
      <c r="T40" s="6" t="s">
        <v>531</v>
      </c>
      <c r="U40" s="6" t="s">
        <v>174</v>
      </c>
      <c r="V40" s="6" t="s">
        <v>532</v>
      </c>
      <c r="W40" s="6" t="str">
        <f aca="false">IF(O40="","",INDEX(Lookups!$B$2:$B$40,MATCH(O40,Lookups!$A$2:$A$40,1)))</f>
        <v>Dundas</v>
      </c>
      <c r="X40" s="6" t="s">
        <v>124</v>
      </c>
      <c r="Y40" s="6"/>
      <c r="Z40" s="6"/>
      <c r="AA40" s="6" t="s">
        <v>543</v>
      </c>
      <c r="AB40" s="6"/>
      <c r="AC40" s="6"/>
      <c r="AD40" s="6"/>
      <c r="AE40" s="6"/>
      <c r="AF40" s="6"/>
      <c r="AG40" s="6"/>
      <c r="AH40" s="6"/>
      <c r="AI40" s="6" t="s">
        <v>544</v>
      </c>
    </row>
    <row r="41" customFormat="false" ht="15" hidden="false" customHeight="true" outlineLevel="0" collapsed="false">
      <c r="A41" s="6" t="s">
        <v>545</v>
      </c>
      <c r="B41" s="6" t="s">
        <v>546</v>
      </c>
      <c r="C41" s="10" t="s">
        <v>7</v>
      </c>
      <c r="D41" s="6" t="s">
        <v>55</v>
      </c>
      <c r="E41" s="6" t="s">
        <v>439</v>
      </c>
      <c r="F41" s="6" t="s">
        <v>525</v>
      </c>
      <c r="G41" s="6" t="s">
        <v>547</v>
      </c>
      <c r="H41" s="6" t="s">
        <v>548</v>
      </c>
      <c r="I41" s="6" t="s">
        <v>274</v>
      </c>
      <c r="J41" s="6"/>
      <c r="K41" s="6" t="s">
        <v>60</v>
      </c>
      <c r="L41" s="6" t="s">
        <v>61</v>
      </c>
      <c r="M41" s="6" t="s">
        <v>549</v>
      </c>
      <c r="N41" s="6" t="s">
        <v>550</v>
      </c>
      <c r="O41" s="8" t="s">
        <v>551</v>
      </c>
      <c r="P41" s="6" t="n">
        <f aca="false">IF(O41="","",VALUE(LEFT(O41,4)))</f>
        <v>1792</v>
      </c>
      <c r="Q41" s="6" t="s">
        <v>552</v>
      </c>
      <c r="R41" s="6" t="s">
        <v>552</v>
      </c>
      <c r="S41" s="6" t="s">
        <v>553</v>
      </c>
      <c r="T41" s="6" t="s">
        <v>531</v>
      </c>
      <c r="U41" s="6" t="s">
        <v>174</v>
      </c>
      <c r="V41" s="6" t="s">
        <v>532</v>
      </c>
      <c r="W41" s="6" t="str">
        <f aca="false">IF(O41="","",INDEX(Lookups!$B$2:$B$41,MATCH(O41,Lookups!$A$2:$A$41,1)))</f>
        <v>Dundas</v>
      </c>
      <c r="X41" s="6" t="s">
        <v>124</v>
      </c>
      <c r="Y41" s="6"/>
      <c r="Z41" s="6"/>
      <c r="AA41" s="6" t="s">
        <v>533</v>
      </c>
      <c r="AB41" s="6"/>
      <c r="AC41" s="6"/>
      <c r="AD41" s="6"/>
      <c r="AE41" s="6"/>
      <c r="AF41" s="6"/>
      <c r="AG41" s="6"/>
      <c r="AH41" s="6"/>
      <c r="AI41" s="6" t="s">
        <v>554</v>
      </c>
    </row>
    <row r="42" customFormat="false" ht="15" hidden="false" customHeight="true" outlineLevel="0" collapsed="false">
      <c r="A42" s="6" t="s">
        <v>555</v>
      </c>
      <c r="B42" s="6" t="s">
        <v>556</v>
      </c>
      <c r="C42" s="10" t="s">
        <v>7</v>
      </c>
      <c r="D42" s="6" t="s">
        <v>55</v>
      </c>
      <c r="E42" s="6" t="s">
        <v>439</v>
      </c>
      <c r="F42" s="6" t="s">
        <v>525</v>
      </c>
      <c r="G42" s="6" t="s">
        <v>557</v>
      </c>
      <c r="H42" s="6" t="s">
        <v>558</v>
      </c>
      <c r="I42" s="6" t="s">
        <v>274</v>
      </c>
      <c r="J42" s="6"/>
      <c r="K42" s="6" t="s">
        <v>60</v>
      </c>
      <c r="L42" s="6" t="s">
        <v>61</v>
      </c>
      <c r="M42" s="6" t="s">
        <v>559</v>
      </c>
      <c r="N42" s="6" t="s">
        <v>560</v>
      </c>
      <c r="O42" s="8" t="s">
        <v>561</v>
      </c>
      <c r="P42" s="6" t="n">
        <f aca="false">IF(O42="","",VALUE(LEFT(O42,4)))</f>
        <v>1792</v>
      </c>
      <c r="Q42" s="6" t="s">
        <v>184</v>
      </c>
      <c r="R42" s="6" t="s">
        <v>184</v>
      </c>
      <c r="S42" s="6" t="s">
        <v>185</v>
      </c>
      <c r="T42" s="6" t="s">
        <v>531</v>
      </c>
      <c r="U42" s="6" t="s">
        <v>174</v>
      </c>
      <c r="V42" s="6" t="s">
        <v>532</v>
      </c>
      <c r="W42" s="6" t="str">
        <f aca="false">IF(O42="","",INDEX(Lookups!$B$2:$B$42,MATCH(O42,Lookups!$A$2:$A$42,1)))</f>
        <v>Dundas</v>
      </c>
      <c r="X42" s="6" t="s">
        <v>124</v>
      </c>
      <c r="Y42" s="6"/>
      <c r="Z42" s="6"/>
      <c r="AA42" s="6" t="s">
        <v>533</v>
      </c>
      <c r="AB42" s="6"/>
      <c r="AC42" s="6"/>
      <c r="AD42" s="6"/>
      <c r="AE42" s="6"/>
      <c r="AF42" s="6"/>
      <c r="AG42" s="6"/>
      <c r="AH42" s="6"/>
      <c r="AI42" s="6" t="s">
        <v>562</v>
      </c>
    </row>
    <row r="43" customFormat="false" ht="15" hidden="false" customHeight="true" outlineLevel="0" collapsed="false">
      <c r="A43" s="6" t="s">
        <v>563</v>
      </c>
      <c r="B43" s="6" t="s">
        <v>564</v>
      </c>
      <c r="C43" s="10" t="s">
        <v>7</v>
      </c>
      <c r="D43" s="6" t="s">
        <v>55</v>
      </c>
      <c r="E43" s="6" t="s">
        <v>565</v>
      </c>
      <c r="F43" s="6" t="s">
        <v>566</v>
      </c>
      <c r="G43" s="6" t="s">
        <v>567</v>
      </c>
      <c r="H43" s="6" t="s">
        <v>568</v>
      </c>
      <c r="I43" s="6" t="s">
        <v>59</v>
      </c>
      <c r="J43" s="6"/>
      <c r="K43" s="6" t="s">
        <v>60</v>
      </c>
      <c r="L43" s="6" t="s">
        <v>61</v>
      </c>
      <c r="M43" s="6" t="s">
        <v>569</v>
      </c>
      <c r="N43" s="6" t="s">
        <v>570</v>
      </c>
      <c r="O43" s="8" t="s">
        <v>571</v>
      </c>
      <c r="P43" s="6" t="n">
        <f aca="false">IF(O43="","",VALUE(LEFT(O43,4)))</f>
        <v>1792</v>
      </c>
      <c r="Q43" s="6" t="s">
        <v>341</v>
      </c>
      <c r="R43" s="6" t="s">
        <v>341</v>
      </c>
      <c r="S43" s="6" t="s">
        <v>185</v>
      </c>
      <c r="T43" s="6" t="s">
        <v>572</v>
      </c>
      <c r="U43" s="6" t="s">
        <v>174</v>
      </c>
      <c r="V43" s="6" t="s">
        <v>573</v>
      </c>
      <c r="W43" s="6" t="str">
        <f aca="false">IF(O43="","",INDEX(Lookups!$B$2:$B$43,MATCH(O43,Lookups!$A$2:$A$43,1)))</f>
        <v>Dundas</v>
      </c>
      <c r="X43" s="6" t="s">
        <v>124</v>
      </c>
      <c r="Y43" s="6"/>
      <c r="Z43" s="6"/>
      <c r="AA43" s="6" t="s">
        <v>574</v>
      </c>
      <c r="AB43" s="6"/>
      <c r="AC43" s="6"/>
      <c r="AD43" s="6"/>
      <c r="AE43" s="6"/>
      <c r="AF43" s="6"/>
      <c r="AG43" s="6"/>
      <c r="AH43" s="6"/>
      <c r="AI43" s="6" t="s">
        <v>575</v>
      </c>
    </row>
    <row r="44" customFormat="false" ht="15" hidden="false" customHeight="true" outlineLevel="0" collapsed="false">
      <c r="A44" s="6" t="s">
        <v>576</v>
      </c>
      <c r="B44" s="6" t="s">
        <v>577</v>
      </c>
      <c r="C44" s="7" t="s">
        <v>4</v>
      </c>
      <c r="D44" s="6" t="s">
        <v>55</v>
      </c>
      <c r="E44" s="6" t="s">
        <v>565</v>
      </c>
      <c r="F44" s="6" t="s">
        <v>578</v>
      </c>
      <c r="G44" s="6" t="s">
        <v>579</v>
      </c>
      <c r="H44" s="6" t="s">
        <v>580</v>
      </c>
      <c r="I44" s="6" t="s">
        <v>274</v>
      </c>
      <c r="J44" s="6"/>
      <c r="K44" s="6" t="s">
        <v>60</v>
      </c>
      <c r="L44" s="6" t="s">
        <v>61</v>
      </c>
      <c r="M44" s="6" t="s">
        <v>581</v>
      </c>
      <c r="N44" s="6" t="s">
        <v>582</v>
      </c>
      <c r="O44" s="8" t="s">
        <v>583</v>
      </c>
      <c r="P44" s="6" t="n">
        <f aca="false">IF(O44="","",VALUE(LEFT(O44,4)))</f>
        <v>1792</v>
      </c>
      <c r="Q44" s="6" t="s">
        <v>584</v>
      </c>
      <c r="R44" s="6" t="s">
        <v>584</v>
      </c>
      <c r="S44" s="6" t="s">
        <v>67</v>
      </c>
      <c r="T44" s="6" t="s">
        <v>585</v>
      </c>
      <c r="U44" s="6" t="s">
        <v>254</v>
      </c>
      <c r="V44" s="6" t="s">
        <v>586</v>
      </c>
      <c r="W44" s="6" t="str">
        <f aca="false">IF(O44="","",INDEX(Lookups!$B$2:$B$44,MATCH(O44,Lookups!$A$2:$A$44,1)))</f>
        <v>Dundas</v>
      </c>
      <c r="X44" s="6" t="s">
        <v>206</v>
      </c>
      <c r="Y44" s="6" t="s">
        <v>14</v>
      </c>
      <c r="Z44" s="6" t="s">
        <v>72</v>
      </c>
      <c r="AA44" s="6" t="s">
        <v>587</v>
      </c>
      <c r="AB44" s="6" t="s">
        <v>88</v>
      </c>
      <c r="AC44" s="6" t="s">
        <v>588</v>
      </c>
      <c r="AD44" s="6" t="s">
        <v>106</v>
      </c>
      <c r="AE44" s="6"/>
      <c r="AF44" s="6"/>
      <c r="AG44" s="6"/>
      <c r="AH44" s="6" t="s">
        <v>9</v>
      </c>
      <c r="AI44" s="6" t="s">
        <v>589</v>
      </c>
    </row>
    <row r="45" customFormat="false" ht="15" hidden="false" customHeight="true" outlineLevel="0" collapsed="false">
      <c r="A45" s="6" t="s">
        <v>590</v>
      </c>
      <c r="B45" s="6" t="s">
        <v>577</v>
      </c>
      <c r="C45" s="12" t="s">
        <v>9</v>
      </c>
      <c r="D45" s="6" t="s">
        <v>55</v>
      </c>
      <c r="E45" s="6" t="s">
        <v>565</v>
      </c>
      <c r="F45" s="6" t="s">
        <v>578</v>
      </c>
      <c r="G45" s="6" t="s">
        <v>591</v>
      </c>
      <c r="H45" s="6" t="s">
        <v>592</v>
      </c>
      <c r="I45" s="6" t="s">
        <v>274</v>
      </c>
      <c r="J45" s="6"/>
      <c r="K45" s="6" t="s">
        <v>60</v>
      </c>
      <c r="L45" s="6" t="s">
        <v>61</v>
      </c>
      <c r="M45" s="6" t="s">
        <v>593</v>
      </c>
      <c r="N45" s="6" t="s">
        <v>594</v>
      </c>
      <c r="O45" s="8" t="s">
        <v>595</v>
      </c>
      <c r="P45" s="6" t="n">
        <f aca="false">IF(O45="","",VALUE(LEFT(O45,4)))</f>
        <v>1792</v>
      </c>
      <c r="Q45" s="6" t="s">
        <v>596</v>
      </c>
      <c r="R45" s="6" t="s">
        <v>369</v>
      </c>
      <c r="S45" s="6" t="s">
        <v>370</v>
      </c>
      <c r="T45" s="6" t="s">
        <v>597</v>
      </c>
      <c r="U45" s="6" t="s">
        <v>217</v>
      </c>
      <c r="V45" s="6" t="s">
        <v>598</v>
      </c>
      <c r="W45" s="6" t="str">
        <f aca="false">IF(O45="","",INDEX(Lookups!$B$2:$B$45,MATCH(O45,Lookups!$A$2:$A$45,1)))</f>
        <v>Dundas</v>
      </c>
      <c r="X45" s="6" t="s">
        <v>206</v>
      </c>
      <c r="Y45" s="6" t="s">
        <v>16</v>
      </c>
      <c r="Z45" s="6" t="s">
        <v>88</v>
      </c>
      <c r="AA45" s="6"/>
      <c r="AB45" s="6"/>
      <c r="AC45" s="6"/>
      <c r="AD45" s="6"/>
      <c r="AE45" s="6"/>
      <c r="AF45" s="6"/>
      <c r="AG45" s="6"/>
      <c r="AH45" s="6"/>
      <c r="AI45" s="6" t="s">
        <v>599</v>
      </c>
    </row>
    <row r="46" customFormat="false" ht="15" hidden="false" customHeight="true" outlineLevel="0" collapsed="false">
      <c r="A46" s="6" t="s">
        <v>600</v>
      </c>
      <c r="B46" s="6" t="s">
        <v>463</v>
      </c>
      <c r="C46" s="7" t="s">
        <v>4</v>
      </c>
      <c r="D46" s="6" t="s">
        <v>88</v>
      </c>
      <c r="E46" s="6" t="s">
        <v>601</v>
      </c>
      <c r="F46" s="6" t="s">
        <v>602</v>
      </c>
      <c r="G46" s="6" t="s">
        <v>603</v>
      </c>
      <c r="H46" s="6" t="s">
        <v>604</v>
      </c>
      <c r="I46" s="6" t="s">
        <v>274</v>
      </c>
      <c r="J46" s="6"/>
      <c r="K46" s="6" t="s">
        <v>60</v>
      </c>
      <c r="L46" s="6" t="s">
        <v>61</v>
      </c>
      <c r="M46" s="6" t="s">
        <v>605</v>
      </c>
      <c r="N46" s="6" t="s">
        <v>606</v>
      </c>
      <c r="O46" s="8" t="s">
        <v>607</v>
      </c>
      <c r="P46" s="6" t="n">
        <f aca="false">IF(O46="","",VALUE(LEFT(O46,4)))</f>
        <v>1792</v>
      </c>
      <c r="Q46" s="6" t="s">
        <v>608</v>
      </c>
      <c r="R46" s="6" t="s">
        <v>470</v>
      </c>
      <c r="S46" s="6" t="s">
        <v>447</v>
      </c>
      <c r="T46" s="6" t="s">
        <v>609</v>
      </c>
      <c r="U46" s="6" t="s">
        <v>85</v>
      </c>
      <c r="V46" s="6" t="s">
        <v>323</v>
      </c>
      <c r="W46" s="6" t="str">
        <f aca="false">IF(O46="","",INDEX(Lookups!$B$2:$B$46,MATCH(O46,Lookups!$A$2:$A$46,1)))</f>
        <v>Dundas</v>
      </c>
      <c r="X46" s="6" t="s">
        <v>206</v>
      </c>
      <c r="Y46" s="6" t="s">
        <v>13</v>
      </c>
      <c r="Z46" s="6" t="s">
        <v>88</v>
      </c>
      <c r="AA46" s="6" t="s">
        <v>610</v>
      </c>
      <c r="AB46" s="6" t="s">
        <v>88</v>
      </c>
      <c r="AC46" s="6" t="s">
        <v>611</v>
      </c>
      <c r="AD46" s="6" t="s">
        <v>106</v>
      </c>
      <c r="AE46" s="6" t="s">
        <v>468</v>
      </c>
      <c r="AF46" s="6"/>
      <c r="AG46" s="6"/>
      <c r="AH46" s="6" t="s">
        <v>9</v>
      </c>
      <c r="AI46" s="6" t="s">
        <v>612</v>
      </c>
    </row>
    <row r="47" customFormat="false" ht="15" hidden="false" customHeight="true" outlineLevel="0" collapsed="false">
      <c r="A47" s="6" t="s">
        <v>613</v>
      </c>
      <c r="B47" s="6" t="s">
        <v>614</v>
      </c>
      <c r="C47" s="10" t="s">
        <v>7</v>
      </c>
      <c r="D47" s="6" t="s">
        <v>55</v>
      </c>
      <c r="E47" s="6" t="s">
        <v>601</v>
      </c>
      <c r="F47" s="6" t="s">
        <v>602</v>
      </c>
      <c r="G47" s="6" t="s">
        <v>615</v>
      </c>
      <c r="H47" s="6" t="s">
        <v>616</v>
      </c>
      <c r="I47" s="6" t="s">
        <v>274</v>
      </c>
      <c r="J47" s="6"/>
      <c r="K47" s="6" t="s">
        <v>60</v>
      </c>
      <c r="L47" s="6" t="s">
        <v>61</v>
      </c>
      <c r="M47" s="6" t="s">
        <v>617</v>
      </c>
      <c r="N47" s="6" t="s">
        <v>618</v>
      </c>
      <c r="O47" s="8" t="s">
        <v>607</v>
      </c>
      <c r="P47" s="6" t="n">
        <f aca="false">IF(O47="","",VALUE(LEFT(O47,4)))</f>
        <v>1792</v>
      </c>
      <c r="Q47" s="6" t="s">
        <v>619</v>
      </c>
      <c r="R47" s="6" t="s">
        <v>620</v>
      </c>
      <c r="S47" s="6" t="s">
        <v>304</v>
      </c>
      <c r="T47" s="6" t="s">
        <v>572</v>
      </c>
      <c r="U47" s="6" t="s">
        <v>174</v>
      </c>
      <c r="V47" s="6" t="s">
        <v>621</v>
      </c>
      <c r="W47" s="6" t="str">
        <f aca="false">IF(O47="","",INDEX(Lookups!$B$2:$B$47,MATCH(O47,Lookups!$A$2:$A$47,1)))</f>
        <v>Dundas</v>
      </c>
      <c r="X47" s="6" t="s">
        <v>124</v>
      </c>
      <c r="Y47" s="6"/>
      <c r="Z47" s="6"/>
      <c r="AA47" s="6" t="s">
        <v>622</v>
      </c>
      <c r="AB47" s="6"/>
      <c r="AC47" s="6"/>
      <c r="AD47" s="6"/>
      <c r="AE47" s="6"/>
      <c r="AF47" s="6"/>
      <c r="AG47" s="6"/>
      <c r="AH47" s="6"/>
      <c r="AI47" s="6" t="s">
        <v>623</v>
      </c>
    </row>
    <row r="48" customFormat="false" ht="15" hidden="false" customHeight="true" outlineLevel="0" collapsed="false">
      <c r="A48" s="6" t="s">
        <v>624</v>
      </c>
      <c r="B48" s="6" t="s">
        <v>625</v>
      </c>
      <c r="C48" s="10" t="s">
        <v>7</v>
      </c>
      <c r="D48" s="6" t="s">
        <v>88</v>
      </c>
      <c r="E48" s="6" t="s">
        <v>601</v>
      </c>
      <c r="F48" s="6" t="s">
        <v>626</v>
      </c>
      <c r="G48" s="6" t="s">
        <v>627</v>
      </c>
      <c r="H48" s="6" t="s">
        <v>628</v>
      </c>
      <c r="I48" s="6" t="s">
        <v>274</v>
      </c>
      <c r="J48" s="6"/>
      <c r="K48" s="6" t="s">
        <v>60</v>
      </c>
      <c r="L48" s="6" t="s">
        <v>61</v>
      </c>
      <c r="M48" s="6" t="s">
        <v>629</v>
      </c>
      <c r="N48" s="6" t="s">
        <v>630</v>
      </c>
      <c r="O48" s="8" t="s">
        <v>631</v>
      </c>
      <c r="P48" s="6" t="n">
        <f aca="false">IF(O48="","",VALUE(LEFT(O48,4)))</f>
        <v>1792</v>
      </c>
      <c r="Q48" s="6" t="s">
        <v>632</v>
      </c>
      <c r="R48" s="6" t="s">
        <v>633</v>
      </c>
      <c r="S48" s="6" t="s">
        <v>634</v>
      </c>
      <c r="T48" s="6" t="s">
        <v>635</v>
      </c>
      <c r="U48" s="6" t="s">
        <v>174</v>
      </c>
      <c r="V48" s="6" t="s">
        <v>636</v>
      </c>
      <c r="W48" s="6" t="str">
        <f aca="false">IF(O48="","",INDEX(Lookups!$B$2:$B$48,MATCH(O48,Lookups!$A$2:$A$48,1)))</f>
        <v>Dundas</v>
      </c>
      <c r="X48" s="6" t="s">
        <v>124</v>
      </c>
      <c r="Y48" s="6"/>
      <c r="Z48" s="6"/>
      <c r="AA48" s="6"/>
      <c r="AB48" s="6"/>
      <c r="AC48" s="6"/>
      <c r="AD48" s="6"/>
      <c r="AE48" s="6"/>
      <c r="AF48" s="6"/>
      <c r="AG48" s="6"/>
      <c r="AH48" s="6"/>
      <c r="AI48" s="6" t="s">
        <v>637</v>
      </c>
    </row>
    <row r="49" customFormat="false" ht="15" hidden="false" customHeight="true" outlineLevel="0" collapsed="false">
      <c r="A49" s="6" t="s">
        <v>638</v>
      </c>
      <c r="B49" s="6" t="s">
        <v>639</v>
      </c>
      <c r="C49" s="7" t="s">
        <v>4</v>
      </c>
      <c r="D49" s="6" t="s">
        <v>88</v>
      </c>
      <c r="E49" s="6" t="s">
        <v>601</v>
      </c>
      <c r="F49" s="6" t="s">
        <v>640</v>
      </c>
      <c r="G49" s="6" t="s">
        <v>641</v>
      </c>
      <c r="H49" s="6" t="s">
        <v>642</v>
      </c>
      <c r="I49" s="6" t="s">
        <v>274</v>
      </c>
      <c r="J49" s="6"/>
      <c r="K49" s="6" t="s">
        <v>60</v>
      </c>
      <c r="L49" s="6" t="s">
        <v>61</v>
      </c>
      <c r="M49" s="6" t="s">
        <v>643</v>
      </c>
      <c r="N49" s="6" t="s">
        <v>644</v>
      </c>
      <c r="O49" s="8" t="s">
        <v>645</v>
      </c>
      <c r="P49" s="6" t="n">
        <f aca="false">IF(O49="","",VALUE(LEFT(O49,4)))</f>
        <v>1792</v>
      </c>
      <c r="Q49" s="6" t="s">
        <v>382</v>
      </c>
      <c r="R49" s="6" t="s">
        <v>382</v>
      </c>
      <c r="S49" s="6" t="s">
        <v>383</v>
      </c>
      <c r="T49" s="6" t="s">
        <v>646</v>
      </c>
      <c r="U49" s="6" t="s">
        <v>85</v>
      </c>
      <c r="V49" s="6" t="s">
        <v>647</v>
      </c>
      <c r="W49" s="6" t="str">
        <f aca="false">IF(O49="","",INDEX(Lookups!$B$2:$B$49,MATCH(O49,Lookups!$A$2:$A$49,1)))</f>
        <v>Dundas</v>
      </c>
      <c r="X49" s="6" t="s">
        <v>103</v>
      </c>
      <c r="Y49" s="6" t="s">
        <v>14</v>
      </c>
      <c r="Z49" s="6" t="s">
        <v>88</v>
      </c>
      <c r="AA49" s="6" t="s">
        <v>648</v>
      </c>
      <c r="AB49" s="6" t="s">
        <v>72</v>
      </c>
      <c r="AC49" s="6"/>
      <c r="AD49" s="6"/>
      <c r="AE49" s="6"/>
      <c r="AF49" s="6"/>
      <c r="AG49" s="6"/>
      <c r="AH49" s="6"/>
      <c r="AI49" s="6" t="s">
        <v>649</v>
      </c>
    </row>
    <row r="50" customFormat="false" ht="15" hidden="false" customHeight="true" outlineLevel="0" collapsed="false">
      <c r="A50" s="6" t="s">
        <v>650</v>
      </c>
      <c r="B50" s="6" t="s">
        <v>651</v>
      </c>
      <c r="C50" s="7" t="s">
        <v>4</v>
      </c>
      <c r="D50" s="6" t="s">
        <v>55</v>
      </c>
      <c r="E50" s="6" t="s">
        <v>601</v>
      </c>
      <c r="F50" s="6" t="s">
        <v>640</v>
      </c>
      <c r="G50" s="6" t="s">
        <v>652</v>
      </c>
      <c r="H50" s="6" t="s">
        <v>653</v>
      </c>
      <c r="I50" s="6" t="s">
        <v>274</v>
      </c>
      <c r="J50" s="6"/>
      <c r="K50" s="6" t="s">
        <v>60</v>
      </c>
      <c r="L50" s="6" t="s">
        <v>61</v>
      </c>
      <c r="M50" s="6" t="s">
        <v>654</v>
      </c>
      <c r="N50" s="6" t="s">
        <v>655</v>
      </c>
      <c r="O50" s="8" t="s">
        <v>656</v>
      </c>
      <c r="P50" s="6" t="n">
        <f aca="false">IF(O50="","",VALUE(LEFT(O50,4)))</f>
        <v>1792</v>
      </c>
      <c r="Q50" s="6" t="s">
        <v>657</v>
      </c>
      <c r="R50" s="6" t="s">
        <v>658</v>
      </c>
      <c r="S50" s="6" t="s">
        <v>304</v>
      </c>
      <c r="T50" s="6" t="s">
        <v>659</v>
      </c>
      <c r="U50" s="6" t="s">
        <v>85</v>
      </c>
      <c r="V50" s="6" t="s">
        <v>660</v>
      </c>
      <c r="W50" s="6" t="str">
        <f aca="false">IF(O50="","",INDEX(Lookups!$B$2:$B$50,MATCH(O50,Lookups!$A$2:$A$50,1)))</f>
        <v>Dundas</v>
      </c>
      <c r="X50" s="6" t="s">
        <v>206</v>
      </c>
      <c r="Y50" s="6" t="s">
        <v>13</v>
      </c>
      <c r="Z50" s="6" t="s">
        <v>72</v>
      </c>
      <c r="AA50" s="6" t="s">
        <v>661</v>
      </c>
      <c r="AB50" s="6" t="s">
        <v>88</v>
      </c>
      <c r="AC50" s="6" t="s">
        <v>662</v>
      </c>
      <c r="AD50" s="6" t="s">
        <v>106</v>
      </c>
      <c r="AE50" s="6"/>
      <c r="AF50" s="6"/>
      <c r="AG50" s="6"/>
      <c r="AH50" s="6" t="s">
        <v>9</v>
      </c>
      <c r="AI50" s="6" t="s">
        <v>663</v>
      </c>
    </row>
    <row r="51" customFormat="false" ht="15" hidden="false" customHeight="true" outlineLevel="0" collapsed="false">
      <c r="A51" s="6" t="s">
        <v>664</v>
      </c>
      <c r="B51" s="6" t="s">
        <v>665</v>
      </c>
      <c r="C51" s="7" t="s">
        <v>4</v>
      </c>
      <c r="D51" s="6" t="s">
        <v>55</v>
      </c>
      <c r="E51" s="6" t="s">
        <v>601</v>
      </c>
      <c r="F51" s="6" t="s">
        <v>666</v>
      </c>
      <c r="G51" s="6" t="s">
        <v>667</v>
      </c>
      <c r="H51" s="6" t="s">
        <v>668</v>
      </c>
      <c r="I51" s="6" t="s">
        <v>274</v>
      </c>
      <c r="J51" s="6"/>
      <c r="K51" s="6" t="s">
        <v>60</v>
      </c>
      <c r="L51" s="6" t="s">
        <v>61</v>
      </c>
      <c r="M51" s="6" t="s">
        <v>669</v>
      </c>
      <c r="N51" s="6" t="s">
        <v>670</v>
      </c>
      <c r="O51" s="8" t="s">
        <v>671</v>
      </c>
      <c r="P51" s="6" t="n">
        <f aca="false">IF(O51="","",VALUE(LEFT(O51,4)))</f>
        <v>1792</v>
      </c>
      <c r="Q51" s="6" t="s">
        <v>672</v>
      </c>
      <c r="R51" s="6" t="s">
        <v>673</v>
      </c>
      <c r="S51" s="6" t="s">
        <v>674</v>
      </c>
      <c r="T51" s="6" t="s">
        <v>675</v>
      </c>
      <c r="U51" s="6" t="s">
        <v>217</v>
      </c>
      <c r="V51" s="6" t="s">
        <v>676</v>
      </c>
      <c r="W51" s="6" t="str">
        <f aca="false">IF(O51="","",INDEX(Lookups!$B$2:$B$51,MATCH(O51,Lookups!$A$2:$A$51,1)))</f>
        <v>Dundas</v>
      </c>
      <c r="X51" s="6" t="s">
        <v>206</v>
      </c>
      <c r="Y51" s="6" t="s">
        <v>13</v>
      </c>
      <c r="Z51" s="6" t="s">
        <v>72</v>
      </c>
      <c r="AA51" s="6" t="s">
        <v>677</v>
      </c>
      <c r="AB51" s="6" t="s">
        <v>88</v>
      </c>
      <c r="AC51" s="6" t="s">
        <v>678</v>
      </c>
      <c r="AD51" s="6" t="s">
        <v>106</v>
      </c>
      <c r="AE51" s="6" t="s">
        <v>679</v>
      </c>
      <c r="AF51" s="6" t="s">
        <v>108</v>
      </c>
      <c r="AG51" s="6" t="s">
        <v>347</v>
      </c>
      <c r="AH51" s="6" t="s">
        <v>9</v>
      </c>
      <c r="AI51" s="6" t="s">
        <v>680</v>
      </c>
    </row>
    <row r="52" customFormat="false" ht="15" hidden="false" customHeight="true" outlineLevel="0" collapsed="false">
      <c r="A52" s="6" t="s">
        <v>681</v>
      </c>
      <c r="B52" s="6" t="s">
        <v>665</v>
      </c>
      <c r="C52" s="7" t="s">
        <v>4</v>
      </c>
      <c r="D52" s="6" t="s">
        <v>88</v>
      </c>
      <c r="E52" s="6" t="s">
        <v>601</v>
      </c>
      <c r="F52" s="6" t="s">
        <v>682</v>
      </c>
      <c r="G52" s="6" t="s">
        <v>683</v>
      </c>
      <c r="H52" s="6" t="s">
        <v>684</v>
      </c>
      <c r="I52" s="6" t="s">
        <v>274</v>
      </c>
      <c r="J52" s="6"/>
      <c r="K52" s="6" t="s">
        <v>60</v>
      </c>
      <c r="L52" s="6" t="s">
        <v>61</v>
      </c>
      <c r="M52" s="6" t="s">
        <v>685</v>
      </c>
      <c r="N52" s="6" t="s">
        <v>686</v>
      </c>
      <c r="O52" s="8" t="s">
        <v>687</v>
      </c>
      <c r="P52" s="6" t="n">
        <f aca="false">IF(O52="","",VALUE(LEFT(O52,4)))</f>
        <v>1792</v>
      </c>
      <c r="Q52" s="6" t="s">
        <v>688</v>
      </c>
      <c r="R52" s="6" t="s">
        <v>120</v>
      </c>
      <c r="S52" s="6" t="s">
        <v>121</v>
      </c>
      <c r="T52" s="6" t="s">
        <v>689</v>
      </c>
      <c r="U52" s="6" t="s">
        <v>85</v>
      </c>
      <c r="V52" s="6" t="s">
        <v>520</v>
      </c>
      <c r="W52" s="6" t="str">
        <f aca="false">IF(O52="","",INDEX(Lookups!$B$2:$B$52,MATCH(O52,Lookups!$A$2:$A$52,1)))</f>
        <v>Dundas</v>
      </c>
      <c r="X52" s="6" t="s">
        <v>206</v>
      </c>
      <c r="Y52" s="6" t="s">
        <v>13</v>
      </c>
      <c r="Z52" s="6" t="s">
        <v>88</v>
      </c>
      <c r="AA52" s="6" t="s">
        <v>690</v>
      </c>
      <c r="AB52" s="6" t="s">
        <v>88</v>
      </c>
      <c r="AC52" s="6" t="s">
        <v>691</v>
      </c>
      <c r="AD52" s="6" t="s">
        <v>106</v>
      </c>
      <c r="AE52" s="6" t="s">
        <v>692</v>
      </c>
      <c r="AF52" s="6" t="s">
        <v>108</v>
      </c>
      <c r="AG52" s="6" t="s">
        <v>693</v>
      </c>
      <c r="AH52" s="6" t="s">
        <v>9</v>
      </c>
      <c r="AI52" s="6" t="s">
        <v>694</v>
      </c>
    </row>
    <row r="53" customFormat="false" ht="15" hidden="false" customHeight="true" outlineLevel="0" collapsed="false">
      <c r="A53" s="6" t="s">
        <v>695</v>
      </c>
      <c r="B53" s="6" t="s">
        <v>696</v>
      </c>
      <c r="C53" s="9" t="s">
        <v>5</v>
      </c>
      <c r="D53" s="6" t="s">
        <v>88</v>
      </c>
      <c r="E53" s="6" t="s">
        <v>601</v>
      </c>
      <c r="F53" s="6" t="s">
        <v>697</v>
      </c>
      <c r="G53" s="6" t="s">
        <v>698</v>
      </c>
      <c r="H53" s="6" t="s">
        <v>699</v>
      </c>
      <c r="I53" s="6" t="s">
        <v>274</v>
      </c>
      <c r="J53" s="6"/>
      <c r="K53" s="6" t="s">
        <v>60</v>
      </c>
      <c r="L53" s="6" t="s">
        <v>61</v>
      </c>
      <c r="M53" s="6" t="s">
        <v>700</v>
      </c>
      <c r="N53" s="6" t="s">
        <v>701</v>
      </c>
      <c r="O53" s="8" t="s">
        <v>702</v>
      </c>
      <c r="P53" s="6" t="n">
        <f aca="false">IF(O53="","",VALUE(LEFT(O53,4)))</f>
        <v>1792</v>
      </c>
      <c r="Q53" s="6" t="s">
        <v>703</v>
      </c>
      <c r="R53" s="6" t="s">
        <v>704</v>
      </c>
      <c r="S53" s="6" t="s">
        <v>705</v>
      </c>
      <c r="T53" s="6" t="s">
        <v>706</v>
      </c>
      <c r="U53" s="6" t="s">
        <v>187</v>
      </c>
      <c r="V53" s="6" t="s">
        <v>707</v>
      </c>
      <c r="W53" s="6" t="str">
        <f aca="false">IF(O53="","",INDEX(Lookups!$B$2:$B$53,MATCH(O53,Lookups!$A$2:$A$53,1)))</f>
        <v>Dundas</v>
      </c>
      <c r="X53" s="6" t="s">
        <v>267</v>
      </c>
      <c r="Y53" s="6"/>
      <c r="Z53" s="6"/>
      <c r="AA53" s="6"/>
      <c r="AB53" s="6"/>
      <c r="AC53" s="6"/>
      <c r="AD53" s="6"/>
      <c r="AE53" s="6"/>
      <c r="AF53" s="6"/>
      <c r="AG53" s="6"/>
      <c r="AH53" s="6"/>
      <c r="AI53" s="6" t="s">
        <v>708</v>
      </c>
    </row>
    <row r="54" customFormat="false" ht="15" hidden="false" customHeight="true" outlineLevel="0" collapsed="false">
      <c r="A54" s="6" t="s">
        <v>709</v>
      </c>
      <c r="B54" s="6" t="s">
        <v>710</v>
      </c>
      <c r="C54" s="7" t="s">
        <v>4</v>
      </c>
      <c r="D54" s="6" t="s">
        <v>55</v>
      </c>
      <c r="E54" s="6" t="s">
        <v>711</v>
      </c>
      <c r="F54" s="6" t="s">
        <v>712</v>
      </c>
      <c r="G54" s="6" t="s">
        <v>713</v>
      </c>
      <c r="H54" s="6" t="s">
        <v>714</v>
      </c>
      <c r="I54" s="6" t="s">
        <v>274</v>
      </c>
      <c r="J54" s="6"/>
      <c r="K54" s="6" t="s">
        <v>60</v>
      </c>
      <c r="L54" s="6" t="s">
        <v>61</v>
      </c>
      <c r="M54" s="6" t="s">
        <v>715</v>
      </c>
      <c r="N54" s="6" t="s">
        <v>716</v>
      </c>
      <c r="O54" s="8" t="s">
        <v>717</v>
      </c>
      <c r="P54" s="6" t="n">
        <f aca="false">IF(O54="","",VALUE(LEFT(O54,4)))</f>
        <v>1792</v>
      </c>
      <c r="Q54" s="6" t="s">
        <v>718</v>
      </c>
      <c r="R54" s="6" t="s">
        <v>719</v>
      </c>
      <c r="S54" s="6" t="s">
        <v>137</v>
      </c>
      <c r="T54" s="6" t="s">
        <v>720</v>
      </c>
      <c r="U54" s="6" t="s">
        <v>69</v>
      </c>
      <c r="V54" s="6" t="s">
        <v>721</v>
      </c>
      <c r="W54" s="6" t="str">
        <f aca="false">IF(O54="","",INDEX(Lookups!$B$2:$B$54,MATCH(O54,Lookups!$A$2:$A$54,1)))</f>
        <v>Dundas</v>
      </c>
      <c r="X54" s="6" t="s">
        <v>103</v>
      </c>
      <c r="Y54" s="6" t="s">
        <v>15</v>
      </c>
      <c r="Z54" s="6" t="s">
        <v>72</v>
      </c>
      <c r="AA54" s="6" t="s">
        <v>722</v>
      </c>
      <c r="AB54" s="6" t="s">
        <v>72</v>
      </c>
      <c r="AC54" s="6"/>
      <c r="AD54" s="6"/>
      <c r="AE54" s="6"/>
      <c r="AF54" s="6"/>
      <c r="AG54" s="6"/>
      <c r="AH54" s="6"/>
      <c r="AI54" s="6" t="s">
        <v>723</v>
      </c>
    </row>
    <row r="55" customFormat="false" ht="15" hidden="false" customHeight="true" outlineLevel="0" collapsed="false">
      <c r="A55" s="6" t="s">
        <v>724</v>
      </c>
      <c r="B55" s="6" t="s">
        <v>725</v>
      </c>
      <c r="C55" s="9" t="s">
        <v>5</v>
      </c>
      <c r="D55" s="6" t="s">
        <v>55</v>
      </c>
      <c r="E55" s="6" t="s">
        <v>711</v>
      </c>
      <c r="F55" s="6" t="s">
        <v>726</v>
      </c>
      <c r="G55" s="6" t="s">
        <v>727</v>
      </c>
      <c r="H55" s="6" t="s">
        <v>728</v>
      </c>
      <c r="I55" s="6" t="s">
        <v>274</v>
      </c>
      <c r="J55" s="6"/>
      <c r="K55" s="6" t="s">
        <v>60</v>
      </c>
      <c r="L55" s="6" t="s">
        <v>61</v>
      </c>
      <c r="M55" s="6" t="s">
        <v>729</v>
      </c>
      <c r="N55" s="6" t="s">
        <v>730</v>
      </c>
      <c r="O55" s="8" t="s">
        <v>731</v>
      </c>
      <c r="P55" s="6" t="n">
        <f aca="false">IF(O55="","",VALUE(LEFT(O55,4)))</f>
        <v>1792</v>
      </c>
      <c r="Q55" s="6" t="s">
        <v>732</v>
      </c>
      <c r="R55" s="6" t="s">
        <v>733</v>
      </c>
      <c r="S55" s="6" t="s">
        <v>137</v>
      </c>
      <c r="T55" s="6" t="s">
        <v>734</v>
      </c>
      <c r="U55" s="6" t="s">
        <v>217</v>
      </c>
      <c r="V55" s="6" t="s">
        <v>323</v>
      </c>
      <c r="W55" s="6" t="str">
        <f aca="false">IF(O55="","",INDEX(Lookups!$B$2:$B$55,MATCH(O55,Lookups!$A$2:$A$55,1)))</f>
        <v>Dundas</v>
      </c>
      <c r="X55" s="6" t="s">
        <v>124</v>
      </c>
      <c r="Y55" s="6"/>
      <c r="Z55" s="6"/>
      <c r="AA55" s="6"/>
      <c r="AB55" s="6"/>
      <c r="AC55" s="6" t="s">
        <v>735</v>
      </c>
      <c r="AD55" s="6" t="s">
        <v>736</v>
      </c>
      <c r="AE55" s="6" t="s">
        <v>737</v>
      </c>
      <c r="AF55" s="6" t="s">
        <v>108</v>
      </c>
      <c r="AG55" s="6" t="s">
        <v>323</v>
      </c>
      <c r="AH55" s="6" t="s">
        <v>9</v>
      </c>
      <c r="AI55" s="6" t="s">
        <v>738</v>
      </c>
    </row>
    <row r="56" customFormat="false" ht="15" hidden="false" customHeight="true" outlineLevel="0" collapsed="false">
      <c r="A56" s="6" t="s">
        <v>739</v>
      </c>
      <c r="B56" s="6" t="s">
        <v>740</v>
      </c>
      <c r="C56" s="7" t="s">
        <v>4</v>
      </c>
      <c r="D56" s="6" t="s">
        <v>55</v>
      </c>
      <c r="E56" s="6" t="s">
        <v>711</v>
      </c>
      <c r="F56" s="6" t="s">
        <v>741</v>
      </c>
      <c r="G56" s="6" t="s">
        <v>742</v>
      </c>
      <c r="H56" s="6" t="s">
        <v>743</v>
      </c>
      <c r="I56" s="6" t="s">
        <v>274</v>
      </c>
      <c r="J56" s="6"/>
      <c r="K56" s="6" t="s">
        <v>60</v>
      </c>
      <c r="L56" s="6" t="s">
        <v>61</v>
      </c>
      <c r="M56" s="6" t="s">
        <v>744</v>
      </c>
      <c r="N56" s="6" t="s">
        <v>745</v>
      </c>
      <c r="O56" s="8" t="s">
        <v>746</v>
      </c>
      <c r="P56" s="6" t="n">
        <f aca="false">IF(O56="","",VALUE(LEFT(O56,4)))</f>
        <v>1793</v>
      </c>
      <c r="Q56" s="6" t="s">
        <v>747</v>
      </c>
      <c r="R56" s="6" t="s">
        <v>747</v>
      </c>
      <c r="S56" s="6" t="s">
        <v>137</v>
      </c>
      <c r="T56" s="6" t="s">
        <v>748</v>
      </c>
      <c r="U56" s="6" t="s">
        <v>69</v>
      </c>
      <c r="V56" s="6" t="s">
        <v>749</v>
      </c>
      <c r="W56" s="6" t="str">
        <f aca="false">IF(O56="","",INDEX(Lookups!$B$2:$B$56,MATCH(O56,Lookups!$A$2:$A$56,1)))</f>
        <v>Dundas</v>
      </c>
      <c r="X56" s="6" t="s">
        <v>103</v>
      </c>
      <c r="Y56" s="6" t="s">
        <v>14</v>
      </c>
      <c r="Z56" s="6" t="s">
        <v>72</v>
      </c>
      <c r="AA56" s="6" t="s">
        <v>750</v>
      </c>
      <c r="AB56" s="6" t="s">
        <v>55</v>
      </c>
      <c r="AC56" s="6"/>
      <c r="AD56" s="6"/>
      <c r="AE56" s="6"/>
      <c r="AF56" s="6"/>
      <c r="AG56" s="6"/>
      <c r="AH56" s="6"/>
      <c r="AI56" s="6" t="s">
        <v>751</v>
      </c>
    </row>
    <row r="57" customFormat="false" ht="15" hidden="false" customHeight="true" outlineLevel="0" collapsed="false">
      <c r="A57" s="6" t="s">
        <v>752</v>
      </c>
      <c r="B57" s="6" t="s">
        <v>753</v>
      </c>
      <c r="C57" s="7" t="s">
        <v>4</v>
      </c>
      <c r="D57" s="6" t="s">
        <v>55</v>
      </c>
      <c r="E57" s="6" t="s">
        <v>711</v>
      </c>
      <c r="F57" s="6" t="s">
        <v>741</v>
      </c>
      <c r="G57" s="6" t="s">
        <v>754</v>
      </c>
      <c r="H57" s="6" t="s">
        <v>755</v>
      </c>
      <c r="I57" s="6" t="s">
        <v>274</v>
      </c>
      <c r="J57" s="6"/>
      <c r="K57" s="6" t="s">
        <v>60</v>
      </c>
      <c r="L57" s="6" t="s">
        <v>61</v>
      </c>
      <c r="M57" s="6" t="s">
        <v>756</v>
      </c>
      <c r="N57" s="6" t="s">
        <v>757</v>
      </c>
      <c r="O57" s="8" t="s">
        <v>758</v>
      </c>
      <c r="P57" s="6" t="n">
        <f aca="false">IF(O57="","",VALUE(LEFT(O57,4)))</f>
        <v>1793</v>
      </c>
      <c r="Q57" s="6" t="s">
        <v>120</v>
      </c>
      <c r="R57" s="6" t="s">
        <v>120</v>
      </c>
      <c r="S57" s="6" t="s">
        <v>121</v>
      </c>
      <c r="T57" s="6" t="s">
        <v>759</v>
      </c>
      <c r="U57" s="6" t="s">
        <v>85</v>
      </c>
      <c r="V57" s="6" t="s">
        <v>323</v>
      </c>
      <c r="W57" s="6" t="str">
        <f aca="false">IF(O57="","",INDEX(Lookups!$B$2:$B$57,MATCH(O57,Lookups!$A$2:$A$57,1)))</f>
        <v>Dundas</v>
      </c>
      <c r="X57" s="6" t="s">
        <v>231</v>
      </c>
      <c r="Y57" s="6" t="s">
        <v>14</v>
      </c>
      <c r="Z57" s="6" t="s">
        <v>72</v>
      </c>
      <c r="AA57" s="6" t="s">
        <v>760</v>
      </c>
      <c r="AB57" s="6" t="s">
        <v>88</v>
      </c>
      <c r="AC57" s="6"/>
      <c r="AD57" s="6"/>
      <c r="AE57" s="6"/>
      <c r="AF57" s="6"/>
      <c r="AG57" s="6"/>
      <c r="AH57" s="6"/>
      <c r="AI57" s="6" t="s">
        <v>761</v>
      </c>
    </row>
    <row r="58" customFormat="false" ht="15" hidden="false" customHeight="true" outlineLevel="0" collapsed="false">
      <c r="A58" s="6" t="s">
        <v>762</v>
      </c>
      <c r="B58" s="6" t="s">
        <v>763</v>
      </c>
      <c r="C58" s="7" t="s">
        <v>4</v>
      </c>
      <c r="D58" s="6" t="s">
        <v>55</v>
      </c>
      <c r="E58" s="6" t="s">
        <v>764</v>
      </c>
      <c r="F58" s="6" t="s">
        <v>765</v>
      </c>
      <c r="G58" s="6" t="s">
        <v>766</v>
      </c>
      <c r="H58" s="6" t="s">
        <v>767</v>
      </c>
      <c r="I58" s="6" t="s">
        <v>274</v>
      </c>
      <c r="J58" s="6"/>
      <c r="K58" s="6" t="s">
        <v>60</v>
      </c>
      <c r="L58" s="6" t="s">
        <v>61</v>
      </c>
      <c r="M58" s="6" t="s">
        <v>768</v>
      </c>
      <c r="N58" s="6" t="s">
        <v>769</v>
      </c>
      <c r="O58" s="8" t="s">
        <v>770</v>
      </c>
      <c r="P58" s="6" t="n">
        <f aca="false">IF(O58="","",VALUE(LEFT(O58,4)))</f>
        <v>1795</v>
      </c>
      <c r="Q58" s="6" t="s">
        <v>771</v>
      </c>
      <c r="R58" s="6" t="s">
        <v>771</v>
      </c>
      <c r="S58" s="6" t="s">
        <v>196</v>
      </c>
      <c r="T58" s="6" t="s">
        <v>772</v>
      </c>
      <c r="U58" s="6" t="s">
        <v>69</v>
      </c>
      <c r="V58" s="6" t="s">
        <v>773</v>
      </c>
      <c r="W58" s="6" t="str">
        <f aca="false">IF(O58="","",INDEX(Lookups!$B$2:$B$58,MATCH(O58,Lookups!$A$2:$A$58,1)))</f>
        <v>Portland</v>
      </c>
      <c r="X58" s="6" t="s">
        <v>103</v>
      </c>
      <c r="Y58" s="6" t="s">
        <v>14</v>
      </c>
      <c r="Z58" s="6" t="s">
        <v>72</v>
      </c>
      <c r="AA58" s="6" t="s">
        <v>774</v>
      </c>
      <c r="AB58" s="6" t="s">
        <v>72</v>
      </c>
      <c r="AC58" s="6"/>
      <c r="AD58" s="6"/>
      <c r="AE58" s="6"/>
      <c r="AF58" s="6"/>
      <c r="AG58" s="6"/>
      <c r="AH58" s="6"/>
      <c r="AI58" s="6" t="s">
        <v>775</v>
      </c>
    </row>
    <row r="59" customFormat="false" ht="15" hidden="false" customHeight="true" outlineLevel="0" collapsed="false">
      <c r="A59" s="6" t="s">
        <v>776</v>
      </c>
      <c r="B59" s="6" t="s">
        <v>777</v>
      </c>
      <c r="C59" s="7" t="s">
        <v>4</v>
      </c>
      <c r="D59" s="6" t="s">
        <v>88</v>
      </c>
      <c r="E59" s="6" t="s">
        <v>764</v>
      </c>
      <c r="F59" s="6" t="s">
        <v>765</v>
      </c>
      <c r="G59" s="6" t="s">
        <v>778</v>
      </c>
      <c r="H59" s="6" t="s">
        <v>779</v>
      </c>
      <c r="I59" s="6" t="s">
        <v>274</v>
      </c>
      <c r="J59" s="6"/>
      <c r="K59" s="6" t="s">
        <v>60</v>
      </c>
      <c r="L59" s="6" t="s">
        <v>61</v>
      </c>
      <c r="M59" s="6" t="s">
        <v>780</v>
      </c>
      <c r="N59" s="6" t="s">
        <v>781</v>
      </c>
      <c r="O59" s="8" t="s">
        <v>782</v>
      </c>
      <c r="P59" s="6" t="n">
        <f aca="false">IF(O59="","",VALUE(LEFT(O59,4)))</f>
        <v>1795</v>
      </c>
      <c r="Q59" s="6" t="s">
        <v>783</v>
      </c>
      <c r="R59" s="6" t="s">
        <v>184</v>
      </c>
      <c r="S59" s="6" t="s">
        <v>185</v>
      </c>
      <c r="T59" s="6" t="s">
        <v>784</v>
      </c>
      <c r="U59" s="6" t="s">
        <v>69</v>
      </c>
      <c r="V59" s="6" t="s">
        <v>785</v>
      </c>
      <c r="W59" s="6" t="str">
        <f aca="false">IF(O59="","",INDEX(Lookups!$B$2:$B$59,MATCH(O59,Lookups!$A$2:$A$59,1)))</f>
        <v>Portland</v>
      </c>
      <c r="X59" s="6" t="s">
        <v>103</v>
      </c>
      <c r="Y59" s="6" t="s">
        <v>13</v>
      </c>
      <c r="Z59" s="6" t="s">
        <v>88</v>
      </c>
      <c r="AA59" s="6" t="s">
        <v>786</v>
      </c>
      <c r="AB59" s="6" t="s">
        <v>88</v>
      </c>
      <c r="AC59" s="6" t="s">
        <v>787</v>
      </c>
      <c r="AD59" s="6" t="s">
        <v>106</v>
      </c>
      <c r="AE59" s="6"/>
      <c r="AF59" s="6"/>
      <c r="AG59" s="6"/>
      <c r="AH59" s="6" t="s">
        <v>9</v>
      </c>
      <c r="AI59" s="6" t="s">
        <v>788</v>
      </c>
    </row>
    <row r="60" customFormat="false" ht="15" hidden="false" customHeight="true" outlineLevel="0" collapsed="false">
      <c r="A60" s="6" t="s">
        <v>789</v>
      </c>
      <c r="B60" s="6" t="s">
        <v>790</v>
      </c>
      <c r="C60" s="7" t="s">
        <v>4</v>
      </c>
      <c r="D60" s="6" t="s">
        <v>55</v>
      </c>
      <c r="E60" s="6" t="s">
        <v>764</v>
      </c>
      <c r="F60" s="6" t="s">
        <v>765</v>
      </c>
      <c r="G60" s="6" t="s">
        <v>791</v>
      </c>
      <c r="H60" s="6" t="s">
        <v>792</v>
      </c>
      <c r="I60" s="6" t="s">
        <v>274</v>
      </c>
      <c r="J60" s="6"/>
      <c r="K60" s="6" t="s">
        <v>60</v>
      </c>
      <c r="L60" s="6" t="s">
        <v>61</v>
      </c>
      <c r="M60" s="6" t="s">
        <v>793</v>
      </c>
      <c r="N60" s="6" t="s">
        <v>794</v>
      </c>
      <c r="O60" s="8" t="s">
        <v>795</v>
      </c>
      <c r="P60" s="6" t="n">
        <f aca="false">IF(O60="","",VALUE(LEFT(O60,4)))</f>
        <v>1795</v>
      </c>
      <c r="Q60" s="6" t="s">
        <v>796</v>
      </c>
      <c r="R60" s="6" t="s">
        <v>797</v>
      </c>
      <c r="S60" s="6" t="s">
        <v>798</v>
      </c>
      <c r="T60" s="6" t="s">
        <v>799</v>
      </c>
      <c r="U60" s="6" t="s">
        <v>217</v>
      </c>
      <c r="V60" s="6" t="s">
        <v>800</v>
      </c>
      <c r="W60" s="6" t="str">
        <f aca="false">IF(O60="","",INDEX(Lookups!$B$2:$B$60,MATCH(O60,Lookups!$A$2:$A$60,1)))</f>
        <v>Portland</v>
      </c>
      <c r="X60" s="6" t="s">
        <v>103</v>
      </c>
      <c r="Y60" s="6" t="s">
        <v>14</v>
      </c>
      <c r="Z60" s="6" t="s">
        <v>72</v>
      </c>
      <c r="AA60" s="6" t="s">
        <v>801</v>
      </c>
      <c r="AB60" s="6" t="s">
        <v>55</v>
      </c>
      <c r="AC60" s="6"/>
      <c r="AD60" s="6"/>
      <c r="AE60" s="6"/>
      <c r="AF60" s="6"/>
      <c r="AG60" s="6"/>
      <c r="AH60" s="6"/>
      <c r="AI60" s="6" t="s">
        <v>802</v>
      </c>
    </row>
    <row r="61" customFormat="false" ht="15" hidden="false" customHeight="true" outlineLevel="0" collapsed="false">
      <c r="A61" s="6" t="s">
        <v>803</v>
      </c>
      <c r="B61" s="6" t="s">
        <v>804</v>
      </c>
      <c r="C61" s="12" t="s">
        <v>9</v>
      </c>
      <c r="D61" s="6" t="s">
        <v>88</v>
      </c>
      <c r="E61" s="6" t="s">
        <v>764</v>
      </c>
      <c r="F61" s="6" t="s">
        <v>805</v>
      </c>
      <c r="G61" s="6" t="s">
        <v>806</v>
      </c>
      <c r="H61" s="6" t="s">
        <v>807</v>
      </c>
      <c r="I61" s="6" t="s">
        <v>274</v>
      </c>
      <c r="J61" s="6"/>
      <c r="K61" s="6" t="s">
        <v>60</v>
      </c>
      <c r="L61" s="6" t="s">
        <v>61</v>
      </c>
      <c r="M61" s="6" t="s">
        <v>808</v>
      </c>
      <c r="N61" s="6" t="s">
        <v>809</v>
      </c>
      <c r="O61" s="8" t="s">
        <v>810</v>
      </c>
      <c r="P61" s="6" t="n">
        <f aca="false">IF(O61="","",VALUE(LEFT(O61,4)))</f>
        <v>1795</v>
      </c>
      <c r="Q61" s="6" t="s">
        <v>811</v>
      </c>
      <c r="R61" s="6" t="s">
        <v>812</v>
      </c>
      <c r="S61" s="6" t="s">
        <v>813</v>
      </c>
      <c r="T61" s="6" t="s">
        <v>814</v>
      </c>
      <c r="U61" s="6" t="s">
        <v>815</v>
      </c>
      <c r="V61" s="6" t="s">
        <v>785</v>
      </c>
      <c r="W61" s="6" t="str">
        <f aca="false">IF(O61="","",INDEX(Lookups!$B$2:$B$61,MATCH(O61,Lookups!$A$2:$A$61,1)))</f>
        <v>Portland</v>
      </c>
      <c r="X61" s="6" t="s">
        <v>103</v>
      </c>
      <c r="Y61" s="6"/>
      <c r="Z61" s="6"/>
      <c r="AA61" s="6"/>
      <c r="AB61" s="6"/>
      <c r="AC61" s="6"/>
      <c r="AD61" s="6"/>
      <c r="AE61" s="6"/>
      <c r="AF61" s="6"/>
      <c r="AG61" s="6"/>
      <c r="AH61" s="6"/>
      <c r="AI61" s="6" t="s">
        <v>816</v>
      </c>
    </row>
    <row r="62" customFormat="false" ht="15" hidden="false" customHeight="true" outlineLevel="0" collapsed="false">
      <c r="A62" s="6" t="s">
        <v>817</v>
      </c>
      <c r="B62" s="6" t="s">
        <v>818</v>
      </c>
      <c r="C62" s="9" t="s">
        <v>6</v>
      </c>
      <c r="D62" s="6" t="s">
        <v>55</v>
      </c>
      <c r="E62" s="6" t="s">
        <v>764</v>
      </c>
      <c r="F62" s="6" t="s">
        <v>819</v>
      </c>
      <c r="G62" s="6" t="s">
        <v>820</v>
      </c>
      <c r="H62" s="6" t="s">
        <v>821</v>
      </c>
      <c r="I62" s="6" t="s">
        <v>274</v>
      </c>
      <c r="J62" s="6"/>
      <c r="K62" s="6" t="s">
        <v>60</v>
      </c>
      <c r="L62" s="6" t="s">
        <v>61</v>
      </c>
      <c r="M62" s="6" t="s">
        <v>822</v>
      </c>
      <c r="N62" s="6" t="s">
        <v>823</v>
      </c>
      <c r="O62" s="8" t="s">
        <v>824</v>
      </c>
      <c r="P62" s="6" t="n">
        <f aca="false">IF(O62="","",VALUE(LEFT(O62,4)))</f>
        <v>1795</v>
      </c>
      <c r="Q62" s="6" t="s">
        <v>825</v>
      </c>
      <c r="R62" s="6" t="s">
        <v>227</v>
      </c>
      <c r="S62" s="6" t="s">
        <v>265</v>
      </c>
      <c r="T62" s="6" t="s">
        <v>826</v>
      </c>
      <c r="U62" s="6" t="s">
        <v>139</v>
      </c>
      <c r="V62" s="6" t="s">
        <v>785</v>
      </c>
      <c r="W62" s="6" t="str">
        <f aca="false">IF(O62="","",INDEX(Lookups!$B$2:$B$62,MATCH(O62,Lookups!$A$2:$A$62,1)))</f>
        <v>Portland</v>
      </c>
      <c r="X62" s="6" t="s">
        <v>140</v>
      </c>
      <c r="Y62" s="6"/>
      <c r="Z62" s="6"/>
      <c r="AA62" s="6"/>
      <c r="AB62" s="6"/>
      <c r="AC62" s="6"/>
      <c r="AD62" s="6"/>
      <c r="AE62" s="6"/>
      <c r="AF62" s="6"/>
      <c r="AG62" s="6"/>
      <c r="AH62" s="6"/>
      <c r="AI62" s="6" t="s">
        <v>827</v>
      </c>
    </row>
    <row r="63" customFormat="false" ht="15" hidden="false" customHeight="true" outlineLevel="0" collapsed="false">
      <c r="A63" s="6" t="s">
        <v>828</v>
      </c>
      <c r="B63" s="6" t="s">
        <v>829</v>
      </c>
      <c r="C63" s="7" t="s">
        <v>4</v>
      </c>
      <c r="D63" s="6" t="s">
        <v>88</v>
      </c>
      <c r="E63" s="6" t="s">
        <v>764</v>
      </c>
      <c r="F63" s="6" t="s">
        <v>830</v>
      </c>
      <c r="G63" s="6" t="s">
        <v>831</v>
      </c>
      <c r="H63" s="6" t="s">
        <v>832</v>
      </c>
      <c r="I63" s="6" t="s">
        <v>274</v>
      </c>
      <c r="J63" s="6"/>
      <c r="K63" s="6" t="s">
        <v>60</v>
      </c>
      <c r="L63" s="6" t="s">
        <v>61</v>
      </c>
      <c r="M63" s="6" t="s">
        <v>833</v>
      </c>
      <c r="N63" s="6" t="s">
        <v>834</v>
      </c>
      <c r="O63" s="8" t="s">
        <v>835</v>
      </c>
      <c r="P63" s="6" t="n">
        <f aca="false">IF(O63="","",VALUE(LEFT(O63,4)))</f>
        <v>1795</v>
      </c>
      <c r="Q63" s="6" t="s">
        <v>836</v>
      </c>
      <c r="R63" s="6" t="s">
        <v>837</v>
      </c>
      <c r="S63" s="6" t="s">
        <v>838</v>
      </c>
      <c r="T63" s="6" t="s">
        <v>839</v>
      </c>
      <c r="U63" s="6" t="s">
        <v>815</v>
      </c>
      <c r="V63" s="6" t="s">
        <v>785</v>
      </c>
      <c r="W63" s="6" t="str">
        <f aca="false">IF(O63="","",INDEX(Lookups!$B$2:$B$63,MATCH(O63,Lookups!$A$2:$A$63,1)))</f>
        <v>Portland</v>
      </c>
      <c r="X63" s="6" t="s">
        <v>103</v>
      </c>
      <c r="Y63" s="6" t="s">
        <v>13</v>
      </c>
      <c r="Z63" s="6" t="s">
        <v>88</v>
      </c>
      <c r="AA63" s="6" t="s">
        <v>840</v>
      </c>
      <c r="AB63" s="6" t="s">
        <v>55</v>
      </c>
      <c r="AC63" s="6" t="s">
        <v>841</v>
      </c>
      <c r="AD63" s="6" t="s">
        <v>106</v>
      </c>
      <c r="AE63" s="6" t="s">
        <v>842</v>
      </c>
      <c r="AF63" s="6"/>
      <c r="AG63" s="6"/>
      <c r="AH63" s="6" t="s">
        <v>9</v>
      </c>
      <c r="AI63" s="6" t="s">
        <v>843</v>
      </c>
    </row>
    <row r="64" customFormat="false" ht="15" hidden="false" customHeight="true" outlineLevel="0" collapsed="false">
      <c r="A64" s="6" t="s">
        <v>844</v>
      </c>
      <c r="B64" s="6" t="s">
        <v>845</v>
      </c>
      <c r="C64" s="7" t="s">
        <v>4</v>
      </c>
      <c r="D64" s="6" t="s">
        <v>88</v>
      </c>
      <c r="E64" s="6" t="s">
        <v>764</v>
      </c>
      <c r="F64" s="6" t="s">
        <v>846</v>
      </c>
      <c r="G64" s="6" t="s">
        <v>847</v>
      </c>
      <c r="H64" s="6" t="s">
        <v>848</v>
      </c>
      <c r="I64" s="6" t="s">
        <v>274</v>
      </c>
      <c r="J64" s="6"/>
      <c r="K64" s="6" t="s">
        <v>60</v>
      </c>
      <c r="L64" s="6" t="s">
        <v>61</v>
      </c>
      <c r="M64" s="6" t="s">
        <v>849</v>
      </c>
      <c r="N64" s="6" t="s">
        <v>850</v>
      </c>
      <c r="O64" s="8" t="s">
        <v>851</v>
      </c>
      <c r="P64" s="6" t="n">
        <f aca="false">IF(O64="","",VALUE(LEFT(O64,4)))</f>
        <v>1795</v>
      </c>
      <c r="Q64" s="6" t="s">
        <v>852</v>
      </c>
      <c r="R64" s="6" t="s">
        <v>771</v>
      </c>
      <c r="S64" s="6" t="s">
        <v>196</v>
      </c>
      <c r="T64" s="6" t="s">
        <v>853</v>
      </c>
      <c r="U64" s="6" t="s">
        <v>69</v>
      </c>
      <c r="V64" s="6" t="s">
        <v>854</v>
      </c>
      <c r="W64" s="6" t="str">
        <f aca="false">IF(O64="","",INDEX(Lookups!$B$2:$B$64,MATCH(O64,Lookups!$A$2:$A$64,1)))</f>
        <v>Portland</v>
      </c>
      <c r="X64" s="6" t="s">
        <v>103</v>
      </c>
      <c r="Y64" s="6" t="s">
        <v>13</v>
      </c>
      <c r="Z64" s="6" t="s">
        <v>88</v>
      </c>
      <c r="AA64" s="6" t="s">
        <v>855</v>
      </c>
      <c r="AB64" s="6" t="s">
        <v>72</v>
      </c>
      <c r="AC64" s="6"/>
      <c r="AD64" s="6"/>
      <c r="AE64" s="6"/>
      <c r="AF64" s="6"/>
      <c r="AG64" s="6"/>
      <c r="AH64" s="6"/>
      <c r="AI64" s="6" t="s">
        <v>856</v>
      </c>
    </row>
    <row r="65" customFormat="false" ht="15" hidden="false" customHeight="true" outlineLevel="0" collapsed="false">
      <c r="A65" s="6" t="s">
        <v>857</v>
      </c>
      <c r="B65" s="6" t="s">
        <v>858</v>
      </c>
      <c r="C65" s="12" t="s">
        <v>9</v>
      </c>
      <c r="D65" s="6" t="s">
        <v>55</v>
      </c>
      <c r="E65" s="6" t="s">
        <v>764</v>
      </c>
      <c r="F65" s="6" t="s">
        <v>846</v>
      </c>
      <c r="G65" s="6" t="s">
        <v>859</v>
      </c>
      <c r="H65" s="6" t="s">
        <v>860</v>
      </c>
      <c r="I65" s="6" t="s">
        <v>274</v>
      </c>
      <c r="J65" s="6"/>
      <c r="K65" s="6" t="s">
        <v>60</v>
      </c>
      <c r="L65" s="6" t="s">
        <v>61</v>
      </c>
      <c r="M65" s="6" t="s">
        <v>861</v>
      </c>
      <c r="N65" s="6" t="s">
        <v>862</v>
      </c>
      <c r="O65" s="8" t="s">
        <v>863</v>
      </c>
      <c r="P65" s="6" t="n">
        <f aca="false">IF(O65="","",VALUE(LEFT(O65,4)))</f>
        <v>1795</v>
      </c>
      <c r="Q65" s="6" t="s">
        <v>864</v>
      </c>
      <c r="R65" s="6" t="s">
        <v>865</v>
      </c>
      <c r="S65" s="6" t="s">
        <v>866</v>
      </c>
      <c r="T65" s="6" t="s">
        <v>867</v>
      </c>
      <c r="U65" s="6" t="s">
        <v>69</v>
      </c>
      <c r="V65" s="6" t="s">
        <v>785</v>
      </c>
      <c r="W65" s="6" t="str">
        <f aca="false">IF(O65="","",INDEX(Lookups!$B$2:$B$65,MATCH(O65,Lookups!$A$2:$A$65,1)))</f>
        <v>Portland</v>
      </c>
      <c r="X65" s="6" t="s">
        <v>103</v>
      </c>
      <c r="Y65" s="6"/>
      <c r="Z65" s="6"/>
      <c r="AA65" s="6"/>
      <c r="AB65" s="6"/>
      <c r="AC65" s="6"/>
      <c r="AD65" s="6"/>
      <c r="AE65" s="6"/>
      <c r="AF65" s="6"/>
      <c r="AG65" s="6"/>
      <c r="AH65" s="6"/>
      <c r="AI65" s="6" t="s">
        <v>868</v>
      </c>
    </row>
    <row r="66" customFormat="false" ht="15" hidden="false" customHeight="true" outlineLevel="0" collapsed="false">
      <c r="A66" s="6" t="s">
        <v>869</v>
      </c>
      <c r="B66" s="6" t="s">
        <v>845</v>
      </c>
      <c r="C66" s="9" t="s">
        <v>6</v>
      </c>
      <c r="D66" s="6" t="s">
        <v>88</v>
      </c>
      <c r="E66" s="6" t="s">
        <v>764</v>
      </c>
      <c r="F66" s="6" t="s">
        <v>870</v>
      </c>
      <c r="G66" s="6" t="s">
        <v>871</v>
      </c>
      <c r="H66" s="6" t="s">
        <v>872</v>
      </c>
      <c r="I66" s="6" t="s">
        <v>274</v>
      </c>
      <c r="J66" s="6"/>
      <c r="K66" s="6" t="s">
        <v>60</v>
      </c>
      <c r="L66" s="6" t="s">
        <v>61</v>
      </c>
      <c r="M66" s="6" t="s">
        <v>873</v>
      </c>
      <c r="N66" s="6" t="s">
        <v>874</v>
      </c>
      <c r="O66" s="8" t="s">
        <v>875</v>
      </c>
      <c r="P66" s="6" t="n">
        <f aca="false">IF(O66="","",VALUE(LEFT(O66,4)))</f>
        <v>1795</v>
      </c>
      <c r="Q66" s="6" t="s">
        <v>195</v>
      </c>
      <c r="R66" s="6" t="s">
        <v>195</v>
      </c>
      <c r="S66" s="6" t="s">
        <v>196</v>
      </c>
      <c r="T66" s="6" t="s">
        <v>876</v>
      </c>
      <c r="U66" s="6" t="s">
        <v>69</v>
      </c>
      <c r="V66" s="6" t="s">
        <v>785</v>
      </c>
      <c r="W66" s="6" t="str">
        <f aca="false">IF(O66="","",INDEX(Lookups!$B$2:$B$66,MATCH(O66,Lookups!$A$2:$A$66,1)))</f>
        <v>Portland</v>
      </c>
      <c r="X66" s="6" t="s">
        <v>103</v>
      </c>
      <c r="Y66" s="6"/>
      <c r="Z66" s="6"/>
      <c r="AA66" s="6"/>
      <c r="AB66" s="6"/>
      <c r="AC66" s="6"/>
      <c r="AD66" s="6"/>
      <c r="AE66" s="6"/>
      <c r="AF66" s="6"/>
      <c r="AG66" s="6"/>
      <c r="AH66" s="6"/>
      <c r="AI66" s="6" t="s">
        <v>877</v>
      </c>
    </row>
    <row r="67" customFormat="false" ht="15" hidden="false" customHeight="true" outlineLevel="0" collapsed="false">
      <c r="A67" s="6" t="s">
        <v>878</v>
      </c>
      <c r="B67" s="6" t="s">
        <v>879</v>
      </c>
      <c r="C67" s="7" t="s">
        <v>4</v>
      </c>
      <c r="D67" s="6" t="s">
        <v>88</v>
      </c>
      <c r="E67" s="6" t="s">
        <v>880</v>
      </c>
      <c r="F67" s="6" t="s">
        <v>881</v>
      </c>
      <c r="G67" s="6" t="s">
        <v>882</v>
      </c>
      <c r="H67" s="6" t="s">
        <v>883</v>
      </c>
      <c r="I67" s="6" t="s">
        <v>274</v>
      </c>
      <c r="J67" s="6"/>
      <c r="K67" s="6" t="s">
        <v>60</v>
      </c>
      <c r="L67" s="6" t="s">
        <v>61</v>
      </c>
      <c r="M67" s="6" t="s">
        <v>884</v>
      </c>
      <c r="N67" s="6" t="s">
        <v>885</v>
      </c>
      <c r="O67" s="8" t="s">
        <v>886</v>
      </c>
      <c r="P67" s="6" t="n">
        <f aca="false">IF(O67="","",VALUE(LEFT(O67,4)))</f>
        <v>1795</v>
      </c>
      <c r="Q67" s="6" t="s">
        <v>887</v>
      </c>
      <c r="R67" s="6" t="s">
        <v>888</v>
      </c>
      <c r="S67" s="6" t="s">
        <v>83</v>
      </c>
      <c r="T67" s="6" t="s">
        <v>889</v>
      </c>
      <c r="U67" s="6" t="s">
        <v>217</v>
      </c>
      <c r="V67" s="6" t="s">
        <v>785</v>
      </c>
      <c r="W67" s="6" t="str">
        <f aca="false">IF(O67="","",INDEX(Lookups!$B$2:$B$67,MATCH(O67,Lookups!$A$2:$A$67,1)))</f>
        <v>Portland</v>
      </c>
      <c r="X67" s="6" t="s">
        <v>103</v>
      </c>
      <c r="Y67" s="6" t="s">
        <v>13</v>
      </c>
      <c r="Z67" s="6" t="s">
        <v>88</v>
      </c>
      <c r="AA67" s="6" t="s">
        <v>890</v>
      </c>
      <c r="AB67" s="6" t="s">
        <v>88</v>
      </c>
      <c r="AC67" s="6"/>
      <c r="AD67" s="6"/>
      <c r="AE67" s="6"/>
      <c r="AF67" s="6"/>
      <c r="AG67" s="6"/>
      <c r="AH67" s="6"/>
      <c r="AI67" s="6" t="s">
        <v>891</v>
      </c>
    </row>
    <row r="68" customFormat="false" ht="15" hidden="false" customHeight="true" outlineLevel="0" collapsed="false">
      <c r="A68" s="6" t="s">
        <v>892</v>
      </c>
      <c r="B68" s="6" t="s">
        <v>893</v>
      </c>
      <c r="C68" s="7" t="s">
        <v>4</v>
      </c>
      <c r="D68" s="6" t="s">
        <v>88</v>
      </c>
      <c r="E68" s="6" t="s">
        <v>880</v>
      </c>
      <c r="F68" s="6" t="s">
        <v>894</v>
      </c>
      <c r="G68" s="6" t="s">
        <v>895</v>
      </c>
      <c r="H68" s="6" t="s">
        <v>896</v>
      </c>
      <c r="I68" s="6" t="s">
        <v>274</v>
      </c>
      <c r="J68" s="6"/>
      <c r="K68" s="6" t="s">
        <v>60</v>
      </c>
      <c r="L68" s="6" t="s">
        <v>61</v>
      </c>
      <c r="M68" s="6" t="s">
        <v>897</v>
      </c>
      <c r="N68" s="6" t="s">
        <v>898</v>
      </c>
      <c r="O68" s="8" t="s">
        <v>899</v>
      </c>
      <c r="P68" s="6" t="n">
        <f aca="false">IF(O68="","",VALUE(LEFT(O68,4)))</f>
        <v>1795</v>
      </c>
      <c r="Q68" s="6" t="s">
        <v>900</v>
      </c>
      <c r="R68" s="6" t="s">
        <v>901</v>
      </c>
      <c r="S68" s="6" t="s">
        <v>838</v>
      </c>
      <c r="T68" s="6" t="s">
        <v>902</v>
      </c>
      <c r="U68" s="6" t="s">
        <v>815</v>
      </c>
      <c r="V68" s="6" t="s">
        <v>785</v>
      </c>
      <c r="W68" s="6" t="str">
        <f aca="false">IF(O68="","",INDEX(Lookups!$B$2:$B$68,MATCH(O68,Lookups!$A$2:$A$68,1)))</f>
        <v>Portland</v>
      </c>
      <c r="X68" s="6" t="s">
        <v>103</v>
      </c>
      <c r="Y68" s="6" t="s">
        <v>13</v>
      </c>
      <c r="Z68" s="6" t="s">
        <v>72</v>
      </c>
      <c r="AA68" s="6" t="s">
        <v>903</v>
      </c>
      <c r="AB68" s="6" t="s">
        <v>88</v>
      </c>
      <c r="AC68" s="6"/>
      <c r="AD68" s="6"/>
      <c r="AE68" s="6"/>
      <c r="AF68" s="6"/>
      <c r="AG68" s="6"/>
      <c r="AH68" s="6"/>
      <c r="AI68" s="6" t="s">
        <v>904</v>
      </c>
    </row>
    <row r="69" customFormat="false" ht="15" hidden="false" customHeight="true" outlineLevel="0" collapsed="false">
      <c r="A69" s="6" t="s">
        <v>905</v>
      </c>
      <c r="B69" s="6" t="s">
        <v>906</v>
      </c>
      <c r="C69" s="12" t="s">
        <v>9</v>
      </c>
      <c r="D69" s="6" t="s">
        <v>55</v>
      </c>
      <c r="E69" s="6" t="s">
        <v>880</v>
      </c>
      <c r="F69" s="6" t="s">
        <v>894</v>
      </c>
      <c r="G69" s="6" t="s">
        <v>907</v>
      </c>
      <c r="H69" s="6" t="s">
        <v>353</v>
      </c>
      <c r="I69" s="6" t="s">
        <v>274</v>
      </c>
      <c r="J69" s="6"/>
      <c r="K69" s="6" t="s">
        <v>60</v>
      </c>
      <c r="L69" s="6" t="s">
        <v>61</v>
      </c>
      <c r="M69" s="6" t="s">
        <v>908</v>
      </c>
      <c r="N69" s="6" t="s">
        <v>909</v>
      </c>
      <c r="O69" s="8" t="s">
        <v>910</v>
      </c>
      <c r="P69" s="6" t="n">
        <f aca="false">IF(O69="","",VALUE(LEFT(O69,4)))</f>
        <v>1795</v>
      </c>
      <c r="Q69" s="6" t="s">
        <v>911</v>
      </c>
      <c r="R69" s="6" t="s">
        <v>912</v>
      </c>
      <c r="S69" s="6" t="s">
        <v>913</v>
      </c>
      <c r="T69" s="6" t="s">
        <v>914</v>
      </c>
      <c r="U69" s="6" t="s">
        <v>69</v>
      </c>
      <c r="V69" s="6" t="s">
        <v>915</v>
      </c>
      <c r="W69" s="6" t="str">
        <f aca="false">IF(O69="","",INDEX(Lookups!$B$2:$B$69,MATCH(O69,Lookups!$A$2:$A$69,1)))</f>
        <v>Portland</v>
      </c>
      <c r="X69" s="6" t="s">
        <v>103</v>
      </c>
      <c r="Y69" s="6"/>
      <c r="Z69" s="6"/>
      <c r="AA69" s="6"/>
      <c r="AB69" s="6"/>
      <c r="AC69" s="6"/>
      <c r="AD69" s="6"/>
      <c r="AE69" s="6"/>
      <c r="AF69" s="6"/>
      <c r="AG69" s="6"/>
      <c r="AH69" s="6"/>
      <c r="AI69" s="6" t="s">
        <v>916</v>
      </c>
    </row>
    <row r="70" customFormat="false" ht="15" hidden="false" customHeight="true" outlineLevel="0" collapsed="false">
      <c r="A70" s="6" t="s">
        <v>917</v>
      </c>
      <c r="B70" s="6" t="s">
        <v>918</v>
      </c>
      <c r="C70" s="7" t="s">
        <v>4</v>
      </c>
      <c r="D70" s="6" t="s">
        <v>55</v>
      </c>
      <c r="E70" s="6" t="s">
        <v>919</v>
      </c>
      <c r="F70" s="6" t="s">
        <v>920</v>
      </c>
      <c r="G70" s="6" t="s">
        <v>921</v>
      </c>
      <c r="H70" s="6" t="s">
        <v>922</v>
      </c>
      <c r="I70" s="6" t="s">
        <v>274</v>
      </c>
      <c r="J70" s="6"/>
      <c r="K70" s="6" t="s">
        <v>60</v>
      </c>
      <c r="L70" s="6" t="s">
        <v>61</v>
      </c>
      <c r="M70" s="6" t="s">
        <v>923</v>
      </c>
      <c r="N70" s="6" t="s">
        <v>924</v>
      </c>
      <c r="O70" s="8" t="s">
        <v>925</v>
      </c>
      <c r="P70" s="6" t="n">
        <f aca="false">IF(O70="","",VALUE(LEFT(O70,4)))</f>
        <v>1795</v>
      </c>
      <c r="Q70" s="6" t="s">
        <v>926</v>
      </c>
      <c r="R70" s="6" t="s">
        <v>927</v>
      </c>
      <c r="S70" s="6" t="s">
        <v>304</v>
      </c>
      <c r="T70" s="6" t="s">
        <v>928</v>
      </c>
      <c r="U70" s="6" t="s">
        <v>815</v>
      </c>
      <c r="V70" s="6" t="s">
        <v>785</v>
      </c>
      <c r="W70" s="6" t="str">
        <f aca="false">IF(O70="","",INDEX(Lookups!$B$2:$B$70,MATCH(O70,Lookups!$A$2:$A$70,1)))</f>
        <v>Portland</v>
      </c>
      <c r="X70" s="6" t="s">
        <v>103</v>
      </c>
      <c r="Y70" s="6" t="s">
        <v>16</v>
      </c>
      <c r="Z70" s="6" t="s">
        <v>88</v>
      </c>
      <c r="AA70" s="6" t="s">
        <v>929</v>
      </c>
      <c r="AB70" s="6" t="s">
        <v>88</v>
      </c>
      <c r="AC70" s="6" t="s">
        <v>930</v>
      </c>
      <c r="AD70" s="6" t="s">
        <v>106</v>
      </c>
      <c r="AE70" s="6"/>
      <c r="AF70" s="6"/>
      <c r="AG70" s="6"/>
      <c r="AH70" s="6" t="s">
        <v>9</v>
      </c>
      <c r="AI70" s="6" t="s">
        <v>931</v>
      </c>
    </row>
    <row r="71" customFormat="false" ht="15" hidden="false" customHeight="true" outlineLevel="0" collapsed="false">
      <c r="A71" s="6" t="s">
        <v>932</v>
      </c>
      <c r="B71" s="6" t="s">
        <v>918</v>
      </c>
      <c r="C71" s="7" t="s">
        <v>4</v>
      </c>
      <c r="D71" s="6" t="s">
        <v>88</v>
      </c>
      <c r="E71" s="6" t="s">
        <v>919</v>
      </c>
      <c r="F71" s="6" t="s">
        <v>920</v>
      </c>
      <c r="G71" s="6" t="s">
        <v>933</v>
      </c>
      <c r="H71" s="6" t="s">
        <v>934</v>
      </c>
      <c r="I71" s="6" t="s">
        <v>274</v>
      </c>
      <c r="J71" s="6"/>
      <c r="K71" s="6" t="s">
        <v>60</v>
      </c>
      <c r="L71" s="6" t="s">
        <v>61</v>
      </c>
      <c r="M71" s="6" t="s">
        <v>935</v>
      </c>
      <c r="N71" s="6" t="s">
        <v>936</v>
      </c>
      <c r="O71" s="8" t="s">
        <v>937</v>
      </c>
      <c r="P71" s="6" t="n">
        <f aca="false">IF(O71="","",VALUE(LEFT(O71,4)))</f>
        <v>1795</v>
      </c>
      <c r="Q71" s="6" t="s">
        <v>938</v>
      </c>
      <c r="R71" s="6" t="s">
        <v>939</v>
      </c>
      <c r="S71" s="6" t="s">
        <v>304</v>
      </c>
      <c r="T71" s="6" t="s">
        <v>940</v>
      </c>
      <c r="U71" s="6" t="s">
        <v>815</v>
      </c>
      <c r="V71" s="6" t="s">
        <v>785</v>
      </c>
      <c r="W71" s="6" t="str">
        <f aca="false">IF(O71="","",INDEX(Lookups!$B$2:$B$71,MATCH(O71,Lookups!$A$2:$A$71,1)))</f>
        <v>Portland</v>
      </c>
      <c r="X71" s="6" t="s">
        <v>103</v>
      </c>
      <c r="Y71" s="6" t="s">
        <v>14</v>
      </c>
      <c r="Z71" s="6" t="s">
        <v>72</v>
      </c>
      <c r="AA71" s="6" t="s">
        <v>941</v>
      </c>
      <c r="AB71" s="6" t="s">
        <v>88</v>
      </c>
      <c r="AC71" s="6"/>
      <c r="AD71" s="6"/>
      <c r="AE71" s="6"/>
      <c r="AF71" s="6"/>
      <c r="AG71" s="6"/>
      <c r="AH71" s="6"/>
      <c r="AI71" s="6" t="s">
        <v>942</v>
      </c>
    </row>
    <row r="72" customFormat="false" ht="15" hidden="false" customHeight="true" outlineLevel="0" collapsed="false">
      <c r="A72" s="6" t="s">
        <v>943</v>
      </c>
      <c r="B72" s="6" t="s">
        <v>944</v>
      </c>
      <c r="C72" s="7" t="s">
        <v>4</v>
      </c>
      <c r="D72" s="6" t="s">
        <v>55</v>
      </c>
      <c r="E72" s="6" t="s">
        <v>919</v>
      </c>
      <c r="F72" s="6" t="s">
        <v>920</v>
      </c>
      <c r="G72" s="6" t="s">
        <v>945</v>
      </c>
      <c r="H72" s="6" t="s">
        <v>946</v>
      </c>
      <c r="I72" s="6" t="s">
        <v>274</v>
      </c>
      <c r="J72" s="6"/>
      <c r="K72" s="6" t="s">
        <v>60</v>
      </c>
      <c r="L72" s="6" t="s">
        <v>61</v>
      </c>
      <c r="M72" s="6" t="s">
        <v>947</v>
      </c>
      <c r="N72" s="6" t="s">
        <v>948</v>
      </c>
      <c r="O72" s="8" t="s">
        <v>949</v>
      </c>
      <c r="P72" s="6" t="n">
        <f aca="false">IF(O72="","",VALUE(LEFT(O72,4)))</f>
        <v>1795</v>
      </c>
      <c r="Q72" s="6" t="s">
        <v>950</v>
      </c>
      <c r="R72" s="6" t="s">
        <v>951</v>
      </c>
      <c r="S72" s="6" t="s">
        <v>304</v>
      </c>
      <c r="T72" s="6" t="s">
        <v>952</v>
      </c>
      <c r="U72" s="6" t="s">
        <v>69</v>
      </c>
      <c r="V72" s="6" t="s">
        <v>953</v>
      </c>
      <c r="W72" s="6" t="str">
        <f aca="false">IF(O72="","",INDEX(Lookups!$B$2:$B$72,MATCH(O72,Lookups!$A$2:$A$72,1)))</f>
        <v>Portland</v>
      </c>
      <c r="X72" s="6" t="s">
        <v>103</v>
      </c>
      <c r="Y72" s="6" t="s">
        <v>13</v>
      </c>
      <c r="Z72" s="6" t="s">
        <v>72</v>
      </c>
      <c r="AA72" s="6" t="s">
        <v>954</v>
      </c>
      <c r="AB72" s="6" t="s">
        <v>88</v>
      </c>
      <c r="AC72" s="6" t="s">
        <v>955</v>
      </c>
      <c r="AD72" s="6" t="s">
        <v>106</v>
      </c>
      <c r="AE72" s="6"/>
      <c r="AF72" s="6"/>
      <c r="AG72" s="6"/>
      <c r="AH72" s="6" t="s">
        <v>9</v>
      </c>
      <c r="AI72" s="6" t="s">
        <v>956</v>
      </c>
    </row>
    <row r="73" customFormat="false" ht="15" hidden="false" customHeight="true" outlineLevel="0" collapsed="false">
      <c r="A73" s="6" t="s">
        <v>957</v>
      </c>
      <c r="B73" s="6" t="s">
        <v>958</v>
      </c>
      <c r="C73" s="7" t="s">
        <v>4</v>
      </c>
      <c r="D73" s="6" t="s">
        <v>55</v>
      </c>
      <c r="E73" s="6" t="s">
        <v>919</v>
      </c>
      <c r="F73" s="6" t="s">
        <v>959</v>
      </c>
      <c r="G73" s="6" t="s">
        <v>960</v>
      </c>
      <c r="H73" s="6" t="s">
        <v>404</v>
      </c>
      <c r="I73" s="6" t="s">
        <v>274</v>
      </c>
      <c r="J73" s="6"/>
      <c r="K73" s="6" t="s">
        <v>60</v>
      </c>
      <c r="L73" s="6" t="s">
        <v>61</v>
      </c>
      <c r="M73" s="6" t="s">
        <v>961</v>
      </c>
      <c r="N73" s="6" t="s">
        <v>962</v>
      </c>
      <c r="O73" s="8" t="s">
        <v>963</v>
      </c>
      <c r="P73" s="6" t="n">
        <f aca="false">IF(O73="","",VALUE(LEFT(O73,4)))</f>
        <v>1795</v>
      </c>
      <c r="Q73" s="6" t="s">
        <v>964</v>
      </c>
      <c r="R73" s="6" t="s">
        <v>658</v>
      </c>
      <c r="S73" s="6" t="s">
        <v>304</v>
      </c>
      <c r="T73" s="6" t="s">
        <v>940</v>
      </c>
      <c r="U73" s="6" t="s">
        <v>815</v>
      </c>
      <c r="V73" s="6" t="s">
        <v>785</v>
      </c>
      <c r="W73" s="6" t="str">
        <f aca="false">IF(O73="","",INDEX(Lookups!$B$2:$B$73,MATCH(O73,Lookups!$A$2:$A$73,1)))</f>
        <v>Portland</v>
      </c>
      <c r="X73" s="6" t="s">
        <v>140</v>
      </c>
      <c r="Y73" s="6" t="s">
        <v>16</v>
      </c>
      <c r="Z73" s="6" t="s">
        <v>72</v>
      </c>
      <c r="AA73" s="6" t="s">
        <v>965</v>
      </c>
      <c r="AB73" s="6" t="s">
        <v>88</v>
      </c>
      <c r="AC73" s="6"/>
      <c r="AD73" s="6"/>
      <c r="AE73" s="6"/>
      <c r="AF73" s="6"/>
      <c r="AG73" s="6"/>
      <c r="AH73" s="6"/>
      <c r="AI73" s="6" t="s">
        <v>966</v>
      </c>
    </row>
    <row r="74" customFormat="false" ht="15" hidden="false" customHeight="true" outlineLevel="0" collapsed="false">
      <c r="O74" s="13"/>
    </row>
    <row r="75" customFormat="false" ht="15" hidden="false" customHeight="true" outlineLevel="0" collapsed="false">
      <c r="O75" s="13"/>
    </row>
    <row r="76" customFormat="false" ht="15" hidden="false" customHeight="true" outlineLevel="0" collapsed="false">
      <c r="O76" s="13"/>
    </row>
    <row r="77" customFormat="false" ht="15" hidden="false" customHeight="true" outlineLevel="0" collapsed="false">
      <c r="O77" s="13"/>
    </row>
    <row r="78" customFormat="false" ht="15" hidden="false" customHeight="true" outlineLevel="0" collapsed="false">
      <c r="O78" s="13"/>
    </row>
    <row r="79" customFormat="false" ht="15" hidden="false" customHeight="true" outlineLevel="0" collapsed="false">
      <c r="O79" s="13"/>
    </row>
    <row r="80" customFormat="false" ht="15" hidden="false" customHeight="true" outlineLevel="0" collapsed="false">
      <c r="O80" s="13"/>
    </row>
    <row r="81" customFormat="false" ht="15" hidden="false" customHeight="true" outlineLevel="0" collapsed="false">
      <c r="O81" s="13"/>
    </row>
    <row r="82" customFormat="false" ht="15" hidden="false" customHeight="true" outlineLevel="0" collapsed="false">
      <c r="O82" s="13"/>
    </row>
    <row r="83" customFormat="false" ht="15" hidden="false" customHeight="true" outlineLevel="0" collapsed="false">
      <c r="O83" s="13"/>
    </row>
    <row r="84" customFormat="false" ht="15" hidden="false" customHeight="true" outlineLevel="0" collapsed="false">
      <c r="O84" s="13"/>
    </row>
    <row r="85" customFormat="false" ht="15" hidden="false" customHeight="true" outlineLevel="0" collapsed="false">
      <c r="O85" s="13"/>
    </row>
    <row r="86" customFormat="false" ht="15" hidden="false" customHeight="true" outlineLevel="0" collapsed="false">
      <c r="O86" s="13"/>
    </row>
    <row r="87" customFormat="false" ht="15" hidden="false" customHeight="true" outlineLevel="0" collapsed="false">
      <c r="O87" s="13"/>
    </row>
    <row r="88" customFormat="false" ht="15" hidden="false" customHeight="true" outlineLevel="0" collapsed="false">
      <c r="O88" s="13"/>
    </row>
    <row r="89" customFormat="false" ht="15" hidden="false" customHeight="true" outlineLevel="0" collapsed="false">
      <c r="O89" s="13"/>
    </row>
    <row r="90" customFormat="false" ht="15" hidden="false" customHeight="true" outlineLevel="0" collapsed="false">
      <c r="O90" s="13"/>
    </row>
    <row r="91" customFormat="false" ht="15" hidden="false" customHeight="true" outlineLevel="0" collapsed="false">
      <c r="O91" s="13"/>
    </row>
    <row r="92" customFormat="false" ht="15" hidden="false" customHeight="true" outlineLevel="0" collapsed="false">
      <c r="O92" s="13"/>
    </row>
    <row r="93" customFormat="false" ht="15" hidden="false" customHeight="true" outlineLevel="0" collapsed="false">
      <c r="O93" s="13"/>
    </row>
    <row r="94" customFormat="false" ht="15" hidden="false" customHeight="true" outlineLevel="0" collapsed="false">
      <c r="O94" s="13"/>
    </row>
    <row r="95" customFormat="false" ht="15" hidden="false" customHeight="true" outlineLevel="0" collapsed="false">
      <c r="O95" s="13"/>
    </row>
    <row r="96" customFormat="false" ht="15" hidden="false" customHeight="true" outlineLevel="0" collapsed="false">
      <c r="O96" s="13"/>
    </row>
    <row r="97" customFormat="false" ht="15" hidden="false" customHeight="true" outlineLevel="0" collapsed="false">
      <c r="O97" s="13"/>
    </row>
    <row r="98" customFormat="false" ht="15" hidden="false" customHeight="true" outlineLevel="0" collapsed="false">
      <c r="O98" s="13"/>
    </row>
    <row r="99" customFormat="false" ht="15" hidden="false" customHeight="true" outlineLevel="0" collapsed="false">
      <c r="O99" s="13"/>
    </row>
    <row r="100" customFormat="false" ht="15" hidden="false" customHeight="true" outlineLevel="0" collapsed="false">
      <c r="O100" s="13"/>
    </row>
    <row r="101" customFormat="false" ht="15" hidden="false" customHeight="true" outlineLevel="0" collapsed="false">
      <c r="O101" s="13"/>
    </row>
    <row r="102" customFormat="false" ht="15" hidden="false" customHeight="true" outlineLevel="0" collapsed="false">
      <c r="O102" s="13"/>
    </row>
    <row r="103" customFormat="false" ht="15" hidden="false" customHeight="true" outlineLevel="0" collapsed="false">
      <c r="O103" s="13"/>
    </row>
    <row r="104" customFormat="false" ht="15" hidden="false" customHeight="true" outlineLevel="0" collapsed="false">
      <c r="O104" s="13"/>
    </row>
    <row r="105" customFormat="false" ht="15" hidden="false" customHeight="true" outlineLevel="0" collapsed="false">
      <c r="O105" s="13"/>
    </row>
    <row r="106" customFormat="false" ht="15" hidden="false" customHeight="true" outlineLevel="0" collapsed="false">
      <c r="O106" s="13"/>
    </row>
    <row r="107" customFormat="false" ht="15" hidden="false" customHeight="true" outlineLevel="0" collapsed="false">
      <c r="O107" s="13"/>
    </row>
    <row r="108" customFormat="false" ht="15" hidden="false" customHeight="true" outlineLevel="0" collapsed="false">
      <c r="O108" s="13"/>
    </row>
    <row r="109" customFormat="false" ht="15" hidden="false" customHeight="true" outlineLevel="0" collapsed="false">
      <c r="O109" s="13"/>
    </row>
    <row r="110" customFormat="false" ht="15" hidden="false" customHeight="true" outlineLevel="0" collapsed="false">
      <c r="O110" s="13"/>
    </row>
    <row r="111" customFormat="false" ht="15" hidden="false" customHeight="true" outlineLevel="0" collapsed="false">
      <c r="O111" s="13"/>
    </row>
    <row r="112" customFormat="false" ht="15" hidden="false" customHeight="true" outlineLevel="0" collapsed="false">
      <c r="O112" s="13"/>
    </row>
    <row r="113" customFormat="false" ht="15" hidden="false" customHeight="true" outlineLevel="0" collapsed="false">
      <c r="O113" s="13"/>
    </row>
    <row r="114" customFormat="false" ht="15" hidden="false" customHeight="true" outlineLevel="0" collapsed="false">
      <c r="O114" s="13"/>
    </row>
    <row r="115" customFormat="false" ht="15" hidden="false" customHeight="true" outlineLevel="0" collapsed="false">
      <c r="O115" s="13"/>
    </row>
    <row r="116" customFormat="false" ht="15" hidden="false" customHeight="true" outlineLevel="0" collapsed="false">
      <c r="O116" s="13"/>
    </row>
    <row r="117" customFormat="false" ht="15" hidden="false" customHeight="true" outlineLevel="0" collapsed="false">
      <c r="O117" s="13"/>
    </row>
    <row r="118" customFormat="false" ht="15" hidden="false" customHeight="true" outlineLevel="0" collapsed="false">
      <c r="O118" s="13"/>
    </row>
    <row r="119" customFormat="false" ht="15" hidden="false" customHeight="true" outlineLevel="0" collapsed="false">
      <c r="O119" s="13"/>
    </row>
    <row r="120" customFormat="false" ht="15" hidden="false" customHeight="true" outlineLevel="0" collapsed="false">
      <c r="O120" s="13"/>
    </row>
    <row r="121" customFormat="false" ht="15" hidden="false" customHeight="true" outlineLevel="0" collapsed="false">
      <c r="O121" s="13"/>
    </row>
    <row r="122" customFormat="false" ht="15" hidden="false" customHeight="true" outlineLevel="0" collapsed="false">
      <c r="O122" s="13"/>
    </row>
    <row r="123" customFormat="false" ht="15" hidden="false" customHeight="true" outlineLevel="0" collapsed="false">
      <c r="O123" s="13"/>
    </row>
    <row r="124" customFormat="false" ht="15" hidden="false" customHeight="true" outlineLevel="0" collapsed="false">
      <c r="O124" s="13"/>
    </row>
    <row r="125" customFormat="false" ht="15" hidden="false" customHeight="true" outlineLevel="0" collapsed="false">
      <c r="O125" s="13"/>
    </row>
    <row r="126" customFormat="false" ht="15" hidden="false" customHeight="true" outlineLevel="0" collapsed="false">
      <c r="O126" s="13"/>
    </row>
    <row r="127" customFormat="false" ht="15" hidden="false" customHeight="true" outlineLevel="0" collapsed="false">
      <c r="O127" s="13"/>
    </row>
    <row r="128" customFormat="false" ht="15" hidden="false" customHeight="true" outlineLevel="0" collapsed="false">
      <c r="O128" s="13"/>
    </row>
    <row r="129" customFormat="false" ht="15" hidden="false" customHeight="true" outlineLevel="0" collapsed="false">
      <c r="O129" s="13"/>
    </row>
    <row r="130" customFormat="false" ht="15" hidden="false" customHeight="true" outlineLevel="0" collapsed="false">
      <c r="O130" s="13"/>
    </row>
    <row r="131" customFormat="false" ht="15" hidden="false" customHeight="true" outlineLevel="0" collapsed="false">
      <c r="O131" s="13"/>
    </row>
    <row r="132" customFormat="false" ht="15" hidden="false" customHeight="true" outlineLevel="0" collapsed="false">
      <c r="O132" s="13"/>
    </row>
    <row r="133" customFormat="false" ht="15" hidden="false" customHeight="true" outlineLevel="0" collapsed="false">
      <c r="O133" s="13"/>
    </row>
    <row r="134" customFormat="false" ht="15" hidden="false" customHeight="true" outlineLevel="0" collapsed="false">
      <c r="O134" s="13"/>
    </row>
    <row r="135" customFormat="false" ht="15" hidden="false" customHeight="true" outlineLevel="0" collapsed="false">
      <c r="O135" s="13"/>
    </row>
    <row r="136" customFormat="false" ht="15" hidden="false" customHeight="true" outlineLevel="0" collapsed="false">
      <c r="O136" s="13"/>
    </row>
    <row r="137" customFormat="false" ht="15" hidden="false" customHeight="true" outlineLevel="0" collapsed="false">
      <c r="O137" s="13"/>
    </row>
    <row r="138" customFormat="false" ht="15" hidden="false" customHeight="true" outlineLevel="0" collapsed="false">
      <c r="O138" s="13"/>
    </row>
    <row r="139" customFormat="false" ht="15" hidden="false" customHeight="true" outlineLevel="0" collapsed="false">
      <c r="O139" s="13"/>
    </row>
    <row r="140" customFormat="false" ht="15" hidden="false" customHeight="true" outlineLevel="0" collapsed="false">
      <c r="O140" s="13"/>
    </row>
    <row r="141" customFormat="false" ht="15" hidden="false" customHeight="true" outlineLevel="0" collapsed="false">
      <c r="O141" s="13"/>
    </row>
    <row r="142" customFormat="false" ht="15" hidden="false" customHeight="true" outlineLevel="0" collapsed="false">
      <c r="O142" s="13"/>
    </row>
    <row r="143" customFormat="false" ht="15" hidden="false" customHeight="true" outlineLevel="0" collapsed="false">
      <c r="O143" s="13"/>
    </row>
    <row r="144" customFormat="false" ht="15" hidden="false" customHeight="true" outlineLevel="0" collapsed="false">
      <c r="O144" s="13"/>
    </row>
    <row r="145" customFormat="false" ht="15" hidden="false" customHeight="true" outlineLevel="0" collapsed="false">
      <c r="O145" s="13"/>
    </row>
    <row r="146" customFormat="false" ht="15" hidden="false" customHeight="true" outlineLevel="0" collapsed="false">
      <c r="O146" s="13"/>
    </row>
    <row r="147" customFormat="false" ht="15" hidden="false" customHeight="true" outlineLevel="0" collapsed="false">
      <c r="O147" s="13"/>
    </row>
    <row r="148" customFormat="false" ht="15" hidden="false" customHeight="true" outlineLevel="0" collapsed="false">
      <c r="O148" s="13"/>
    </row>
    <row r="149" customFormat="false" ht="15" hidden="false" customHeight="true" outlineLevel="0" collapsed="false">
      <c r="O149" s="13"/>
    </row>
    <row r="150" customFormat="false" ht="15" hidden="false" customHeight="true" outlineLevel="0" collapsed="false">
      <c r="O150" s="13"/>
    </row>
    <row r="151" customFormat="false" ht="15" hidden="false" customHeight="true" outlineLevel="0" collapsed="false">
      <c r="O151" s="13"/>
    </row>
    <row r="152" customFormat="false" ht="15" hidden="false" customHeight="true" outlineLevel="0" collapsed="false">
      <c r="O152" s="13"/>
    </row>
    <row r="153" customFormat="false" ht="15" hidden="false" customHeight="true" outlineLevel="0" collapsed="false">
      <c r="O153" s="13"/>
    </row>
    <row r="154" customFormat="false" ht="15" hidden="false" customHeight="true" outlineLevel="0" collapsed="false">
      <c r="O154" s="13"/>
    </row>
    <row r="155" customFormat="false" ht="15" hidden="false" customHeight="true" outlineLevel="0" collapsed="false">
      <c r="O155" s="13"/>
    </row>
    <row r="156" customFormat="false" ht="15" hidden="false" customHeight="true" outlineLevel="0" collapsed="false">
      <c r="O156" s="13"/>
    </row>
    <row r="157" customFormat="false" ht="15" hidden="false" customHeight="true" outlineLevel="0" collapsed="false">
      <c r="O157" s="13"/>
    </row>
    <row r="158" customFormat="false" ht="15" hidden="false" customHeight="true" outlineLevel="0" collapsed="false">
      <c r="O158" s="13"/>
    </row>
    <row r="159" customFormat="false" ht="15" hidden="false" customHeight="true" outlineLevel="0" collapsed="false">
      <c r="O159" s="13"/>
    </row>
    <row r="160" customFormat="false" ht="15" hidden="false" customHeight="true" outlineLevel="0" collapsed="false">
      <c r="O160" s="13"/>
    </row>
    <row r="161" customFormat="false" ht="15" hidden="false" customHeight="true" outlineLevel="0" collapsed="false">
      <c r="O161" s="13"/>
    </row>
    <row r="162" customFormat="false" ht="15" hidden="false" customHeight="true" outlineLevel="0" collapsed="false">
      <c r="O162" s="13"/>
    </row>
    <row r="163" customFormat="false" ht="15" hidden="false" customHeight="true" outlineLevel="0" collapsed="false">
      <c r="O163" s="13"/>
    </row>
    <row r="164" customFormat="false" ht="15" hidden="false" customHeight="true" outlineLevel="0" collapsed="false">
      <c r="O164" s="13"/>
    </row>
    <row r="165" customFormat="false" ht="15" hidden="false" customHeight="true" outlineLevel="0" collapsed="false">
      <c r="O165" s="13"/>
    </row>
    <row r="166" customFormat="false" ht="15" hidden="false" customHeight="true" outlineLevel="0" collapsed="false">
      <c r="O166" s="13"/>
    </row>
    <row r="167" customFormat="false" ht="15" hidden="false" customHeight="true" outlineLevel="0" collapsed="false">
      <c r="O167" s="13"/>
    </row>
    <row r="168" customFormat="false" ht="15" hidden="false" customHeight="true" outlineLevel="0" collapsed="false">
      <c r="O168" s="13"/>
    </row>
    <row r="169" customFormat="false" ht="15" hidden="false" customHeight="true" outlineLevel="0" collapsed="false">
      <c r="O169" s="13"/>
    </row>
    <row r="170" customFormat="false" ht="15" hidden="false" customHeight="true" outlineLevel="0" collapsed="false">
      <c r="O170" s="13"/>
    </row>
    <row r="171" customFormat="false" ht="15" hidden="false" customHeight="true" outlineLevel="0" collapsed="false">
      <c r="O171" s="13"/>
    </row>
    <row r="172" customFormat="false" ht="15" hidden="false" customHeight="true" outlineLevel="0" collapsed="false">
      <c r="O172" s="13"/>
    </row>
    <row r="173" customFormat="false" ht="15" hidden="false" customHeight="true" outlineLevel="0" collapsed="false">
      <c r="O173" s="13"/>
    </row>
    <row r="174" customFormat="false" ht="15" hidden="false" customHeight="true" outlineLevel="0" collapsed="false">
      <c r="O174" s="13"/>
    </row>
    <row r="175" customFormat="false" ht="15" hidden="false" customHeight="true" outlineLevel="0" collapsed="false">
      <c r="O175" s="13"/>
    </row>
    <row r="176" customFormat="false" ht="15" hidden="false" customHeight="true" outlineLevel="0" collapsed="false">
      <c r="O176" s="13"/>
    </row>
    <row r="177" customFormat="false" ht="15" hidden="false" customHeight="true" outlineLevel="0" collapsed="false">
      <c r="O177" s="13"/>
    </row>
    <row r="178" customFormat="false" ht="15" hidden="false" customHeight="true" outlineLevel="0" collapsed="false">
      <c r="O178" s="13"/>
    </row>
    <row r="179" customFormat="false" ht="15" hidden="false" customHeight="true" outlineLevel="0" collapsed="false">
      <c r="O179" s="13"/>
    </row>
    <row r="180" customFormat="false" ht="15" hidden="false" customHeight="true" outlineLevel="0" collapsed="false">
      <c r="O180" s="13"/>
    </row>
    <row r="181" customFormat="false" ht="15" hidden="false" customHeight="true" outlineLevel="0" collapsed="false">
      <c r="O181" s="13"/>
    </row>
    <row r="182" customFormat="false" ht="15" hidden="false" customHeight="true" outlineLevel="0" collapsed="false">
      <c r="O182" s="13"/>
    </row>
    <row r="183" customFormat="false" ht="15" hidden="false" customHeight="true" outlineLevel="0" collapsed="false">
      <c r="O183" s="13"/>
    </row>
    <row r="184" customFormat="false" ht="15" hidden="false" customHeight="true" outlineLevel="0" collapsed="false">
      <c r="O184" s="13"/>
    </row>
    <row r="185" customFormat="false" ht="15" hidden="false" customHeight="true" outlineLevel="0" collapsed="false">
      <c r="O185" s="13"/>
    </row>
    <row r="186" customFormat="false" ht="15" hidden="false" customHeight="true" outlineLevel="0" collapsed="false">
      <c r="O186" s="13"/>
    </row>
    <row r="187" customFormat="false" ht="15" hidden="false" customHeight="true" outlineLevel="0" collapsed="false">
      <c r="O187" s="13"/>
    </row>
    <row r="188" customFormat="false" ht="15" hidden="false" customHeight="true" outlineLevel="0" collapsed="false">
      <c r="O188" s="13"/>
    </row>
    <row r="189" customFormat="false" ht="15" hidden="false" customHeight="true" outlineLevel="0" collapsed="false">
      <c r="O189" s="13"/>
    </row>
    <row r="190" customFormat="false" ht="15" hidden="false" customHeight="true" outlineLevel="0" collapsed="false">
      <c r="O190" s="13"/>
    </row>
    <row r="191" customFormat="false" ht="15" hidden="false" customHeight="true" outlineLevel="0" collapsed="false">
      <c r="O191" s="13"/>
    </row>
    <row r="192" customFormat="false" ht="15" hidden="false" customHeight="true" outlineLevel="0" collapsed="false">
      <c r="O192" s="13"/>
    </row>
    <row r="193" customFormat="false" ht="15" hidden="false" customHeight="true" outlineLevel="0" collapsed="false">
      <c r="O193" s="13"/>
    </row>
    <row r="194" customFormat="false" ht="15" hidden="false" customHeight="true" outlineLevel="0" collapsed="false">
      <c r="O194" s="13"/>
    </row>
    <row r="195" customFormat="false" ht="15" hidden="false" customHeight="true" outlineLevel="0" collapsed="false">
      <c r="O195" s="13"/>
    </row>
    <row r="196" customFormat="false" ht="15" hidden="false" customHeight="true" outlineLevel="0" collapsed="false">
      <c r="O196" s="13"/>
    </row>
    <row r="197" customFormat="false" ht="15" hidden="false" customHeight="true" outlineLevel="0" collapsed="false">
      <c r="O197" s="13"/>
    </row>
    <row r="198" customFormat="false" ht="15" hidden="false" customHeight="true" outlineLevel="0" collapsed="false">
      <c r="O198" s="13"/>
    </row>
    <row r="199" customFormat="false" ht="15" hidden="false" customHeight="true" outlineLevel="0" collapsed="false">
      <c r="O199" s="13"/>
    </row>
    <row r="200" customFormat="false" ht="15" hidden="false" customHeight="true" outlineLevel="0" collapsed="false">
      <c r="O200" s="13"/>
    </row>
    <row r="201" customFormat="false" ht="15" hidden="false" customHeight="true" outlineLevel="0" collapsed="false">
      <c r="O201" s="13"/>
    </row>
    <row r="202" customFormat="false" ht="15" hidden="false" customHeight="true" outlineLevel="0" collapsed="false">
      <c r="O202" s="13"/>
    </row>
    <row r="203" customFormat="false" ht="15" hidden="false" customHeight="true" outlineLevel="0" collapsed="false">
      <c r="O203" s="13"/>
    </row>
    <row r="204" customFormat="false" ht="15" hidden="false" customHeight="true" outlineLevel="0" collapsed="false">
      <c r="O204" s="13"/>
    </row>
    <row r="205" customFormat="false" ht="15" hidden="false" customHeight="true" outlineLevel="0" collapsed="false">
      <c r="O205" s="13"/>
    </row>
    <row r="206" customFormat="false" ht="15" hidden="false" customHeight="true" outlineLevel="0" collapsed="false">
      <c r="O206" s="13"/>
    </row>
    <row r="207" customFormat="false" ht="15" hidden="false" customHeight="true" outlineLevel="0" collapsed="false">
      <c r="O207" s="13"/>
    </row>
    <row r="208" customFormat="false" ht="15" hidden="false" customHeight="true" outlineLevel="0" collapsed="false">
      <c r="O208" s="13"/>
    </row>
    <row r="209" customFormat="false" ht="15" hidden="false" customHeight="true" outlineLevel="0" collapsed="false">
      <c r="O209" s="13"/>
    </row>
    <row r="210" customFormat="false" ht="15" hidden="false" customHeight="true" outlineLevel="0" collapsed="false">
      <c r="O210" s="13"/>
    </row>
    <row r="211" customFormat="false" ht="15" hidden="false" customHeight="true" outlineLevel="0" collapsed="false">
      <c r="O211" s="13"/>
    </row>
    <row r="212" customFormat="false" ht="15" hidden="false" customHeight="true" outlineLevel="0" collapsed="false">
      <c r="O212" s="13"/>
    </row>
    <row r="213" customFormat="false" ht="15" hidden="false" customHeight="true" outlineLevel="0" collapsed="false">
      <c r="O213" s="13"/>
    </row>
    <row r="214" customFormat="false" ht="15" hidden="false" customHeight="true" outlineLevel="0" collapsed="false">
      <c r="O214" s="13"/>
    </row>
    <row r="215" customFormat="false" ht="15" hidden="false" customHeight="true" outlineLevel="0" collapsed="false">
      <c r="O215" s="13"/>
    </row>
    <row r="216" customFormat="false" ht="15" hidden="false" customHeight="true" outlineLevel="0" collapsed="false">
      <c r="O216" s="13"/>
    </row>
    <row r="217" customFormat="false" ht="15" hidden="false" customHeight="true" outlineLevel="0" collapsed="false">
      <c r="O217" s="13"/>
    </row>
    <row r="218" customFormat="false" ht="15" hidden="false" customHeight="true" outlineLevel="0" collapsed="false">
      <c r="O218" s="13"/>
    </row>
    <row r="219" customFormat="false" ht="15" hidden="false" customHeight="true" outlineLevel="0" collapsed="false">
      <c r="O219" s="13"/>
    </row>
    <row r="220" customFormat="false" ht="15" hidden="false" customHeight="true" outlineLevel="0" collapsed="false">
      <c r="O220" s="13"/>
    </row>
    <row r="221" customFormat="false" ht="15" hidden="false" customHeight="true" outlineLevel="0" collapsed="false">
      <c r="O221" s="13"/>
    </row>
    <row r="222" customFormat="false" ht="15" hidden="false" customHeight="true" outlineLevel="0" collapsed="false">
      <c r="O222" s="13"/>
    </row>
    <row r="223" customFormat="false" ht="15" hidden="false" customHeight="true" outlineLevel="0" collapsed="false">
      <c r="O223" s="13"/>
    </row>
    <row r="224" customFormat="false" ht="15" hidden="false" customHeight="true" outlineLevel="0" collapsed="false">
      <c r="O224" s="13"/>
    </row>
    <row r="225" customFormat="false" ht="15" hidden="false" customHeight="true" outlineLevel="0" collapsed="false">
      <c r="O225" s="13"/>
    </row>
    <row r="226" customFormat="false" ht="15" hidden="false" customHeight="true" outlineLevel="0" collapsed="false">
      <c r="O226" s="13"/>
    </row>
    <row r="227" customFormat="false" ht="15" hidden="false" customHeight="true" outlineLevel="0" collapsed="false">
      <c r="O227" s="13"/>
    </row>
    <row r="228" customFormat="false" ht="15" hidden="false" customHeight="true" outlineLevel="0" collapsed="false">
      <c r="O228" s="13"/>
    </row>
    <row r="229" customFormat="false" ht="15" hidden="false" customHeight="true" outlineLevel="0" collapsed="false">
      <c r="O229" s="13"/>
    </row>
    <row r="230" customFormat="false" ht="15" hidden="false" customHeight="true" outlineLevel="0" collapsed="false">
      <c r="O230" s="13"/>
    </row>
    <row r="231" customFormat="false" ht="15" hidden="false" customHeight="true" outlineLevel="0" collapsed="false">
      <c r="O231" s="13"/>
    </row>
    <row r="232" customFormat="false" ht="15" hidden="false" customHeight="true" outlineLevel="0" collapsed="false">
      <c r="O232" s="13"/>
    </row>
    <row r="233" customFormat="false" ht="15" hidden="false" customHeight="true" outlineLevel="0" collapsed="false">
      <c r="O233" s="13"/>
    </row>
    <row r="234" customFormat="false" ht="15" hidden="false" customHeight="true" outlineLevel="0" collapsed="false">
      <c r="O234" s="13"/>
    </row>
    <row r="235" customFormat="false" ht="15" hidden="false" customHeight="true" outlineLevel="0" collapsed="false">
      <c r="O235" s="13"/>
    </row>
    <row r="236" customFormat="false" ht="15" hidden="false" customHeight="true" outlineLevel="0" collapsed="false">
      <c r="O236" s="13"/>
    </row>
    <row r="237" customFormat="false" ht="15" hidden="false" customHeight="true" outlineLevel="0" collapsed="false">
      <c r="O237" s="13"/>
    </row>
    <row r="238" customFormat="false" ht="15" hidden="false" customHeight="true" outlineLevel="0" collapsed="false">
      <c r="O238" s="13"/>
    </row>
    <row r="239" customFormat="false" ht="15" hidden="false" customHeight="true" outlineLevel="0" collapsed="false">
      <c r="O239" s="13"/>
    </row>
    <row r="240" customFormat="false" ht="15" hidden="false" customHeight="true" outlineLevel="0" collapsed="false">
      <c r="O240" s="13"/>
    </row>
    <row r="241" customFormat="false" ht="15" hidden="false" customHeight="true" outlineLevel="0" collapsed="false">
      <c r="O241" s="13"/>
    </row>
    <row r="242" customFormat="false" ht="15" hidden="false" customHeight="true" outlineLevel="0" collapsed="false">
      <c r="O242" s="13"/>
    </row>
    <row r="243" customFormat="false" ht="15" hidden="false" customHeight="true" outlineLevel="0" collapsed="false">
      <c r="O243" s="13"/>
    </row>
    <row r="244" customFormat="false" ht="15" hidden="false" customHeight="true" outlineLevel="0" collapsed="false">
      <c r="O244" s="13"/>
    </row>
    <row r="245" customFormat="false" ht="15" hidden="false" customHeight="true" outlineLevel="0" collapsed="false">
      <c r="O245" s="13"/>
    </row>
    <row r="246" customFormat="false" ht="15" hidden="false" customHeight="true" outlineLevel="0" collapsed="false">
      <c r="O246" s="13"/>
    </row>
    <row r="247" customFormat="false" ht="15" hidden="false" customHeight="true" outlineLevel="0" collapsed="false">
      <c r="O247" s="13"/>
    </row>
    <row r="248" customFormat="false" ht="15" hidden="false" customHeight="true" outlineLevel="0" collapsed="false">
      <c r="O248" s="13"/>
    </row>
    <row r="249" customFormat="false" ht="15" hidden="false" customHeight="true" outlineLevel="0" collapsed="false">
      <c r="O249" s="13"/>
    </row>
    <row r="250" customFormat="false" ht="15" hidden="false" customHeight="true" outlineLevel="0" collapsed="false">
      <c r="O250" s="13"/>
    </row>
    <row r="251" customFormat="false" ht="15" hidden="false" customHeight="true" outlineLevel="0" collapsed="false">
      <c r="O251" s="13"/>
    </row>
    <row r="252" customFormat="false" ht="15" hidden="false" customHeight="true" outlineLevel="0" collapsed="false">
      <c r="O252" s="13"/>
    </row>
    <row r="253" customFormat="false" ht="15" hidden="false" customHeight="true" outlineLevel="0" collapsed="false">
      <c r="O253" s="13"/>
    </row>
    <row r="254" customFormat="false" ht="15" hidden="false" customHeight="true" outlineLevel="0" collapsed="false">
      <c r="O254" s="13"/>
    </row>
    <row r="255" customFormat="false" ht="15" hidden="false" customHeight="true" outlineLevel="0" collapsed="false">
      <c r="O255" s="13"/>
    </row>
    <row r="256" customFormat="false" ht="15" hidden="false" customHeight="true" outlineLevel="0" collapsed="false">
      <c r="O256" s="13"/>
    </row>
    <row r="257" customFormat="false" ht="15" hidden="false" customHeight="true" outlineLevel="0" collapsed="false">
      <c r="O257" s="13"/>
    </row>
    <row r="258" customFormat="false" ht="15" hidden="false" customHeight="true" outlineLevel="0" collapsed="false">
      <c r="O258" s="13"/>
    </row>
    <row r="259" customFormat="false" ht="15" hidden="false" customHeight="true" outlineLevel="0" collapsed="false">
      <c r="O259" s="13"/>
    </row>
    <row r="260" customFormat="false" ht="15" hidden="false" customHeight="true" outlineLevel="0" collapsed="false">
      <c r="O260" s="13"/>
    </row>
    <row r="261" customFormat="false" ht="15" hidden="false" customHeight="true" outlineLevel="0" collapsed="false">
      <c r="O261" s="13"/>
    </row>
    <row r="262" customFormat="false" ht="15" hidden="false" customHeight="true" outlineLevel="0" collapsed="false">
      <c r="O262" s="13"/>
    </row>
    <row r="263" customFormat="false" ht="15" hidden="false" customHeight="true" outlineLevel="0" collapsed="false">
      <c r="O263" s="13"/>
    </row>
    <row r="264" customFormat="false" ht="15" hidden="false" customHeight="true" outlineLevel="0" collapsed="false">
      <c r="O264" s="13"/>
    </row>
    <row r="265" customFormat="false" ht="15" hidden="false" customHeight="true" outlineLevel="0" collapsed="false">
      <c r="O265" s="13"/>
    </row>
    <row r="266" customFormat="false" ht="15" hidden="false" customHeight="true" outlineLevel="0" collapsed="false">
      <c r="O266" s="13"/>
    </row>
    <row r="267" customFormat="false" ht="15" hidden="false" customHeight="true" outlineLevel="0" collapsed="false">
      <c r="O267" s="13"/>
    </row>
    <row r="268" customFormat="false" ht="15" hidden="false" customHeight="true" outlineLevel="0" collapsed="false">
      <c r="O268" s="13"/>
    </row>
    <row r="269" customFormat="false" ht="15" hidden="false" customHeight="true" outlineLevel="0" collapsed="false">
      <c r="O269" s="13"/>
    </row>
    <row r="270" customFormat="false" ht="15" hidden="false" customHeight="true" outlineLevel="0" collapsed="false">
      <c r="O270" s="13"/>
    </row>
    <row r="271" customFormat="false" ht="15" hidden="false" customHeight="true" outlineLevel="0" collapsed="false">
      <c r="O271" s="13"/>
    </row>
    <row r="272" customFormat="false" ht="15" hidden="false" customHeight="true" outlineLevel="0" collapsed="false">
      <c r="O272" s="13"/>
    </row>
    <row r="273" customFormat="false" ht="15" hidden="false" customHeight="true" outlineLevel="0" collapsed="false">
      <c r="O273" s="13"/>
    </row>
    <row r="274" customFormat="false" ht="15" hidden="false" customHeight="true" outlineLevel="0" collapsed="false">
      <c r="O274" s="13"/>
    </row>
    <row r="275" customFormat="false" ht="15" hidden="false" customHeight="true" outlineLevel="0" collapsed="false">
      <c r="O275" s="13"/>
    </row>
    <row r="276" customFormat="false" ht="15" hidden="false" customHeight="true" outlineLevel="0" collapsed="false">
      <c r="O276" s="13"/>
    </row>
    <row r="277" customFormat="false" ht="15" hidden="false" customHeight="true" outlineLevel="0" collapsed="false">
      <c r="O277" s="13"/>
    </row>
    <row r="278" customFormat="false" ht="15" hidden="false" customHeight="true" outlineLevel="0" collapsed="false">
      <c r="O278" s="13"/>
    </row>
    <row r="279" customFormat="false" ht="15" hidden="false" customHeight="true" outlineLevel="0" collapsed="false">
      <c r="O279" s="13"/>
    </row>
    <row r="280" customFormat="false" ht="15" hidden="false" customHeight="true" outlineLevel="0" collapsed="false">
      <c r="O280" s="13"/>
    </row>
    <row r="281" customFormat="false" ht="15" hidden="false" customHeight="true" outlineLevel="0" collapsed="false">
      <c r="O281" s="13"/>
    </row>
    <row r="282" customFormat="false" ht="15" hidden="false" customHeight="true" outlineLevel="0" collapsed="false">
      <c r="O282" s="13"/>
    </row>
    <row r="283" customFormat="false" ht="15" hidden="false" customHeight="true" outlineLevel="0" collapsed="false">
      <c r="O283" s="13"/>
    </row>
    <row r="284" customFormat="false" ht="15" hidden="false" customHeight="true" outlineLevel="0" collapsed="false">
      <c r="O284" s="13"/>
    </row>
    <row r="285" customFormat="false" ht="15" hidden="false" customHeight="true" outlineLevel="0" collapsed="false">
      <c r="O285" s="13"/>
    </row>
    <row r="286" customFormat="false" ht="15" hidden="false" customHeight="true" outlineLevel="0" collapsed="false">
      <c r="O286" s="13"/>
    </row>
    <row r="287" customFormat="false" ht="15" hidden="false" customHeight="true" outlineLevel="0" collapsed="false">
      <c r="O287" s="13"/>
    </row>
    <row r="288" customFormat="false" ht="15" hidden="false" customHeight="true" outlineLevel="0" collapsed="false">
      <c r="O288" s="13"/>
    </row>
    <row r="289" customFormat="false" ht="15" hidden="false" customHeight="true" outlineLevel="0" collapsed="false">
      <c r="O289" s="13"/>
    </row>
    <row r="290" customFormat="false" ht="15" hidden="false" customHeight="true" outlineLevel="0" collapsed="false">
      <c r="O290" s="13"/>
    </row>
    <row r="291" customFormat="false" ht="15" hidden="false" customHeight="true" outlineLevel="0" collapsed="false">
      <c r="O291" s="13"/>
    </row>
    <row r="292" customFormat="false" ht="15" hidden="false" customHeight="true" outlineLevel="0" collapsed="false">
      <c r="O292" s="13"/>
    </row>
    <row r="293" customFormat="false" ht="15" hidden="false" customHeight="true" outlineLevel="0" collapsed="false">
      <c r="O293" s="13"/>
    </row>
    <row r="294" customFormat="false" ht="15" hidden="false" customHeight="true" outlineLevel="0" collapsed="false">
      <c r="O294" s="13"/>
    </row>
    <row r="295" customFormat="false" ht="15" hidden="false" customHeight="true" outlineLevel="0" collapsed="false">
      <c r="O295" s="13"/>
    </row>
    <row r="296" customFormat="false" ht="15" hidden="false" customHeight="true" outlineLevel="0" collapsed="false">
      <c r="O296" s="13"/>
    </row>
    <row r="297" customFormat="false" ht="15" hidden="false" customHeight="true" outlineLevel="0" collapsed="false">
      <c r="O297" s="13"/>
    </row>
    <row r="298" customFormat="false" ht="15" hidden="false" customHeight="true" outlineLevel="0" collapsed="false">
      <c r="O298" s="13"/>
    </row>
    <row r="299" customFormat="false" ht="15" hidden="false" customHeight="true" outlineLevel="0" collapsed="false">
      <c r="O299" s="13"/>
    </row>
    <row r="300" customFormat="false" ht="15" hidden="false" customHeight="true" outlineLevel="0" collapsed="false">
      <c r="O300" s="13"/>
    </row>
    <row r="301" customFormat="false" ht="15" hidden="false" customHeight="true" outlineLevel="0" collapsed="false">
      <c r="O301" s="13"/>
    </row>
    <row r="302" customFormat="false" ht="15" hidden="false" customHeight="true" outlineLevel="0" collapsed="false">
      <c r="O302" s="13"/>
    </row>
    <row r="303" customFormat="false" ht="15" hidden="false" customHeight="true" outlineLevel="0" collapsed="false">
      <c r="O303" s="13"/>
    </row>
    <row r="304" customFormat="false" ht="15" hidden="false" customHeight="true" outlineLevel="0" collapsed="false">
      <c r="O304" s="13"/>
    </row>
    <row r="305" customFormat="false" ht="15" hidden="false" customHeight="true" outlineLevel="0" collapsed="false">
      <c r="O305" s="13"/>
    </row>
    <row r="306" customFormat="false" ht="15" hidden="false" customHeight="true" outlineLevel="0" collapsed="false">
      <c r="O306" s="13"/>
    </row>
    <row r="307" customFormat="false" ht="15" hidden="false" customHeight="true" outlineLevel="0" collapsed="false">
      <c r="O307" s="13"/>
    </row>
    <row r="308" customFormat="false" ht="15" hidden="false" customHeight="true" outlineLevel="0" collapsed="false">
      <c r="O308" s="13"/>
    </row>
    <row r="309" customFormat="false" ht="15" hidden="false" customHeight="true" outlineLevel="0" collapsed="false">
      <c r="O309" s="13"/>
    </row>
    <row r="310" customFormat="false" ht="15" hidden="false" customHeight="true" outlineLevel="0" collapsed="false">
      <c r="O310" s="13"/>
    </row>
    <row r="311" customFormat="false" ht="15" hidden="false" customHeight="true" outlineLevel="0" collapsed="false">
      <c r="O311" s="13"/>
    </row>
    <row r="312" customFormat="false" ht="15" hidden="false" customHeight="true" outlineLevel="0" collapsed="false">
      <c r="O312" s="13"/>
    </row>
    <row r="313" customFormat="false" ht="15" hidden="false" customHeight="true" outlineLevel="0" collapsed="false">
      <c r="O313" s="13"/>
    </row>
    <row r="314" customFormat="false" ht="15" hidden="false" customHeight="true" outlineLevel="0" collapsed="false">
      <c r="O314" s="13"/>
    </row>
    <row r="315" customFormat="false" ht="15" hidden="false" customHeight="true" outlineLevel="0" collapsed="false">
      <c r="O315" s="13"/>
    </row>
    <row r="316" customFormat="false" ht="15" hidden="false" customHeight="true" outlineLevel="0" collapsed="false">
      <c r="O316" s="13"/>
    </row>
    <row r="317" customFormat="false" ht="15" hidden="false" customHeight="true" outlineLevel="0" collapsed="false">
      <c r="O317" s="13"/>
    </row>
    <row r="318" customFormat="false" ht="15" hidden="false" customHeight="true" outlineLevel="0" collapsed="false">
      <c r="O318" s="13"/>
    </row>
    <row r="319" customFormat="false" ht="15" hidden="false" customHeight="true" outlineLevel="0" collapsed="false">
      <c r="O319" s="13"/>
    </row>
    <row r="320" customFormat="false" ht="15" hidden="false" customHeight="true" outlineLevel="0" collapsed="false">
      <c r="O320" s="13"/>
    </row>
    <row r="321" customFormat="false" ht="15" hidden="false" customHeight="true" outlineLevel="0" collapsed="false">
      <c r="O321" s="13"/>
    </row>
    <row r="322" customFormat="false" ht="15" hidden="false" customHeight="true" outlineLevel="0" collapsed="false">
      <c r="O322" s="13"/>
    </row>
    <row r="323" customFormat="false" ht="15" hidden="false" customHeight="true" outlineLevel="0" collapsed="false">
      <c r="O323" s="13"/>
    </row>
    <row r="324" customFormat="false" ht="15" hidden="false" customHeight="true" outlineLevel="0" collapsed="false">
      <c r="O324" s="13"/>
    </row>
    <row r="325" customFormat="false" ht="15" hidden="false" customHeight="true" outlineLevel="0" collapsed="false">
      <c r="O325" s="13"/>
    </row>
    <row r="326" customFormat="false" ht="15" hidden="false" customHeight="true" outlineLevel="0" collapsed="false">
      <c r="O326" s="13"/>
    </row>
    <row r="327" customFormat="false" ht="15" hidden="false" customHeight="true" outlineLevel="0" collapsed="false">
      <c r="O327" s="13"/>
    </row>
    <row r="328" customFormat="false" ht="15" hidden="false" customHeight="true" outlineLevel="0" collapsed="false">
      <c r="O328" s="13"/>
    </row>
    <row r="329" customFormat="false" ht="15" hidden="false" customHeight="true" outlineLevel="0" collapsed="false">
      <c r="O329" s="13"/>
    </row>
    <row r="330" customFormat="false" ht="15" hidden="false" customHeight="true" outlineLevel="0" collapsed="false">
      <c r="O330" s="13"/>
    </row>
    <row r="331" customFormat="false" ht="15" hidden="false" customHeight="true" outlineLevel="0" collapsed="false">
      <c r="O331" s="13"/>
    </row>
    <row r="332" customFormat="false" ht="15" hidden="false" customHeight="true" outlineLevel="0" collapsed="false">
      <c r="O332" s="13"/>
    </row>
    <row r="333" customFormat="false" ht="15" hidden="false" customHeight="true" outlineLevel="0" collapsed="false">
      <c r="O333" s="13"/>
    </row>
    <row r="334" customFormat="false" ht="15" hidden="false" customHeight="true" outlineLevel="0" collapsed="false">
      <c r="O334" s="13"/>
    </row>
    <row r="335" customFormat="false" ht="15" hidden="false" customHeight="true" outlineLevel="0" collapsed="false">
      <c r="O335" s="13"/>
    </row>
    <row r="336" customFormat="false" ht="15" hidden="false" customHeight="true" outlineLevel="0" collapsed="false">
      <c r="O336" s="13"/>
    </row>
    <row r="337" customFormat="false" ht="15" hidden="false" customHeight="true" outlineLevel="0" collapsed="false">
      <c r="O337" s="13"/>
    </row>
    <row r="338" customFormat="false" ht="15" hidden="false" customHeight="true" outlineLevel="0" collapsed="false">
      <c r="O338" s="13"/>
    </row>
    <row r="339" customFormat="false" ht="15" hidden="false" customHeight="true" outlineLevel="0" collapsed="false">
      <c r="O339" s="13"/>
    </row>
    <row r="340" customFormat="false" ht="15" hidden="false" customHeight="true" outlineLevel="0" collapsed="false">
      <c r="O340" s="13"/>
    </row>
    <row r="341" customFormat="false" ht="15" hidden="false" customHeight="true" outlineLevel="0" collapsed="false">
      <c r="O341" s="13"/>
    </row>
    <row r="342" customFormat="false" ht="15" hidden="false" customHeight="true" outlineLevel="0" collapsed="false">
      <c r="O342" s="13"/>
    </row>
    <row r="343" customFormat="false" ht="15" hidden="false" customHeight="true" outlineLevel="0" collapsed="false">
      <c r="O343" s="13"/>
    </row>
    <row r="344" customFormat="false" ht="15" hidden="false" customHeight="true" outlineLevel="0" collapsed="false">
      <c r="O344" s="13"/>
    </row>
    <row r="345" customFormat="false" ht="15" hidden="false" customHeight="true" outlineLevel="0" collapsed="false">
      <c r="O345" s="13"/>
    </row>
    <row r="346" customFormat="false" ht="15" hidden="false" customHeight="true" outlineLevel="0" collapsed="false">
      <c r="O346" s="13"/>
    </row>
    <row r="347" customFormat="false" ht="15" hidden="false" customHeight="true" outlineLevel="0" collapsed="false">
      <c r="O347" s="13"/>
    </row>
    <row r="348" customFormat="false" ht="15" hidden="false" customHeight="true" outlineLevel="0" collapsed="false">
      <c r="O348" s="13"/>
    </row>
    <row r="349" customFormat="false" ht="15" hidden="false" customHeight="true" outlineLevel="0" collapsed="false">
      <c r="O349" s="13"/>
    </row>
    <row r="350" customFormat="false" ht="15" hidden="false" customHeight="true" outlineLevel="0" collapsed="false">
      <c r="O350" s="13"/>
    </row>
    <row r="351" customFormat="false" ht="15" hidden="false" customHeight="true" outlineLevel="0" collapsed="false">
      <c r="O351" s="13"/>
    </row>
    <row r="352" customFormat="false" ht="15" hidden="false" customHeight="true" outlineLevel="0" collapsed="false">
      <c r="O352" s="13"/>
    </row>
    <row r="353" customFormat="false" ht="15" hidden="false" customHeight="true" outlineLevel="0" collapsed="false">
      <c r="O353" s="13"/>
    </row>
    <row r="354" customFormat="false" ht="15" hidden="false" customHeight="true" outlineLevel="0" collapsed="false">
      <c r="O354" s="13"/>
    </row>
    <row r="355" customFormat="false" ht="15" hidden="false" customHeight="true" outlineLevel="0" collapsed="false">
      <c r="O355" s="13"/>
    </row>
    <row r="356" customFormat="false" ht="15" hidden="false" customHeight="true" outlineLevel="0" collapsed="false">
      <c r="O356" s="13"/>
    </row>
    <row r="357" customFormat="false" ht="15" hidden="false" customHeight="true" outlineLevel="0" collapsed="false">
      <c r="O357" s="13"/>
    </row>
    <row r="358" customFormat="false" ht="15" hidden="false" customHeight="true" outlineLevel="0" collapsed="false">
      <c r="O358" s="13"/>
    </row>
    <row r="359" customFormat="false" ht="15" hidden="false" customHeight="true" outlineLevel="0" collapsed="false">
      <c r="O359" s="13"/>
    </row>
    <row r="360" customFormat="false" ht="15" hidden="false" customHeight="true" outlineLevel="0" collapsed="false">
      <c r="O360" s="13"/>
    </row>
    <row r="361" customFormat="false" ht="15" hidden="false" customHeight="true" outlineLevel="0" collapsed="false">
      <c r="O361" s="13"/>
    </row>
    <row r="362" customFormat="false" ht="15" hidden="false" customHeight="true" outlineLevel="0" collapsed="false">
      <c r="O362" s="13"/>
    </row>
    <row r="363" customFormat="false" ht="15" hidden="false" customHeight="true" outlineLevel="0" collapsed="false">
      <c r="O363" s="13"/>
    </row>
    <row r="364" customFormat="false" ht="15" hidden="false" customHeight="true" outlineLevel="0" collapsed="false">
      <c r="O364" s="13"/>
    </row>
    <row r="365" customFormat="false" ht="15" hidden="false" customHeight="true" outlineLevel="0" collapsed="false">
      <c r="O365" s="13"/>
    </row>
    <row r="366" customFormat="false" ht="15" hidden="false" customHeight="true" outlineLevel="0" collapsed="false">
      <c r="O366" s="13"/>
    </row>
    <row r="367" customFormat="false" ht="15" hidden="false" customHeight="true" outlineLevel="0" collapsed="false">
      <c r="O367" s="13"/>
    </row>
    <row r="368" customFormat="false" ht="15" hidden="false" customHeight="true" outlineLevel="0" collapsed="false">
      <c r="O368" s="13"/>
    </row>
    <row r="369" customFormat="false" ht="15" hidden="false" customHeight="true" outlineLevel="0" collapsed="false">
      <c r="O369" s="13"/>
    </row>
    <row r="370" customFormat="false" ht="15" hidden="false" customHeight="true" outlineLevel="0" collapsed="false">
      <c r="O370" s="13"/>
    </row>
    <row r="371" customFormat="false" ht="15" hidden="false" customHeight="true" outlineLevel="0" collapsed="false">
      <c r="O371" s="13"/>
    </row>
    <row r="372" customFormat="false" ht="15" hidden="false" customHeight="true" outlineLevel="0" collapsed="false">
      <c r="O372" s="13"/>
    </row>
    <row r="373" customFormat="false" ht="15" hidden="false" customHeight="true" outlineLevel="0" collapsed="false">
      <c r="O373" s="13"/>
    </row>
    <row r="374" customFormat="false" ht="15" hidden="false" customHeight="true" outlineLevel="0" collapsed="false">
      <c r="O374" s="13"/>
    </row>
    <row r="375" customFormat="false" ht="15" hidden="false" customHeight="true" outlineLevel="0" collapsed="false">
      <c r="O375" s="13"/>
    </row>
    <row r="376" customFormat="false" ht="15" hidden="false" customHeight="true" outlineLevel="0" collapsed="false">
      <c r="O376" s="13"/>
    </row>
    <row r="377" customFormat="false" ht="15" hidden="false" customHeight="true" outlineLevel="0" collapsed="false">
      <c r="O377" s="13"/>
    </row>
    <row r="378" customFormat="false" ht="15" hidden="false" customHeight="true" outlineLevel="0" collapsed="false">
      <c r="O378" s="13"/>
    </row>
    <row r="379" customFormat="false" ht="15" hidden="false" customHeight="true" outlineLevel="0" collapsed="false">
      <c r="O379" s="13"/>
    </row>
    <row r="380" customFormat="false" ht="15" hidden="false" customHeight="true" outlineLevel="0" collapsed="false">
      <c r="O380" s="13"/>
    </row>
    <row r="381" customFormat="false" ht="15" hidden="false" customHeight="true" outlineLevel="0" collapsed="false">
      <c r="O381" s="13"/>
    </row>
    <row r="382" customFormat="false" ht="15" hidden="false" customHeight="true" outlineLevel="0" collapsed="false">
      <c r="O382" s="13"/>
    </row>
    <row r="383" customFormat="false" ht="15" hidden="false" customHeight="true" outlineLevel="0" collapsed="false">
      <c r="O383" s="13"/>
    </row>
    <row r="384" customFormat="false" ht="15" hidden="false" customHeight="true" outlineLevel="0" collapsed="false">
      <c r="O384" s="13"/>
    </row>
    <row r="385" customFormat="false" ht="15" hidden="false" customHeight="true" outlineLevel="0" collapsed="false">
      <c r="O385" s="13"/>
    </row>
    <row r="386" customFormat="false" ht="15" hidden="false" customHeight="true" outlineLevel="0" collapsed="false">
      <c r="O386" s="13"/>
    </row>
    <row r="387" customFormat="false" ht="15" hidden="false" customHeight="true" outlineLevel="0" collapsed="false">
      <c r="O387" s="13"/>
    </row>
    <row r="388" customFormat="false" ht="15" hidden="false" customHeight="true" outlineLevel="0" collapsed="false">
      <c r="O388" s="13"/>
    </row>
    <row r="389" customFormat="false" ht="15" hidden="false" customHeight="true" outlineLevel="0" collapsed="false">
      <c r="O389" s="13"/>
    </row>
    <row r="390" customFormat="false" ht="15" hidden="false" customHeight="true" outlineLevel="0" collapsed="false">
      <c r="O390" s="13"/>
    </row>
    <row r="391" customFormat="false" ht="15" hidden="false" customHeight="true" outlineLevel="0" collapsed="false">
      <c r="O391" s="13"/>
    </row>
    <row r="392" customFormat="false" ht="15" hidden="false" customHeight="true" outlineLevel="0" collapsed="false">
      <c r="O392" s="13"/>
    </row>
    <row r="393" customFormat="false" ht="15" hidden="false" customHeight="true" outlineLevel="0" collapsed="false">
      <c r="O393" s="13"/>
    </row>
    <row r="394" customFormat="false" ht="15" hidden="false" customHeight="true" outlineLevel="0" collapsed="false">
      <c r="O394" s="13"/>
    </row>
    <row r="395" customFormat="false" ht="15" hidden="false" customHeight="true" outlineLevel="0" collapsed="false">
      <c r="O395" s="13"/>
    </row>
    <row r="396" customFormat="false" ht="15" hidden="false" customHeight="true" outlineLevel="0" collapsed="false">
      <c r="O396" s="13"/>
    </row>
    <row r="397" customFormat="false" ht="15" hidden="false" customHeight="true" outlineLevel="0" collapsed="false">
      <c r="O397" s="13"/>
    </row>
    <row r="398" customFormat="false" ht="15" hidden="false" customHeight="true" outlineLevel="0" collapsed="false">
      <c r="O398" s="13"/>
    </row>
    <row r="399" customFormat="false" ht="15" hidden="false" customHeight="true" outlineLevel="0" collapsed="false">
      <c r="O399" s="13"/>
    </row>
    <row r="400" customFormat="false" ht="15" hidden="false" customHeight="true" outlineLevel="0" collapsed="false">
      <c r="O400" s="13"/>
    </row>
    <row r="401" customFormat="false" ht="15" hidden="false" customHeight="true" outlineLevel="0" collapsed="false">
      <c r="O401" s="13"/>
    </row>
    <row r="402" customFormat="false" ht="15" hidden="false" customHeight="true" outlineLevel="0" collapsed="false">
      <c r="O402" s="13"/>
    </row>
    <row r="403" customFormat="false" ht="15" hidden="false" customHeight="true" outlineLevel="0" collapsed="false">
      <c r="O403" s="13"/>
    </row>
    <row r="404" customFormat="false" ht="15" hidden="false" customHeight="true" outlineLevel="0" collapsed="false">
      <c r="O404" s="13"/>
    </row>
    <row r="405" customFormat="false" ht="15" hidden="false" customHeight="true" outlineLevel="0" collapsed="false">
      <c r="O405" s="13"/>
    </row>
    <row r="406" customFormat="false" ht="15" hidden="false" customHeight="true" outlineLevel="0" collapsed="false">
      <c r="O406" s="13"/>
    </row>
    <row r="407" customFormat="false" ht="15" hidden="false" customHeight="true" outlineLevel="0" collapsed="false">
      <c r="O407" s="13"/>
    </row>
    <row r="408" customFormat="false" ht="15" hidden="false" customHeight="true" outlineLevel="0" collapsed="false">
      <c r="O408" s="13"/>
    </row>
    <row r="409" customFormat="false" ht="15" hidden="false" customHeight="true" outlineLevel="0" collapsed="false">
      <c r="O409" s="13"/>
    </row>
    <row r="410" customFormat="false" ht="15" hidden="false" customHeight="true" outlineLevel="0" collapsed="false">
      <c r="O410" s="13"/>
    </row>
    <row r="411" customFormat="false" ht="15" hidden="false" customHeight="true" outlineLevel="0" collapsed="false">
      <c r="O411" s="13"/>
    </row>
    <row r="412" customFormat="false" ht="15" hidden="false" customHeight="true" outlineLevel="0" collapsed="false">
      <c r="O412" s="13"/>
    </row>
    <row r="413" customFormat="false" ht="15" hidden="false" customHeight="true" outlineLevel="0" collapsed="false">
      <c r="O413" s="13"/>
    </row>
    <row r="414" customFormat="false" ht="15" hidden="false" customHeight="true" outlineLevel="0" collapsed="false">
      <c r="O414" s="13"/>
    </row>
    <row r="415" customFormat="false" ht="15" hidden="false" customHeight="true" outlineLevel="0" collapsed="false">
      <c r="O415" s="13"/>
    </row>
    <row r="416" customFormat="false" ht="15" hidden="false" customHeight="true" outlineLevel="0" collapsed="false">
      <c r="O416" s="13"/>
    </row>
    <row r="417" customFormat="false" ht="15" hidden="false" customHeight="true" outlineLevel="0" collapsed="false">
      <c r="O417" s="13"/>
    </row>
    <row r="418" customFormat="false" ht="15" hidden="false" customHeight="true" outlineLevel="0" collapsed="false">
      <c r="O418" s="13"/>
    </row>
    <row r="419" customFormat="false" ht="15" hidden="false" customHeight="true" outlineLevel="0" collapsed="false">
      <c r="O419" s="13"/>
    </row>
    <row r="420" customFormat="false" ht="15" hidden="false" customHeight="true" outlineLevel="0" collapsed="false">
      <c r="O420" s="13"/>
    </row>
    <row r="421" customFormat="false" ht="15" hidden="false" customHeight="true" outlineLevel="0" collapsed="false">
      <c r="O421" s="13"/>
    </row>
    <row r="422" customFormat="false" ht="15" hidden="false" customHeight="true" outlineLevel="0" collapsed="false">
      <c r="O422" s="13"/>
    </row>
    <row r="423" customFormat="false" ht="15" hidden="false" customHeight="true" outlineLevel="0" collapsed="false">
      <c r="O423" s="13"/>
    </row>
    <row r="424" customFormat="false" ht="15" hidden="false" customHeight="true" outlineLevel="0" collapsed="false">
      <c r="O424" s="13"/>
    </row>
    <row r="425" customFormat="false" ht="15" hidden="false" customHeight="true" outlineLevel="0" collapsed="false">
      <c r="O425" s="13"/>
    </row>
    <row r="426" customFormat="false" ht="15" hidden="false" customHeight="true" outlineLevel="0" collapsed="false">
      <c r="O426" s="13"/>
    </row>
    <row r="427" customFormat="false" ht="15" hidden="false" customHeight="true" outlineLevel="0" collapsed="false">
      <c r="O427" s="13"/>
    </row>
    <row r="428" customFormat="false" ht="15" hidden="false" customHeight="true" outlineLevel="0" collapsed="false">
      <c r="O428" s="13"/>
    </row>
    <row r="429" customFormat="false" ht="15" hidden="false" customHeight="true" outlineLevel="0" collapsed="false">
      <c r="O429" s="13"/>
    </row>
    <row r="430" customFormat="false" ht="15" hidden="false" customHeight="true" outlineLevel="0" collapsed="false">
      <c r="O430" s="13"/>
    </row>
    <row r="431" customFormat="false" ht="15" hidden="false" customHeight="true" outlineLevel="0" collapsed="false">
      <c r="O431" s="13"/>
    </row>
    <row r="432" customFormat="false" ht="15" hidden="false" customHeight="true" outlineLevel="0" collapsed="false">
      <c r="O432" s="13"/>
    </row>
    <row r="433" customFormat="false" ht="15" hidden="false" customHeight="true" outlineLevel="0" collapsed="false">
      <c r="O433" s="13"/>
    </row>
    <row r="434" customFormat="false" ht="15" hidden="false" customHeight="true" outlineLevel="0" collapsed="false">
      <c r="O434" s="13"/>
    </row>
    <row r="435" customFormat="false" ht="15" hidden="false" customHeight="true" outlineLevel="0" collapsed="false">
      <c r="O435" s="13"/>
    </row>
    <row r="436" customFormat="false" ht="15" hidden="false" customHeight="true" outlineLevel="0" collapsed="false">
      <c r="O436" s="13"/>
    </row>
    <row r="437" customFormat="false" ht="15" hidden="false" customHeight="true" outlineLevel="0" collapsed="false">
      <c r="O437" s="13"/>
    </row>
    <row r="438" customFormat="false" ht="15" hidden="false" customHeight="true" outlineLevel="0" collapsed="false">
      <c r="O438" s="13"/>
    </row>
    <row r="439" customFormat="false" ht="15" hidden="false" customHeight="true" outlineLevel="0" collapsed="false">
      <c r="O439" s="13"/>
    </row>
    <row r="440" customFormat="false" ht="15" hidden="false" customHeight="true" outlineLevel="0" collapsed="false">
      <c r="O440" s="13"/>
    </row>
    <row r="441" customFormat="false" ht="15" hidden="false" customHeight="true" outlineLevel="0" collapsed="false">
      <c r="O441" s="13"/>
    </row>
    <row r="442" customFormat="false" ht="15" hidden="false" customHeight="true" outlineLevel="0" collapsed="false">
      <c r="O442" s="13"/>
    </row>
    <row r="443" customFormat="false" ht="15" hidden="false" customHeight="true" outlineLevel="0" collapsed="false">
      <c r="O443" s="13"/>
    </row>
    <row r="444" customFormat="false" ht="15" hidden="false" customHeight="true" outlineLevel="0" collapsed="false">
      <c r="O444" s="13"/>
    </row>
    <row r="445" customFormat="false" ht="15" hidden="false" customHeight="true" outlineLevel="0" collapsed="false">
      <c r="O445" s="13"/>
    </row>
    <row r="446" customFormat="false" ht="15" hidden="false" customHeight="true" outlineLevel="0" collapsed="false">
      <c r="O446" s="13"/>
    </row>
    <row r="447" customFormat="false" ht="15" hidden="false" customHeight="true" outlineLevel="0" collapsed="false">
      <c r="O447" s="13"/>
    </row>
    <row r="448" customFormat="false" ht="15" hidden="false" customHeight="true" outlineLevel="0" collapsed="false">
      <c r="O448" s="13"/>
    </row>
    <row r="449" customFormat="false" ht="15" hidden="false" customHeight="true" outlineLevel="0" collapsed="false">
      <c r="O449" s="13"/>
    </row>
    <row r="450" customFormat="false" ht="15" hidden="false" customHeight="true" outlineLevel="0" collapsed="false">
      <c r="O450" s="13"/>
    </row>
    <row r="451" customFormat="false" ht="15" hidden="false" customHeight="true" outlineLevel="0" collapsed="false">
      <c r="O451" s="13"/>
    </row>
    <row r="452" customFormat="false" ht="15" hidden="false" customHeight="true" outlineLevel="0" collapsed="false">
      <c r="O452" s="13"/>
    </row>
    <row r="453" customFormat="false" ht="15" hidden="false" customHeight="true" outlineLevel="0" collapsed="false">
      <c r="O453" s="13"/>
    </row>
    <row r="454" customFormat="false" ht="15" hidden="false" customHeight="true" outlineLevel="0" collapsed="false">
      <c r="O454" s="13"/>
    </row>
    <row r="455" customFormat="false" ht="15" hidden="false" customHeight="true" outlineLevel="0" collapsed="false">
      <c r="O455" s="13"/>
    </row>
    <row r="456" customFormat="false" ht="15" hidden="false" customHeight="true" outlineLevel="0" collapsed="false">
      <c r="O456" s="13"/>
    </row>
    <row r="457" customFormat="false" ht="15" hidden="false" customHeight="true" outlineLevel="0" collapsed="false">
      <c r="O457" s="13"/>
    </row>
    <row r="458" customFormat="false" ht="15" hidden="false" customHeight="true" outlineLevel="0" collapsed="false">
      <c r="O458" s="13"/>
    </row>
    <row r="459" customFormat="false" ht="15" hidden="false" customHeight="true" outlineLevel="0" collapsed="false">
      <c r="O459" s="13"/>
    </row>
    <row r="460" customFormat="false" ht="15" hidden="false" customHeight="true" outlineLevel="0" collapsed="false">
      <c r="O460" s="13"/>
    </row>
    <row r="461" customFormat="false" ht="15" hidden="false" customHeight="true" outlineLevel="0" collapsed="false">
      <c r="O461" s="13"/>
    </row>
    <row r="462" customFormat="false" ht="15" hidden="false" customHeight="true" outlineLevel="0" collapsed="false">
      <c r="O462" s="13"/>
    </row>
    <row r="463" customFormat="false" ht="15" hidden="false" customHeight="true" outlineLevel="0" collapsed="false">
      <c r="O463" s="13"/>
    </row>
    <row r="464" customFormat="false" ht="15" hidden="false" customHeight="true" outlineLevel="0" collapsed="false">
      <c r="O464" s="13"/>
    </row>
    <row r="465" customFormat="false" ht="15" hidden="false" customHeight="true" outlineLevel="0" collapsed="false">
      <c r="O465" s="13"/>
    </row>
    <row r="466" customFormat="false" ht="15" hidden="false" customHeight="true" outlineLevel="0" collapsed="false">
      <c r="O466" s="13"/>
    </row>
    <row r="467" customFormat="false" ht="15" hidden="false" customHeight="true" outlineLevel="0" collapsed="false">
      <c r="O467" s="13"/>
    </row>
    <row r="468" customFormat="false" ht="15" hidden="false" customHeight="true" outlineLevel="0" collapsed="false">
      <c r="O468" s="13"/>
    </row>
    <row r="469" customFormat="false" ht="15" hidden="false" customHeight="true" outlineLevel="0" collapsed="false">
      <c r="O469" s="13"/>
    </row>
    <row r="470" customFormat="false" ht="15" hidden="false" customHeight="true" outlineLevel="0" collapsed="false">
      <c r="O470" s="13"/>
    </row>
    <row r="471" customFormat="false" ht="15" hidden="false" customHeight="true" outlineLevel="0" collapsed="false">
      <c r="O471" s="13"/>
    </row>
    <row r="472" customFormat="false" ht="15" hidden="false" customHeight="true" outlineLevel="0" collapsed="false">
      <c r="O472" s="13"/>
    </row>
    <row r="473" customFormat="false" ht="15" hidden="false" customHeight="true" outlineLevel="0" collapsed="false">
      <c r="O473" s="13"/>
    </row>
    <row r="474" customFormat="false" ht="15" hidden="false" customHeight="true" outlineLevel="0" collapsed="false">
      <c r="O474" s="13"/>
    </row>
    <row r="475" customFormat="false" ht="15" hidden="false" customHeight="true" outlineLevel="0" collapsed="false">
      <c r="O475" s="13"/>
    </row>
    <row r="476" customFormat="false" ht="15" hidden="false" customHeight="true" outlineLevel="0" collapsed="false">
      <c r="O476" s="13"/>
    </row>
    <row r="477" customFormat="false" ht="15" hidden="false" customHeight="true" outlineLevel="0" collapsed="false">
      <c r="O477" s="13"/>
    </row>
    <row r="478" customFormat="false" ht="15" hidden="false" customHeight="true" outlineLevel="0" collapsed="false">
      <c r="O478" s="13"/>
    </row>
    <row r="479" customFormat="false" ht="15" hidden="false" customHeight="true" outlineLevel="0" collapsed="false">
      <c r="O479" s="13"/>
    </row>
    <row r="480" customFormat="false" ht="15" hidden="false" customHeight="true" outlineLevel="0" collapsed="false">
      <c r="O480" s="13"/>
    </row>
    <row r="481" customFormat="false" ht="15" hidden="false" customHeight="true" outlineLevel="0" collapsed="false">
      <c r="O481" s="13"/>
    </row>
    <row r="482" customFormat="false" ht="15" hidden="false" customHeight="true" outlineLevel="0" collapsed="false">
      <c r="O482" s="13"/>
    </row>
    <row r="483" customFormat="false" ht="15" hidden="false" customHeight="true" outlineLevel="0" collapsed="false">
      <c r="O483" s="13"/>
    </row>
    <row r="484" customFormat="false" ht="15" hidden="false" customHeight="true" outlineLevel="0" collapsed="false">
      <c r="O484" s="13"/>
    </row>
    <row r="485" customFormat="false" ht="15" hidden="false" customHeight="true" outlineLevel="0" collapsed="false">
      <c r="O485" s="13"/>
    </row>
    <row r="486" customFormat="false" ht="15" hidden="false" customHeight="true" outlineLevel="0" collapsed="false">
      <c r="O486" s="13"/>
    </row>
    <row r="487" customFormat="false" ht="15" hidden="false" customHeight="true" outlineLevel="0" collapsed="false">
      <c r="O487" s="13"/>
    </row>
    <row r="488" customFormat="false" ht="15" hidden="false" customHeight="true" outlineLevel="0" collapsed="false">
      <c r="O488" s="13"/>
    </row>
    <row r="489" customFormat="false" ht="15" hidden="false" customHeight="true" outlineLevel="0" collapsed="false">
      <c r="O489" s="13"/>
    </row>
    <row r="490" customFormat="false" ht="15" hidden="false" customHeight="true" outlineLevel="0" collapsed="false">
      <c r="O490" s="13"/>
    </row>
    <row r="491" customFormat="false" ht="15" hidden="false" customHeight="true" outlineLevel="0" collapsed="false">
      <c r="O491" s="13"/>
    </row>
    <row r="492" customFormat="false" ht="15" hidden="false" customHeight="true" outlineLevel="0" collapsed="false">
      <c r="O492" s="13"/>
    </row>
    <row r="493" customFormat="false" ht="15" hidden="false" customHeight="true" outlineLevel="0" collapsed="false">
      <c r="O493" s="13"/>
    </row>
    <row r="494" customFormat="false" ht="15" hidden="false" customHeight="true" outlineLevel="0" collapsed="false">
      <c r="O494" s="13"/>
    </row>
    <row r="495" customFormat="false" ht="15" hidden="false" customHeight="true" outlineLevel="0" collapsed="false">
      <c r="O495" s="13"/>
    </row>
    <row r="496" customFormat="false" ht="15" hidden="false" customHeight="true" outlineLevel="0" collapsed="false">
      <c r="O496" s="13"/>
    </row>
    <row r="497" customFormat="false" ht="15" hidden="false" customHeight="true" outlineLevel="0" collapsed="false">
      <c r="O497" s="13"/>
    </row>
    <row r="498" customFormat="false" ht="15" hidden="false" customHeight="true" outlineLevel="0" collapsed="false">
      <c r="O498" s="13"/>
    </row>
    <row r="499" customFormat="false" ht="15" hidden="false" customHeight="true" outlineLevel="0" collapsed="false">
      <c r="O499" s="13"/>
    </row>
    <row r="500" customFormat="false" ht="15" hidden="false" customHeight="true" outlineLevel="0" collapsed="false">
      <c r="O500" s="13"/>
    </row>
    <row r="501" customFormat="false" ht="15" hidden="false" customHeight="true" outlineLevel="0" collapsed="false">
      <c r="O501" s="13"/>
    </row>
    <row r="502" customFormat="false" ht="15" hidden="false" customHeight="true" outlineLevel="0" collapsed="false">
      <c r="O502" s="13"/>
    </row>
    <row r="503" customFormat="false" ht="15" hidden="false" customHeight="true" outlineLevel="0" collapsed="false">
      <c r="O503" s="13"/>
    </row>
    <row r="504" customFormat="false" ht="15" hidden="false" customHeight="true" outlineLevel="0" collapsed="false">
      <c r="O504" s="13"/>
    </row>
    <row r="505" customFormat="false" ht="15" hidden="false" customHeight="true" outlineLevel="0" collapsed="false">
      <c r="O505" s="13"/>
    </row>
    <row r="506" customFormat="false" ht="15" hidden="false" customHeight="true" outlineLevel="0" collapsed="false">
      <c r="O506" s="13"/>
    </row>
    <row r="507" customFormat="false" ht="15" hidden="false" customHeight="true" outlineLevel="0" collapsed="false">
      <c r="O507" s="13"/>
    </row>
    <row r="508" customFormat="false" ht="15" hidden="false" customHeight="true" outlineLevel="0" collapsed="false">
      <c r="O508" s="13"/>
    </row>
    <row r="509" customFormat="false" ht="15" hidden="false" customHeight="true" outlineLevel="0" collapsed="false">
      <c r="O509" s="13"/>
    </row>
    <row r="510" customFormat="false" ht="15" hidden="false" customHeight="true" outlineLevel="0" collapsed="false">
      <c r="O510" s="13"/>
    </row>
    <row r="511" customFormat="false" ht="15" hidden="false" customHeight="true" outlineLevel="0" collapsed="false">
      <c r="O511" s="13"/>
    </row>
    <row r="512" customFormat="false" ht="15" hidden="false" customHeight="true" outlineLevel="0" collapsed="false">
      <c r="O512" s="13"/>
    </row>
    <row r="513" customFormat="false" ht="15" hidden="false" customHeight="true" outlineLevel="0" collapsed="false">
      <c r="O513" s="13"/>
    </row>
    <row r="514" customFormat="false" ht="15" hidden="false" customHeight="true" outlineLevel="0" collapsed="false">
      <c r="O514" s="13"/>
    </row>
    <row r="515" customFormat="false" ht="15" hidden="false" customHeight="true" outlineLevel="0" collapsed="false">
      <c r="O515" s="13"/>
    </row>
    <row r="516" customFormat="false" ht="15" hidden="false" customHeight="true" outlineLevel="0" collapsed="false">
      <c r="O516" s="13"/>
    </row>
    <row r="517" customFormat="false" ht="15" hidden="false" customHeight="true" outlineLevel="0" collapsed="false">
      <c r="O517" s="13"/>
    </row>
    <row r="518" customFormat="false" ht="15" hidden="false" customHeight="true" outlineLevel="0" collapsed="false">
      <c r="O518" s="13"/>
    </row>
    <row r="519" customFormat="false" ht="15" hidden="false" customHeight="true" outlineLevel="0" collapsed="false">
      <c r="O519" s="13"/>
    </row>
    <row r="520" customFormat="false" ht="15" hidden="false" customHeight="true" outlineLevel="0" collapsed="false">
      <c r="O520" s="13"/>
    </row>
    <row r="521" customFormat="false" ht="15" hidden="false" customHeight="true" outlineLevel="0" collapsed="false">
      <c r="O521" s="13"/>
    </row>
    <row r="522" customFormat="false" ht="15" hidden="false" customHeight="true" outlineLevel="0" collapsed="false">
      <c r="O522" s="13"/>
    </row>
    <row r="523" customFormat="false" ht="15" hidden="false" customHeight="true" outlineLevel="0" collapsed="false">
      <c r="O523" s="13"/>
    </row>
    <row r="524" customFormat="false" ht="15" hidden="false" customHeight="true" outlineLevel="0" collapsed="false">
      <c r="O524" s="13"/>
    </row>
    <row r="525" customFormat="false" ht="15" hidden="false" customHeight="true" outlineLevel="0" collapsed="false">
      <c r="O525" s="13"/>
    </row>
    <row r="526" customFormat="false" ht="15" hidden="false" customHeight="true" outlineLevel="0" collapsed="false">
      <c r="O526" s="13"/>
    </row>
    <row r="527" customFormat="false" ht="15" hidden="false" customHeight="true" outlineLevel="0" collapsed="false">
      <c r="O527" s="13"/>
    </row>
    <row r="528" customFormat="false" ht="15" hidden="false" customHeight="true" outlineLevel="0" collapsed="false">
      <c r="O528" s="13"/>
    </row>
    <row r="529" customFormat="false" ht="15" hidden="false" customHeight="true" outlineLevel="0" collapsed="false">
      <c r="O529" s="13"/>
    </row>
    <row r="530" customFormat="false" ht="15" hidden="false" customHeight="true" outlineLevel="0" collapsed="false">
      <c r="O530" s="13"/>
    </row>
    <row r="531" customFormat="false" ht="15" hidden="false" customHeight="true" outlineLevel="0" collapsed="false">
      <c r="O531" s="13"/>
    </row>
    <row r="532" customFormat="false" ht="15" hidden="false" customHeight="true" outlineLevel="0" collapsed="false">
      <c r="O532" s="13"/>
    </row>
    <row r="533" customFormat="false" ht="15" hidden="false" customHeight="true" outlineLevel="0" collapsed="false">
      <c r="O533" s="13"/>
    </row>
    <row r="534" customFormat="false" ht="15" hidden="false" customHeight="true" outlineLevel="0" collapsed="false">
      <c r="O534" s="13"/>
    </row>
    <row r="535" customFormat="false" ht="15" hidden="false" customHeight="true" outlineLevel="0" collapsed="false">
      <c r="O535" s="13"/>
    </row>
    <row r="536" customFormat="false" ht="15" hidden="false" customHeight="true" outlineLevel="0" collapsed="false">
      <c r="O536" s="13"/>
    </row>
    <row r="537" customFormat="false" ht="15" hidden="false" customHeight="true" outlineLevel="0" collapsed="false">
      <c r="O537" s="13"/>
    </row>
    <row r="538" customFormat="false" ht="15" hidden="false" customHeight="true" outlineLevel="0" collapsed="false">
      <c r="O538" s="13"/>
    </row>
    <row r="539" customFormat="false" ht="15" hidden="false" customHeight="true" outlineLevel="0" collapsed="false">
      <c r="O539" s="13"/>
    </row>
    <row r="540" customFormat="false" ht="15" hidden="false" customHeight="true" outlineLevel="0" collapsed="false">
      <c r="O540" s="13"/>
    </row>
    <row r="541" customFormat="false" ht="15" hidden="false" customHeight="true" outlineLevel="0" collapsed="false">
      <c r="O541" s="13"/>
    </row>
    <row r="542" customFormat="false" ht="15" hidden="false" customHeight="true" outlineLevel="0" collapsed="false">
      <c r="O542" s="13"/>
    </row>
    <row r="543" customFormat="false" ht="15" hidden="false" customHeight="true" outlineLevel="0" collapsed="false">
      <c r="O543" s="13"/>
    </row>
    <row r="544" customFormat="false" ht="15" hidden="false" customHeight="true" outlineLevel="0" collapsed="false">
      <c r="O544" s="13"/>
    </row>
    <row r="545" customFormat="false" ht="15" hidden="false" customHeight="true" outlineLevel="0" collapsed="false">
      <c r="O545" s="13"/>
    </row>
    <row r="546" customFormat="false" ht="15" hidden="false" customHeight="true" outlineLevel="0" collapsed="false">
      <c r="O546" s="13"/>
    </row>
    <row r="547" customFormat="false" ht="15" hidden="false" customHeight="true" outlineLevel="0" collapsed="false">
      <c r="O547" s="13"/>
    </row>
    <row r="548" customFormat="false" ht="15" hidden="false" customHeight="true" outlineLevel="0" collapsed="false">
      <c r="O548" s="13"/>
    </row>
    <row r="549" customFormat="false" ht="15" hidden="false" customHeight="true" outlineLevel="0" collapsed="false">
      <c r="O549" s="13"/>
    </row>
    <row r="550" customFormat="false" ht="15" hidden="false" customHeight="true" outlineLevel="0" collapsed="false">
      <c r="O550" s="13"/>
    </row>
    <row r="551" customFormat="false" ht="15" hidden="false" customHeight="true" outlineLevel="0" collapsed="false">
      <c r="O551" s="13"/>
    </row>
    <row r="552" customFormat="false" ht="15" hidden="false" customHeight="true" outlineLevel="0" collapsed="false">
      <c r="O552" s="13"/>
    </row>
    <row r="553" customFormat="false" ht="15" hidden="false" customHeight="true" outlineLevel="0" collapsed="false">
      <c r="O553" s="13"/>
    </row>
    <row r="554" customFormat="false" ht="15" hidden="false" customHeight="true" outlineLevel="0" collapsed="false">
      <c r="O554" s="13"/>
    </row>
    <row r="555" customFormat="false" ht="15" hidden="false" customHeight="true" outlineLevel="0" collapsed="false">
      <c r="O555" s="13"/>
    </row>
    <row r="556" customFormat="false" ht="15" hidden="false" customHeight="true" outlineLevel="0" collapsed="false">
      <c r="O556" s="13"/>
    </row>
    <row r="557" customFormat="false" ht="15" hidden="false" customHeight="true" outlineLevel="0" collapsed="false">
      <c r="O557" s="13"/>
    </row>
    <row r="558" customFormat="false" ht="15" hidden="false" customHeight="true" outlineLevel="0" collapsed="false">
      <c r="O558" s="13"/>
    </row>
    <row r="559" customFormat="false" ht="15" hidden="false" customHeight="true" outlineLevel="0" collapsed="false">
      <c r="O559" s="13"/>
    </row>
    <row r="560" customFormat="false" ht="15" hidden="false" customHeight="true" outlineLevel="0" collapsed="false">
      <c r="O560" s="13"/>
    </row>
    <row r="561" customFormat="false" ht="15" hidden="false" customHeight="true" outlineLevel="0" collapsed="false">
      <c r="O561" s="13"/>
    </row>
    <row r="562" customFormat="false" ht="15" hidden="false" customHeight="true" outlineLevel="0" collapsed="false">
      <c r="O562" s="13"/>
    </row>
    <row r="563" customFormat="false" ht="15" hidden="false" customHeight="true" outlineLevel="0" collapsed="false">
      <c r="O563" s="13"/>
    </row>
    <row r="564" customFormat="false" ht="15" hidden="false" customHeight="true" outlineLevel="0" collapsed="false">
      <c r="O564" s="13"/>
    </row>
    <row r="565" customFormat="false" ht="15" hidden="false" customHeight="true" outlineLevel="0" collapsed="false">
      <c r="O565" s="13"/>
    </row>
    <row r="566" customFormat="false" ht="15" hidden="false" customHeight="true" outlineLevel="0" collapsed="false">
      <c r="O566" s="13"/>
    </row>
    <row r="567" customFormat="false" ht="15" hidden="false" customHeight="true" outlineLevel="0" collapsed="false">
      <c r="O567" s="13"/>
    </row>
    <row r="568" customFormat="false" ht="15" hidden="false" customHeight="true" outlineLevel="0" collapsed="false">
      <c r="O568" s="13"/>
    </row>
    <row r="569" customFormat="false" ht="15" hidden="false" customHeight="true" outlineLevel="0" collapsed="false">
      <c r="O569" s="13"/>
    </row>
    <row r="570" customFormat="false" ht="15" hidden="false" customHeight="true" outlineLevel="0" collapsed="false">
      <c r="O570" s="13"/>
    </row>
    <row r="571" customFormat="false" ht="15" hidden="false" customHeight="true" outlineLevel="0" collapsed="false">
      <c r="O571" s="13"/>
    </row>
    <row r="572" customFormat="false" ht="15" hidden="false" customHeight="true" outlineLevel="0" collapsed="false">
      <c r="O572" s="13"/>
    </row>
    <row r="573" customFormat="false" ht="15" hidden="false" customHeight="true" outlineLevel="0" collapsed="false">
      <c r="O573" s="13"/>
    </row>
    <row r="574" customFormat="false" ht="15" hidden="false" customHeight="true" outlineLevel="0" collapsed="false">
      <c r="O574" s="13"/>
    </row>
    <row r="575" customFormat="false" ht="15" hidden="false" customHeight="true" outlineLevel="0" collapsed="false">
      <c r="O575" s="13"/>
    </row>
    <row r="576" customFormat="false" ht="15" hidden="false" customHeight="true" outlineLevel="0" collapsed="false">
      <c r="O576" s="13"/>
    </row>
    <row r="577" customFormat="false" ht="15" hidden="false" customHeight="true" outlineLevel="0" collapsed="false">
      <c r="O577" s="13"/>
    </row>
    <row r="578" customFormat="false" ht="15" hidden="false" customHeight="true" outlineLevel="0" collapsed="false">
      <c r="O578" s="13"/>
    </row>
    <row r="579" customFormat="false" ht="15" hidden="false" customHeight="true" outlineLevel="0" collapsed="false">
      <c r="O579" s="13"/>
    </row>
    <row r="580" customFormat="false" ht="15" hidden="false" customHeight="true" outlineLevel="0" collapsed="false">
      <c r="O580" s="13"/>
    </row>
    <row r="581" customFormat="false" ht="15" hidden="false" customHeight="true" outlineLevel="0" collapsed="false">
      <c r="O581" s="13"/>
    </row>
    <row r="582" customFormat="false" ht="15" hidden="false" customHeight="true" outlineLevel="0" collapsed="false">
      <c r="O582" s="13"/>
    </row>
    <row r="583" customFormat="false" ht="15" hidden="false" customHeight="true" outlineLevel="0" collapsed="false">
      <c r="O583" s="13"/>
    </row>
    <row r="584" customFormat="false" ht="15" hidden="false" customHeight="true" outlineLevel="0" collapsed="false">
      <c r="O584" s="13"/>
    </row>
    <row r="585" customFormat="false" ht="15" hidden="false" customHeight="true" outlineLevel="0" collapsed="false">
      <c r="O585" s="13"/>
    </row>
    <row r="586" customFormat="false" ht="15" hidden="false" customHeight="true" outlineLevel="0" collapsed="false">
      <c r="O586" s="13"/>
    </row>
    <row r="587" customFormat="false" ht="15" hidden="false" customHeight="true" outlineLevel="0" collapsed="false">
      <c r="O587" s="13"/>
    </row>
    <row r="588" customFormat="false" ht="15" hidden="false" customHeight="true" outlineLevel="0" collapsed="false">
      <c r="O588" s="13"/>
    </row>
    <row r="589" customFormat="false" ht="15" hidden="false" customHeight="true" outlineLevel="0" collapsed="false">
      <c r="O589" s="13"/>
    </row>
    <row r="590" customFormat="false" ht="15" hidden="false" customHeight="true" outlineLevel="0" collapsed="false">
      <c r="O590" s="13"/>
    </row>
    <row r="591" customFormat="false" ht="15" hidden="false" customHeight="true" outlineLevel="0" collapsed="false">
      <c r="O591" s="13"/>
    </row>
    <row r="592" customFormat="false" ht="15" hidden="false" customHeight="true" outlineLevel="0" collapsed="false">
      <c r="O592" s="13"/>
    </row>
    <row r="593" customFormat="false" ht="15" hidden="false" customHeight="true" outlineLevel="0" collapsed="false">
      <c r="O593" s="13"/>
    </row>
    <row r="594" customFormat="false" ht="15" hidden="false" customHeight="true" outlineLevel="0" collapsed="false">
      <c r="O594" s="13"/>
    </row>
    <row r="595" customFormat="false" ht="15" hidden="false" customHeight="true" outlineLevel="0" collapsed="false">
      <c r="O595" s="13"/>
    </row>
    <row r="596" customFormat="false" ht="15" hidden="false" customHeight="true" outlineLevel="0" collapsed="false">
      <c r="O596" s="13"/>
    </row>
    <row r="597" customFormat="false" ht="15" hidden="false" customHeight="true" outlineLevel="0" collapsed="false">
      <c r="O597" s="13"/>
    </row>
    <row r="598" customFormat="false" ht="15" hidden="false" customHeight="true" outlineLevel="0" collapsed="false">
      <c r="O598" s="13"/>
    </row>
    <row r="599" customFormat="false" ht="15" hidden="false" customHeight="true" outlineLevel="0" collapsed="false">
      <c r="O599" s="13"/>
    </row>
    <row r="600" customFormat="false" ht="15" hidden="false" customHeight="true" outlineLevel="0" collapsed="false">
      <c r="O600" s="13"/>
    </row>
    <row r="601" customFormat="false" ht="15" hidden="false" customHeight="true" outlineLevel="0" collapsed="false">
      <c r="O601" s="13"/>
    </row>
    <row r="602" customFormat="false" ht="15" hidden="false" customHeight="true" outlineLevel="0" collapsed="false">
      <c r="O602" s="13"/>
    </row>
    <row r="603" customFormat="false" ht="15" hidden="false" customHeight="true" outlineLevel="0" collapsed="false">
      <c r="O603" s="13"/>
    </row>
    <row r="604" customFormat="false" ht="15" hidden="false" customHeight="true" outlineLevel="0" collapsed="false">
      <c r="O604" s="13"/>
    </row>
    <row r="605" customFormat="false" ht="15" hidden="false" customHeight="true" outlineLevel="0" collapsed="false">
      <c r="O605" s="13"/>
    </row>
    <row r="606" customFormat="false" ht="15" hidden="false" customHeight="true" outlineLevel="0" collapsed="false">
      <c r="O606" s="13"/>
    </row>
    <row r="607" customFormat="false" ht="15" hidden="false" customHeight="true" outlineLevel="0" collapsed="false">
      <c r="O607" s="13"/>
    </row>
    <row r="608" customFormat="false" ht="15" hidden="false" customHeight="true" outlineLevel="0" collapsed="false">
      <c r="O608" s="13"/>
    </row>
    <row r="609" customFormat="false" ht="15" hidden="false" customHeight="true" outlineLevel="0" collapsed="false">
      <c r="O609" s="13"/>
    </row>
    <row r="610" customFormat="false" ht="15" hidden="false" customHeight="true" outlineLevel="0" collapsed="false">
      <c r="O610" s="13"/>
    </row>
    <row r="611" customFormat="false" ht="15" hidden="false" customHeight="true" outlineLevel="0" collapsed="false">
      <c r="O611" s="13"/>
    </row>
    <row r="612" customFormat="false" ht="15" hidden="false" customHeight="true" outlineLevel="0" collapsed="false">
      <c r="O612" s="13"/>
    </row>
    <row r="613" customFormat="false" ht="15" hidden="false" customHeight="true" outlineLevel="0" collapsed="false">
      <c r="O613" s="13"/>
    </row>
    <row r="614" customFormat="false" ht="15" hidden="false" customHeight="true" outlineLevel="0" collapsed="false">
      <c r="O614" s="13"/>
    </row>
    <row r="615" customFormat="false" ht="15" hidden="false" customHeight="true" outlineLevel="0" collapsed="false">
      <c r="O615" s="13"/>
    </row>
    <row r="616" customFormat="false" ht="15" hidden="false" customHeight="true" outlineLevel="0" collapsed="false">
      <c r="O616" s="13"/>
    </row>
    <row r="617" customFormat="false" ht="15" hidden="false" customHeight="true" outlineLevel="0" collapsed="false">
      <c r="O617" s="13"/>
    </row>
    <row r="618" customFormat="false" ht="15" hidden="false" customHeight="true" outlineLevel="0" collapsed="false">
      <c r="O618" s="13"/>
    </row>
    <row r="619" customFormat="false" ht="15" hidden="false" customHeight="true" outlineLevel="0" collapsed="false">
      <c r="O619" s="13"/>
    </row>
    <row r="620" customFormat="false" ht="15" hidden="false" customHeight="true" outlineLevel="0" collapsed="false">
      <c r="O620" s="13"/>
    </row>
    <row r="621" customFormat="false" ht="15" hidden="false" customHeight="true" outlineLevel="0" collapsed="false">
      <c r="O621" s="13"/>
    </row>
    <row r="622" customFormat="false" ht="15" hidden="false" customHeight="true" outlineLevel="0" collapsed="false">
      <c r="O622" s="13"/>
    </row>
    <row r="623" customFormat="false" ht="15" hidden="false" customHeight="true" outlineLevel="0" collapsed="false">
      <c r="O623" s="13"/>
    </row>
    <row r="624" customFormat="false" ht="15" hidden="false" customHeight="true" outlineLevel="0" collapsed="false">
      <c r="O624" s="13"/>
    </row>
    <row r="625" customFormat="false" ht="15" hidden="false" customHeight="true" outlineLevel="0" collapsed="false">
      <c r="O625" s="13"/>
    </row>
    <row r="626" customFormat="false" ht="15" hidden="false" customHeight="true" outlineLevel="0" collapsed="false">
      <c r="O626" s="13"/>
    </row>
    <row r="627" customFormat="false" ht="15" hidden="false" customHeight="true" outlineLevel="0" collapsed="false">
      <c r="O627" s="13"/>
    </row>
    <row r="628" customFormat="false" ht="15" hidden="false" customHeight="true" outlineLevel="0" collapsed="false">
      <c r="O628" s="13"/>
    </row>
    <row r="629" customFormat="false" ht="15" hidden="false" customHeight="true" outlineLevel="0" collapsed="false">
      <c r="O629" s="13"/>
    </row>
    <row r="630" customFormat="false" ht="15" hidden="false" customHeight="true" outlineLevel="0" collapsed="false">
      <c r="O630" s="13"/>
    </row>
    <row r="631" customFormat="false" ht="15" hidden="false" customHeight="true" outlineLevel="0" collapsed="false">
      <c r="O631" s="13"/>
    </row>
    <row r="632" customFormat="false" ht="15" hidden="false" customHeight="true" outlineLevel="0" collapsed="false">
      <c r="O632" s="13"/>
    </row>
    <row r="633" customFormat="false" ht="15" hidden="false" customHeight="true" outlineLevel="0" collapsed="false">
      <c r="O633" s="13"/>
    </row>
    <row r="634" customFormat="false" ht="15" hidden="false" customHeight="true" outlineLevel="0" collapsed="false">
      <c r="O634" s="13"/>
    </row>
    <row r="635" customFormat="false" ht="15" hidden="false" customHeight="true" outlineLevel="0" collapsed="false">
      <c r="O635" s="13"/>
    </row>
    <row r="636" customFormat="false" ht="15" hidden="false" customHeight="true" outlineLevel="0" collapsed="false">
      <c r="O636" s="13"/>
    </row>
    <row r="637" customFormat="false" ht="15" hidden="false" customHeight="true" outlineLevel="0" collapsed="false">
      <c r="O637" s="13"/>
    </row>
    <row r="638" customFormat="false" ht="15" hidden="false" customHeight="true" outlineLevel="0" collapsed="false">
      <c r="O638" s="13"/>
    </row>
    <row r="639" customFormat="false" ht="15" hidden="false" customHeight="true" outlineLevel="0" collapsed="false">
      <c r="O639" s="13"/>
    </row>
    <row r="640" customFormat="false" ht="15" hidden="false" customHeight="true" outlineLevel="0" collapsed="false">
      <c r="O640" s="13"/>
    </row>
    <row r="641" customFormat="false" ht="15" hidden="false" customHeight="true" outlineLevel="0" collapsed="false">
      <c r="O641" s="13"/>
    </row>
    <row r="642" customFormat="false" ht="15" hidden="false" customHeight="true" outlineLevel="0" collapsed="false">
      <c r="O642" s="13"/>
    </row>
    <row r="643" customFormat="false" ht="15" hidden="false" customHeight="true" outlineLevel="0" collapsed="false">
      <c r="O643" s="13"/>
    </row>
    <row r="644" customFormat="false" ht="15" hidden="false" customHeight="true" outlineLevel="0" collapsed="false">
      <c r="O644" s="13"/>
    </row>
    <row r="645" customFormat="false" ht="15" hidden="false" customHeight="true" outlineLevel="0" collapsed="false">
      <c r="O645" s="13"/>
    </row>
    <row r="646" customFormat="false" ht="15" hidden="false" customHeight="true" outlineLevel="0" collapsed="false">
      <c r="O646" s="13"/>
    </row>
    <row r="647" customFormat="false" ht="15" hidden="false" customHeight="true" outlineLevel="0" collapsed="false">
      <c r="O647" s="13"/>
    </row>
    <row r="648" customFormat="false" ht="15" hidden="false" customHeight="true" outlineLevel="0" collapsed="false">
      <c r="O648" s="13"/>
    </row>
    <row r="649" customFormat="false" ht="15" hidden="false" customHeight="true" outlineLevel="0" collapsed="false">
      <c r="O649" s="13"/>
    </row>
    <row r="650" customFormat="false" ht="15" hidden="false" customHeight="true" outlineLevel="0" collapsed="false">
      <c r="O650" s="13"/>
    </row>
    <row r="651" customFormat="false" ht="15" hidden="false" customHeight="true" outlineLevel="0" collapsed="false">
      <c r="O651" s="13"/>
    </row>
    <row r="652" customFormat="false" ht="15" hidden="false" customHeight="true" outlineLevel="0" collapsed="false">
      <c r="O652" s="13"/>
    </row>
    <row r="653" customFormat="false" ht="15" hidden="false" customHeight="true" outlineLevel="0" collapsed="false">
      <c r="O653" s="13"/>
    </row>
    <row r="654" customFormat="false" ht="15" hidden="false" customHeight="true" outlineLevel="0" collapsed="false">
      <c r="O654" s="13"/>
    </row>
    <row r="655" customFormat="false" ht="15" hidden="false" customHeight="true" outlineLevel="0" collapsed="false">
      <c r="O655" s="13"/>
    </row>
    <row r="656" customFormat="false" ht="15" hidden="false" customHeight="true" outlineLevel="0" collapsed="false">
      <c r="O656" s="13"/>
    </row>
    <row r="657" customFormat="false" ht="15" hidden="false" customHeight="true" outlineLevel="0" collapsed="false">
      <c r="O657" s="13"/>
    </row>
    <row r="658" customFormat="false" ht="15" hidden="false" customHeight="true" outlineLevel="0" collapsed="false">
      <c r="O658" s="13"/>
    </row>
    <row r="659" customFormat="false" ht="15" hidden="false" customHeight="true" outlineLevel="0" collapsed="false">
      <c r="O659" s="13"/>
    </row>
    <row r="660" customFormat="false" ht="15" hidden="false" customHeight="true" outlineLevel="0" collapsed="false">
      <c r="O660" s="13"/>
    </row>
    <row r="661" customFormat="false" ht="15" hidden="false" customHeight="true" outlineLevel="0" collapsed="false">
      <c r="O661" s="13"/>
    </row>
    <row r="662" customFormat="false" ht="15" hidden="false" customHeight="true" outlineLevel="0" collapsed="false">
      <c r="O662" s="13"/>
    </row>
    <row r="663" customFormat="false" ht="15" hidden="false" customHeight="true" outlineLevel="0" collapsed="false">
      <c r="O663" s="13"/>
    </row>
    <row r="664" customFormat="false" ht="15" hidden="false" customHeight="true" outlineLevel="0" collapsed="false">
      <c r="O664" s="13"/>
    </row>
    <row r="665" customFormat="false" ht="15" hidden="false" customHeight="true" outlineLevel="0" collapsed="false">
      <c r="O665" s="13"/>
    </row>
    <row r="666" customFormat="false" ht="15" hidden="false" customHeight="true" outlineLevel="0" collapsed="false">
      <c r="O666" s="13"/>
    </row>
    <row r="667" customFormat="false" ht="15" hidden="false" customHeight="true" outlineLevel="0" collapsed="false">
      <c r="O667" s="13"/>
    </row>
    <row r="668" customFormat="false" ht="15" hidden="false" customHeight="true" outlineLevel="0" collapsed="false">
      <c r="O668" s="13"/>
    </row>
    <row r="669" customFormat="false" ht="15" hidden="false" customHeight="true" outlineLevel="0" collapsed="false">
      <c r="O669" s="13"/>
    </row>
    <row r="670" customFormat="false" ht="15" hidden="false" customHeight="true" outlineLevel="0" collapsed="false">
      <c r="O670" s="13"/>
    </row>
    <row r="671" customFormat="false" ht="15" hidden="false" customHeight="true" outlineLevel="0" collapsed="false">
      <c r="O671" s="13"/>
    </row>
    <row r="672" customFormat="false" ht="15" hidden="false" customHeight="true" outlineLevel="0" collapsed="false">
      <c r="O672" s="13"/>
    </row>
    <row r="673" customFormat="false" ht="15" hidden="false" customHeight="true" outlineLevel="0" collapsed="false">
      <c r="O673" s="13"/>
    </row>
    <row r="674" customFormat="false" ht="15" hidden="false" customHeight="true" outlineLevel="0" collapsed="false">
      <c r="O674" s="13"/>
    </row>
    <row r="675" customFormat="false" ht="15" hidden="false" customHeight="true" outlineLevel="0" collapsed="false">
      <c r="O675" s="13"/>
    </row>
    <row r="676" customFormat="false" ht="15" hidden="false" customHeight="true" outlineLevel="0" collapsed="false">
      <c r="O676" s="13"/>
    </row>
    <row r="677" customFormat="false" ht="15" hidden="false" customHeight="true" outlineLevel="0" collapsed="false">
      <c r="O677" s="13"/>
    </row>
    <row r="678" customFormat="false" ht="15" hidden="false" customHeight="true" outlineLevel="0" collapsed="false">
      <c r="O678" s="13"/>
    </row>
    <row r="679" customFormat="false" ht="15" hidden="false" customHeight="true" outlineLevel="0" collapsed="false">
      <c r="O679" s="13"/>
    </row>
    <row r="680" customFormat="false" ht="15" hidden="false" customHeight="true" outlineLevel="0" collapsed="false">
      <c r="O680" s="13"/>
    </row>
    <row r="681" customFormat="false" ht="15" hidden="false" customHeight="true" outlineLevel="0" collapsed="false">
      <c r="O681" s="13"/>
    </row>
    <row r="682" customFormat="false" ht="15" hidden="false" customHeight="true" outlineLevel="0" collapsed="false">
      <c r="O682" s="13"/>
    </row>
    <row r="683" customFormat="false" ht="15" hidden="false" customHeight="true" outlineLevel="0" collapsed="false">
      <c r="O683" s="13"/>
    </row>
    <row r="684" customFormat="false" ht="15" hidden="false" customHeight="true" outlineLevel="0" collapsed="false">
      <c r="O684" s="13"/>
    </row>
    <row r="685" customFormat="false" ht="15" hidden="false" customHeight="true" outlineLevel="0" collapsed="false">
      <c r="O685" s="13"/>
    </row>
    <row r="686" customFormat="false" ht="15" hidden="false" customHeight="true" outlineLevel="0" collapsed="false">
      <c r="O686" s="13"/>
    </row>
    <row r="687" customFormat="false" ht="15" hidden="false" customHeight="true" outlineLevel="0" collapsed="false">
      <c r="O687" s="13"/>
    </row>
    <row r="688" customFormat="false" ht="15" hidden="false" customHeight="true" outlineLevel="0" collapsed="false">
      <c r="O688" s="13"/>
    </row>
    <row r="689" customFormat="false" ht="15" hidden="false" customHeight="true" outlineLevel="0" collapsed="false">
      <c r="O689" s="13"/>
    </row>
    <row r="690" customFormat="false" ht="15" hidden="false" customHeight="true" outlineLevel="0" collapsed="false">
      <c r="O690" s="13"/>
    </row>
    <row r="691" customFormat="false" ht="15" hidden="false" customHeight="true" outlineLevel="0" collapsed="false">
      <c r="O691" s="13"/>
    </row>
    <row r="692" customFormat="false" ht="15" hidden="false" customHeight="true" outlineLevel="0" collapsed="false">
      <c r="O692" s="13"/>
    </row>
    <row r="693" customFormat="false" ht="15" hidden="false" customHeight="true" outlineLevel="0" collapsed="false">
      <c r="O693" s="13"/>
    </row>
    <row r="694" customFormat="false" ht="15" hidden="false" customHeight="true" outlineLevel="0" collapsed="false">
      <c r="O694" s="13"/>
    </row>
    <row r="695" customFormat="false" ht="15" hidden="false" customHeight="true" outlineLevel="0" collapsed="false">
      <c r="O695" s="13"/>
    </row>
    <row r="696" customFormat="false" ht="15" hidden="false" customHeight="true" outlineLevel="0" collapsed="false">
      <c r="O696" s="13"/>
    </row>
    <row r="697" customFormat="false" ht="15" hidden="false" customHeight="true" outlineLevel="0" collapsed="false">
      <c r="O697" s="13"/>
    </row>
    <row r="698" customFormat="false" ht="15" hidden="false" customHeight="true" outlineLevel="0" collapsed="false">
      <c r="O698" s="13"/>
    </row>
    <row r="699" customFormat="false" ht="15" hidden="false" customHeight="true" outlineLevel="0" collapsed="false">
      <c r="O699" s="13"/>
    </row>
    <row r="700" customFormat="false" ht="15" hidden="false" customHeight="true" outlineLevel="0" collapsed="false">
      <c r="O700" s="13"/>
    </row>
    <row r="701" customFormat="false" ht="15" hidden="false" customHeight="true" outlineLevel="0" collapsed="false">
      <c r="O701" s="13"/>
    </row>
    <row r="702" customFormat="false" ht="15" hidden="false" customHeight="true" outlineLevel="0" collapsed="false">
      <c r="O702" s="13"/>
    </row>
    <row r="703" customFormat="false" ht="15" hidden="false" customHeight="true" outlineLevel="0" collapsed="false">
      <c r="O703" s="13"/>
    </row>
    <row r="704" customFormat="false" ht="15" hidden="false" customHeight="true" outlineLevel="0" collapsed="false">
      <c r="O704" s="13"/>
    </row>
    <row r="705" customFormat="false" ht="15" hidden="false" customHeight="true" outlineLevel="0" collapsed="false">
      <c r="O705" s="13"/>
    </row>
    <row r="706" customFormat="false" ht="15" hidden="false" customHeight="true" outlineLevel="0" collapsed="false">
      <c r="O706" s="13"/>
    </row>
    <row r="707" customFormat="false" ht="15" hidden="false" customHeight="true" outlineLevel="0" collapsed="false">
      <c r="O707" s="13"/>
    </row>
    <row r="708" customFormat="false" ht="15" hidden="false" customHeight="true" outlineLevel="0" collapsed="false">
      <c r="O708" s="13"/>
    </row>
    <row r="709" customFormat="false" ht="15" hidden="false" customHeight="true" outlineLevel="0" collapsed="false">
      <c r="O709" s="13"/>
    </row>
    <row r="710" customFormat="false" ht="15" hidden="false" customHeight="true" outlineLevel="0" collapsed="false">
      <c r="O710" s="13"/>
    </row>
    <row r="711" customFormat="false" ht="15" hidden="false" customHeight="true" outlineLevel="0" collapsed="false">
      <c r="O711" s="13"/>
    </row>
    <row r="712" customFormat="false" ht="15" hidden="false" customHeight="true" outlineLevel="0" collapsed="false">
      <c r="O712" s="13"/>
    </row>
    <row r="713" customFormat="false" ht="15" hidden="false" customHeight="true" outlineLevel="0" collapsed="false">
      <c r="O713" s="13"/>
    </row>
    <row r="714" customFormat="false" ht="15" hidden="false" customHeight="true" outlineLevel="0" collapsed="false">
      <c r="O714" s="13"/>
    </row>
    <row r="715" customFormat="false" ht="15" hidden="false" customHeight="true" outlineLevel="0" collapsed="false">
      <c r="O715" s="13"/>
    </row>
    <row r="716" customFormat="false" ht="15" hidden="false" customHeight="true" outlineLevel="0" collapsed="false">
      <c r="O716" s="13"/>
    </row>
    <row r="717" customFormat="false" ht="15" hidden="false" customHeight="true" outlineLevel="0" collapsed="false">
      <c r="O717" s="13"/>
    </row>
    <row r="718" customFormat="false" ht="15" hidden="false" customHeight="true" outlineLevel="0" collapsed="false">
      <c r="O718" s="13"/>
    </row>
    <row r="719" customFormat="false" ht="15" hidden="false" customHeight="true" outlineLevel="0" collapsed="false">
      <c r="O719" s="13"/>
    </row>
    <row r="720" customFormat="false" ht="15" hidden="false" customHeight="true" outlineLevel="0" collapsed="false">
      <c r="O720" s="13"/>
    </row>
    <row r="721" customFormat="false" ht="15" hidden="false" customHeight="true" outlineLevel="0" collapsed="false">
      <c r="O721" s="13"/>
    </row>
    <row r="722" customFormat="false" ht="15" hidden="false" customHeight="true" outlineLevel="0" collapsed="false">
      <c r="O722" s="13"/>
    </row>
    <row r="723" customFormat="false" ht="15" hidden="false" customHeight="true" outlineLevel="0" collapsed="false">
      <c r="O723" s="13"/>
    </row>
    <row r="724" customFormat="false" ht="15" hidden="false" customHeight="true" outlineLevel="0" collapsed="false">
      <c r="O724" s="13"/>
    </row>
    <row r="725" customFormat="false" ht="15" hidden="false" customHeight="true" outlineLevel="0" collapsed="false">
      <c r="O725" s="13"/>
    </row>
    <row r="726" customFormat="false" ht="15" hidden="false" customHeight="true" outlineLevel="0" collapsed="false">
      <c r="O726" s="13"/>
    </row>
    <row r="727" customFormat="false" ht="15" hidden="false" customHeight="true" outlineLevel="0" collapsed="false">
      <c r="O727" s="13"/>
    </row>
    <row r="728" customFormat="false" ht="15" hidden="false" customHeight="true" outlineLevel="0" collapsed="false">
      <c r="O728" s="13"/>
    </row>
    <row r="729" customFormat="false" ht="15" hidden="false" customHeight="true" outlineLevel="0" collapsed="false">
      <c r="O729" s="13"/>
    </row>
    <row r="730" customFormat="false" ht="15" hidden="false" customHeight="true" outlineLevel="0" collapsed="false">
      <c r="O730" s="13"/>
    </row>
    <row r="731" customFormat="false" ht="15" hidden="false" customHeight="true" outlineLevel="0" collapsed="false">
      <c r="O731" s="13"/>
    </row>
    <row r="732" customFormat="false" ht="15" hidden="false" customHeight="true" outlineLevel="0" collapsed="false">
      <c r="O732" s="13"/>
    </row>
    <row r="733" customFormat="false" ht="15" hidden="false" customHeight="true" outlineLevel="0" collapsed="false">
      <c r="O733" s="13"/>
    </row>
    <row r="734" customFormat="false" ht="15" hidden="false" customHeight="true" outlineLevel="0" collapsed="false">
      <c r="O734" s="13"/>
    </row>
    <row r="735" customFormat="false" ht="15" hidden="false" customHeight="true" outlineLevel="0" collapsed="false">
      <c r="O735" s="13"/>
    </row>
    <row r="736" customFormat="false" ht="15" hidden="false" customHeight="true" outlineLevel="0" collapsed="false">
      <c r="O736" s="13"/>
    </row>
    <row r="737" customFormat="false" ht="15" hidden="false" customHeight="true" outlineLevel="0" collapsed="false">
      <c r="O737" s="13"/>
    </row>
    <row r="738" customFormat="false" ht="15" hidden="false" customHeight="true" outlineLevel="0" collapsed="false">
      <c r="O738" s="13"/>
    </row>
    <row r="739" customFormat="false" ht="15" hidden="false" customHeight="true" outlineLevel="0" collapsed="false">
      <c r="O739" s="13"/>
    </row>
    <row r="740" customFormat="false" ht="15" hidden="false" customHeight="true" outlineLevel="0" collapsed="false">
      <c r="O740" s="13"/>
    </row>
    <row r="741" customFormat="false" ht="15" hidden="false" customHeight="true" outlineLevel="0" collapsed="false">
      <c r="O741" s="13"/>
    </row>
    <row r="742" customFormat="false" ht="15" hidden="false" customHeight="true" outlineLevel="0" collapsed="false">
      <c r="O742" s="13"/>
    </row>
    <row r="743" customFormat="false" ht="15" hidden="false" customHeight="true" outlineLevel="0" collapsed="false">
      <c r="O743" s="13"/>
    </row>
    <row r="744" customFormat="false" ht="15" hidden="false" customHeight="true" outlineLevel="0" collapsed="false">
      <c r="O744" s="13"/>
    </row>
    <row r="745" customFormat="false" ht="15" hidden="false" customHeight="true" outlineLevel="0" collapsed="false">
      <c r="O745" s="13"/>
    </row>
    <row r="746" customFormat="false" ht="15" hidden="false" customHeight="true" outlineLevel="0" collapsed="false">
      <c r="O746" s="13"/>
    </row>
    <row r="747" customFormat="false" ht="15" hidden="false" customHeight="true" outlineLevel="0" collapsed="false">
      <c r="O747" s="13"/>
    </row>
    <row r="748" customFormat="false" ht="15" hidden="false" customHeight="true" outlineLevel="0" collapsed="false">
      <c r="O748" s="13"/>
    </row>
    <row r="749" customFormat="false" ht="15" hidden="false" customHeight="true" outlineLevel="0" collapsed="false">
      <c r="O749" s="13"/>
    </row>
    <row r="750" customFormat="false" ht="15" hidden="false" customHeight="true" outlineLevel="0" collapsed="false">
      <c r="O750" s="13"/>
    </row>
    <row r="751" customFormat="false" ht="15" hidden="false" customHeight="true" outlineLevel="0" collapsed="false">
      <c r="O751" s="13"/>
    </row>
    <row r="752" customFormat="false" ht="15" hidden="false" customHeight="true" outlineLevel="0" collapsed="false">
      <c r="O752" s="13"/>
    </row>
    <row r="753" customFormat="false" ht="15" hidden="false" customHeight="true" outlineLevel="0" collapsed="false">
      <c r="O753" s="13"/>
    </row>
    <row r="754" customFormat="false" ht="15" hidden="false" customHeight="true" outlineLevel="0" collapsed="false">
      <c r="O754" s="13"/>
    </row>
    <row r="755" customFormat="false" ht="15" hidden="false" customHeight="true" outlineLevel="0" collapsed="false">
      <c r="O755" s="13"/>
    </row>
    <row r="756" customFormat="false" ht="15" hidden="false" customHeight="true" outlineLevel="0" collapsed="false">
      <c r="O756" s="13"/>
    </row>
    <row r="757" customFormat="false" ht="15" hidden="false" customHeight="true" outlineLevel="0" collapsed="false">
      <c r="O757" s="13"/>
    </row>
    <row r="758" customFormat="false" ht="15" hidden="false" customHeight="true" outlineLevel="0" collapsed="false">
      <c r="O758" s="13"/>
    </row>
    <row r="759" customFormat="false" ht="15" hidden="false" customHeight="true" outlineLevel="0" collapsed="false">
      <c r="O759" s="13"/>
    </row>
    <row r="760" customFormat="false" ht="15" hidden="false" customHeight="true" outlineLevel="0" collapsed="false">
      <c r="O760" s="13"/>
    </row>
    <row r="761" customFormat="false" ht="15" hidden="false" customHeight="true" outlineLevel="0" collapsed="false">
      <c r="O761" s="13"/>
    </row>
    <row r="762" customFormat="false" ht="15" hidden="false" customHeight="true" outlineLevel="0" collapsed="false">
      <c r="O762" s="13"/>
    </row>
    <row r="763" customFormat="false" ht="15" hidden="false" customHeight="true" outlineLevel="0" collapsed="false">
      <c r="O763" s="13"/>
    </row>
    <row r="764" customFormat="false" ht="15" hidden="false" customHeight="true" outlineLevel="0" collapsed="false">
      <c r="O764" s="13"/>
    </row>
    <row r="765" customFormat="false" ht="15" hidden="false" customHeight="true" outlineLevel="0" collapsed="false">
      <c r="O765" s="13"/>
    </row>
    <row r="766" customFormat="false" ht="15" hidden="false" customHeight="true" outlineLevel="0" collapsed="false">
      <c r="O766" s="13"/>
    </row>
    <row r="767" customFormat="false" ht="15" hidden="false" customHeight="true" outlineLevel="0" collapsed="false">
      <c r="O767" s="13"/>
    </row>
    <row r="768" customFormat="false" ht="15" hidden="false" customHeight="true" outlineLevel="0" collapsed="false">
      <c r="O768" s="13"/>
    </row>
    <row r="769" customFormat="false" ht="15" hidden="false" customHeight="true" outlineLevel="0" collapsed="false">
      <c r="O769" s="13"/>
    </row>
    <row r="770" customFormat="false" ht="15" hidden="false" customHeight="true" outlineLevel="0" collapsed="false">
      <c r="O770" s="13"/>
    </row>
    <row r="771" customFormat="false" ht="15" hidden="false" customHeight="true" outlineLevel="0" collapsed="false">
      <c r="O771" s="13"/>
    </row>
    <row r="772" customFormat="false" ht="15" hidden="false" customHeight="true" outlineLevel="0" collapsed="false">
      <c r="O772" s="13"/>
    </row>
    <row r="773" customFormat="false" ht="15" hidden="false" customHeight="true" outlineLevel="0" collapsed="false">
      <c r="O773" s="13"/>
    </row>
    <row r="774" customFormat="false" ht="15" hidden="false" customHeight="true" outlineLevel="0" collapsed="false">
      <c r="O774" s="13"/>
    </row>
    <row r="775" customFormat="false" ht="15" hidden="false" customHeight="true" outlineLevel="0" collapsed="false">
      <c r="O775" s="13"/>
    </row>
    <row r="776" customFormat="false" ht="15" hidden="false" customHeight="true" outlineLevel="0" collapsed="false">
      <c r="O776" s="13"/>
    </row>
    <row r="777" customFormat="false" ht="15" hidden="false" customHeight="true" outlineLevel="0" collapsed="false">
      <c r="O777" s="13"/>
    </row>
    <row r="778" customFormat="false" ht="15" hidden="false" customHeight="true" outlineLevel="0" collapsed="false">
      <c r="O778" s="13"/>
    </row>
    <row r="779" customFormat="false" ht="15" hidden="false" customHeight="true" outlineLevel="0" collapsed="false">
      <c r="O779" s="13"/>
    </row>
    <row r="780" customFormat="false" ht="15" hidden="false" customHeight="true" outlineLevel="0" collapsed="false">
      <c r="O780" s="13"/>
    </row>
    <row r="781" customFormat="false" ht="15" hidden="false" customHeight="true" outlineLevel="0" collapsed="false">
      <c r="O781" s="13"/>
    </row>
    <row r="782" customFormat="false" ht="15" hidden="false" customHeight="true" outlineLevel="0" collapsed="false">
      <c r="O782" s="13"/>
    </row>
    <row r="783" customFormat="false" ht="15" hidden="false" customHeight="true" outlineLevel="0" collapsed="false">
      <c r="O783" s="13"/>
    </row>
    <row r="784" customFormat="false" ht="15" hidden="false" customHeight="true" outlineLevel="0" collapsed="false">
      <c r="O784" s="13"/>
    </row>
    <row r="785" customFormat="false" ht="15" hidden="false" customHeight="true" outlineLevel="0" collapsed="false">
      <c r="O785" s="13"/>
    </row>
    <row r="786" customFormat="false" ht="15" hidden="false" customHeight="true" outlineLevel="0" collapsed="false">
      <c r="O786" s="13"/>
    </row>
    <row r="787" customFormat="false" ht="15" hidden="false" customHeight="true" outlineLevel="0" collapsed="false">
      <c r="O787" s="13"/>
    </row>
    <row r="788" customFormat="false" ht="15" hidden="false" customHeight="true" outlineLevel="0" collapsed="false">
      <c r="O788" s="13"/>
    </row>
    <row r="789" customFormat="false" ht="15" hidden="false" customHeight="true" outlineLevel="0" collapsed="false">
      <c r="O789" s="13"/>
    </row>
    <row r="790" customFormat="false" ht="15" hidden="false" customHeight="true" outlineLevel="0" collapsed="false">
      <c r="O790" s="13"/>
    </row>
    <row r="791" customFormat="false" ht="15" hidden="false" customHeight="true" outlineLevel="0" collapsed="false">
      <c r="O791" s="13"/>
    </row>
    <row r="792" customFormat="false" ht="15" hidden="false" customHeight="true" outlineLevel="0" collapsed="false">
      <c r="O792" s="13"/>
    </row>
    <row r="793" customFormat="false" ht="15" hidden="false" customHeight="true" outlineLevel="0" collapsed="false">
      <c r="O793" s="13"/>
    </row>
    <row r="794" customFormat="false" ht="15" hidden="false" customHeight="true" outlineLevel="0" collapsed="false">
      <c r="O794" s="13"/>
    </row>
    <row r="795" customFormat="false" ht="15" hidden="false" customHeight="true" outlineLevel="0" collapsed="false">
      <c r="O795" s="13"/>
    </row>
    <row r="796" customFormat="false" ht="15" hidden="false" customHeight="true" outlineLevel="0" collapsed="false">
      <c r="O796" s="13"/>
    </row>
    <row r="797" customFormat="false" ht="15" hidden="false" customHeight="true" outlineLevel="0" collapsed="false">
      <c r="O797" s="13"/>
    </row>
    <row r="798" customFormat="false" ht="15" hidden="false" customHeight="true" outlineLevel="0" collapsed="false">
      <c r="O798" s="13"/>
    </row>
    <row r="799" customFormat="false" ht="15" hidden="false" customHeight="true" outlineLevel="0" collapsed="false">
      <c r="O799" s="13"/>
    </row>
    <row r="800" customFormat="false" ht="15" hidden="false" customHeight="true" outlineLevel="0" collapsed="false">
      <c r="O800" s="13"/>
    </row>
    <row r="801" customFormat="false" ht="15" hidden="false" customHeight="true" outlineLevel="0" collapsed="false">
      <c r="O801" s="13"/>
    </row>
    <row r="802" customFormat="false" ht="15" hidden="false" customHeight="true" outlineLevel="0" collapsed="false">
      <c r="O802" s="13"/>
    </row>
    <row r="803" customFormat="false" ht="15" hidden="false" customHeight="true" outlineLevel="0" collapsed="false">
      <c r="O803" s="13"/>
    </row>
    <row r="804" customFormat="false" ht="15" hidden="false" customHeight="true" outlineLevel="0" collapsed="false">
      <c r="O804" s="13"/>
    </row>
    <row r="805" customFormat="false" ht="15" hidden="false" customHeight="true" outlineLevel="0" collapsed="false">
      <c r="O805" s="13"/>
    </row>
    <row r="806" customFormat="false" ht="15" hidden="false" customHeight="true" outlineLevel="0" collapsed="false">
      <c r="O806" s="13"/>
    </row>
    <row r="807" customFormat="false" ht="15" hidden="false" customHeight="true" outlineLevel="0" collapsed="false">
      <c r="O807" s="13"/>
    </row>
    <row r="808" customFormat="false" ht="15" hidden="false" customHeight="true" outlineLevel="0" collapsed="false">
      <c r="O808" s="13"/>
    </row>
    <row r="809" customFormat="false" ht="15" hidden="false" customHeight="true" outlineLevel="0" collapsed="false">
      <c r="O809" s="13"/>
    </row>
    <row r="810" customFormat="false" ht="15" hidden="false" customHeight="true" outlineLevel="0" collapsed="false">
      <c r="O810" s="13"/>
    </row>
    <row r="811" customFormat="false" ht="15" hidden="false" customHeight="true" outlineLevel="0" collapsed="false">
      <c r="O811" s="13"/>
    </row>
    <row r="812" customFormat="false" ht="15" hidden="false" customHeight="true" outlineLevel="0" collapsed="false">
      <c r="O812" s="13"/>
    </row>
    <row r="813" customFormat="false" ht="15" hidden="false" customHeight="true" outlineLevel="0" collapsed="false">
      <c r="O813" s="13"/>
    </row>
    <row r="814" customFormat="false" ht="15" hidden="false" customHeight="true" outlineLevel="0" collapsed="false">
      <c r="O814" s="13"/>
    </row>
    <row r="815" customFormat="false" ht="15" hidden="false" customHeight="true" outlineLevel="0" collapsed="false">
      <c r="O815" s="13"/>
    </row>
    <row r="816" customFormat="false" ht="15" hidden="false" customHeight="true" outlineLevel="0" collapsed="false">
      <c r="O816" s="13"/>
    </row>
    <row r="817" customFormat="false" ht="15" hidden="false" customHeight="true" outlineLevel="0" collapsed="false">
      <c r="O817" s="13"/>
    </row>
    <row r="818" customFormat="false" ht="15" hidden="false" customHeight="true" outlineLevel="0" collapsed="false">
      <c r="O818" s="13"/>
    </row>
    <row r="819" customFormat="false" ht="15" hidden="false" customHeight="true" outlineLevel="0" collapsed="false">
      <c r="O819" s="13"/>
    </row>
    <row r="820" customFormat="false" ht="15" hidden="false" customHeight="true" outlineLevel="0" collapsed="false">
      <c r="O820" s="13"/>
    </row>
    <row r="821" customFormat="false" ht="15" hidden="false" customHeight="true" outlineLevel="0" collapsed="false">
      <c r="O821" s="13"/>
    </row>
    <row r="822" customFormat="false" ht="15" hidden="false" customHeight="true" outlineLevel="0" collapsed="false">
      <c r="O822" s="13"/>
    </row>
    <row r="823" customFormat="false" ht="15" hidden="false" customHeight="true" outlineLevel="0" collapsed="false">
      <c r="O823" s="13"/>
    </row>
    <row r="824" customFormat="false" ht="15" hidden="false" customHeight="true" outlineLevel="0" collapsed="false">
      <c r="O824" s="13"/>
    </row>
    <row r="825" customFormat="false" ht="15" hidden="false" customHeight="true" outlineLevel="0" collapsed="false">
      <c r="O825" s="13"/>
    </row>
    <row r="826" customFormat="false" ht="15" hidden="false" customHeight="true" outlineLevel="0" collapsed="false">
      <c r="O826" s="13"/>
    </row>
    <row r="827" customFormat="false" ht="15" hidden="false" customHeight="true" outlineLevel="0" collapsed="false">
      <c r="O827" s="13"/>
    </row>
    <row r="828" customFormat="false" ht="15" hidden="false" customHeight="true" outlineLevel="0" collapsed="false">
      <c r="O828" s="13"/>
    </row>
    <row r="829" customFormat="false" ht="15" hidden="false" customHeight="true" outlineLevel="0" collapsed="false">
      <c r="O829" s="13"/>
    </row>
    <row r="830" customFormat="false" ht="15" hidden="false" customHeight="true" outlineLevel="0" collapsed="false">
      <c r="O830" s="13"/>
    </row>
    <row r="831" customFormat="false" ht="15" hidden="false" customHeight="true" outlineLevel="0" collapsed="false">
      <c r="O831" s="13"/>
    </row>
    <row r="832" customFormat="false" ht="15" hidden="false" customHeight="true" outlineLevel="0" collapsed="false">
      <c r="O832" s="13"/>
    </row>
    <row r="833" customFormat="false" ht="15" hidden="false" customHeight="true" outlineLevel="0" collapsed="false">
      <c r="O833" s="13"/>
    </row>
    <row r="834" customFormat="false" ht="15" hidden="false" customHeight="true" outlineLevel="0" collapsed="false">
      <c r="O834" s="13"/>
    </row>
    <row r="835" customFormat="false" ht="15" hidden="false" customHeight="true" outlineLevel="0" collapsed="false">
      <c r="O835" s="13"/>
    </row>
    <row r="836" customFormat="false" ht="15" hidden="false" customHeight="true" outlineLevel="0" collapsed="false">
      <c r="O836" s="13"/>
    </row>
    <row r="837" customFormat="false" ht="15" hidden="false" customHeight="true" outlineLevel="0" collapsed="false">
      <c r="O837" s="13"/>
    </row>
    <row r="838" customFormat="false" ht="15" hidden="false" customHeight="true" outlineLevel="0" collapsed="false">
      <c r="O838" s="13"/>
    </row>
    <row r="839" customFormat="false" ht="15" hidden="false" customHeight="true" outlineLevel="0" collapsed="false">
      <c r="O839" s="13"/>
    </row>
    <row r="840" customFormat="false" ht="15" hidden="false" customHeight="true" outlineLevel="0" collapsed="false">
      <c r="O840" s="13"/>
    </row>
    <row r="841" customFormat="false" ht="15" hidden="false" customHeight="true" outlineLevel="0" collapsed="false">
      <c r="O841" s="13"/>
    </row>
    <row r="842" customFormat="false" ht="15" hidden="false" customHeight="true" outlineLevel="0" collapsed="false">
      <c r="O842" s="13"/>
    </row>
    <row r="843" customFormat="false" ht="15" hidden="false" customHeight="true" outlineLevel="0" collapsed="false">
      <c r="O843" s="13"/>
    </row>
    <row r="844" customFormat="false" ht="15" hidden="false" customHeight="true" outlineLevel="0" collapsed="false">
      <c r="O844" s="13"/>
    </row>
    <row r="845" customFormat="false" ht="15" hidden="false" customHeight="true" outlineLevel="0" collapsed="false">
      <c r="O845" s="13"/>
    </row>
    <row r="846" customFormat="false" ht="15" hidden="false" customHeight="true" outlineLevel="0" collapsed="false">
      <c r="O846" s="13"/>
    </row>
    <row r="847" customFormat="false" ht="15" hidden="false" customHeight="true" outlineLevel="0" collapsed="false">
      <c r="O847" s="13"/>
    </row>
    <row r="848" customFormat="false" ht="15" hidden="false" customHeight="true" outlineLevel="0" collapsed="false">
      <c r="O848" s="13"/>
    </row>
    <row r="849" customFormat="false" ht="15" hidden="false" customHeight="true" outlineLevel="0" collapsed="false">
      <c r="O849" s="13"/>
    </row>
    <row r="850" customFormat="false" ht="15" hidden="false" customHeight="true" outlineLevel="0" collapsed="false">
      <c r="O850" s="13"/>
    </row>
    <row r="851" customFormat="false" ht="15" hidden="false" customHeight="true" outlineLevel="0" collapsed="false">
      <c r="O851" s="13"/>
    </row>
    <row r="852" customFormat="false" ht="15" hidden="false" customHeight="true" outlineLevel="0" collapsed="false">
      <c r="O852" s="13"/>
    </row>
    <row r="853" customFormat="false" ht="15" hidden="false" customHeight="true" outlineLevel="0" collapsed="false">
      <c r="O853" s="13"/>
    </row>
    <row r="854" customFormat="false" ht="15" hidden="false" customHeight="true" outlineLevel="0" collapsed="false">
      <c r="O854" s="13"/>
    </row>
    <row r="855" customFormat="false" ht="15" hidden="false" customHeight="true" outlineLevel="0" collapsed="false">
      <c r="O855" s="13"/>
    </row>
    <row r="856" customFormat="false" ht="15" hidden="false" customHeight="true" outlineLevel="0" collapsed="false">
      <c r="O856" s="13"/>
    </row>
    <row r="857" customFormat="false" ht="15" hidden="false" customHeight="true" outlineLevel="0" collapsed="false">
      <c r="O857" s="13"/>
    </row>
    <row r="858" customFormat="false" ht="15" hidden="false" customHeight="true" outlineLevel="0" collapsed="false">
      <c r="O858" s="13"/>
    </row>
    <row r="859" customFormat="false" ht="15" hidden="false" customHeight="true" outlineLevel="0" collapsed="false">
      <c r="O859" s="13"/>
    </row>
    <row r="860" customFormat="false" ht="15" hidden="false" customHeight="true" outlineLevel="0" collapsed="false">
      <c r="O860" s="13"/>
    </row>
    <row r="861" customFormat="false" ht="15" hidden="false" customHeight="true" outlineLevel="0" collapsed="false">
      <c r="O861" s="13"/>
    </row>
    <row r="862" customFormat="false" ht="15" hidden="false" customHeight="true" outlineLevel="0" collapsed="false">
      <c r="O862" s="13"/>
    </row>
    <row r="863" customFormat="false" ht="15" hidden="false" customHeight="true" outlineLevel="0" collapsed="false">
      <c r="O863" s="13"/>
    </row>
    <row r="864" customFormat="false" ht="15" hidden="false" customHeight="true" outlineLevel="0" collapsed="false">
      <c r="O864" s="13"/>
    </row>
    <row r="865" customFormat="false" ht="15" hidden="false" customHeight="true" outlineLevel="0" collapsed="false">
      <c r="O865" s="13"/>
    </row>
    <row r="866" customFormat="false" ht="15" hidden="false" customHeight="true" outlineLevel="0" collapsed="false">
      <c r="O866" s="13"/>
    </row>
    <row r="867" customFormat="false" ht="15" hidden="false" customHeight="true" outlineLevel="0" collapsed="false">
      <c r="O867" s="13"/>
    </row>
    <row r="868" customFormat="false" ht="15" hidden="false" customHeight="true" outlineLevel="0" collapsed="false">
      <c r="O868" s="13"/>
    </row>
    <row r="869" customFormat="false" ht="15" hidden="false" customHeight="true" outlineLevel="0" collapsed="false">
      <c r="O869" s="13"/>
    </row>
    <row r="870" customFormat="false" ht="15" hidden="false" customHeight="true" outlineLevel="0" collapsed="false">
      <c r="O870" s="13"/>
    </row>
    <row r="871" customFormat="false" ht="15" hidden="false" customHeight="true" outlineLevel="0" collapsed="false">
      <c r="O871" s="13"/>
    </row>
    <row r="872" customFormat="false" ht="15" hidden="false" customHeight="true" outlineLevel="0" collapsed="false">
      <c r="O872" s="13"/>
    </row>
    <row r="873" customFormat="false" ht="15" hidden="false" customHeight="true" outlineLevel="0" collapsed="false">
      <c r="O873" s="13"/>
    </row>
    <row r="874" customFormat="false" ht="15" hidden="false" customHeight="true" outlineLevel="0" collapsed="false">
      <c r="O874" s="13"/>
    </row>
    <row r="875" customFormat="false" ht="15" hidden="false" customHeight="true" outlineLevel="0" collapsed="false">
      <c r="O875" s="13"/>
    </row>
    <row r="876" customFormat="false" ht="15" hidden="false" customHeight="true" outlineLevel="0" collapsed="false">
      <c r="O876" s="13"/>
    </row>
    <row r="877" customFormat="false" ht="15" hidden="false" customHeight="true" outlineLevel="0" collapsed="false">
      <c r="O877" s="13"/>
    </row>
    <row r="878" customFormat="false" ht="15" hidden="false" customHeight="true" outlineLevel="0" collapsed="false">
      <c r="O878" s="13"/>
    </row>
    <row r="879" customFormat="false" ht="15" hidden="false" customHeight="true" outlineLevel="0" collapsed="false">
      <c r="O879" s="13"/>
    </row>
    <row r="880" customFormat="false" ht="15" hidden="false" customHeight="true" outlineLevel="0" collapsed="false">
      <c r="O880" s="13"/>
    </row>
    <row r="881" customFormat="false" ht="15" hidden="false" customHeight="true" outlineLevel="0" collapsed="false">
      <c r="O881" s="13"/>
    </row>
    <row r="882" customFormat="false" ht="15" hidden="false" customHeight="true" outlineLevel="0" collapsed="false">
      <c r="O882" s="13"/>
    </row>
    <row r="883" customFormat="false" ht="15" hidden="false" customHeight="true" outlineLevel="0" collapsed="false">
      <c r="O883" s="13"/>
    </row>
    <row r="884" customFormat="false" ht="15" hidden="false" customHeight="true" outlineLevel="0" collapsed="false">
      <c r="O884" s="13"/>
    </row>
    <row r="885" customFormat="false" ht="15" hidden="false" customHeight="true" outlineLevel="0" collapsed="false">
      <c r="O885" s="13"/>
    </row>
    <row r="886" customFormat="false" ht="15" hidden="false" customHeight="true" outlineLevel="0" collapsed="false">
      <c r="O886" s="13"/>
    </row>
    <row r="887" customFormat="false" ht="15" hidden="false" customHeight="true" outlineLevel="0" collapsed="false">
      <c r="O887" s="13"/>
    </row>
    <row r="888" customFormat="false" ht="15" hidden="false" customHeight="true" outlineLevel="0" collapsed="false">
      <c r="O888" s="13"/>
    </row>
    <row r="889" customFormat="false" ht="15" hidden="false" customHeight="true" outlineLevel="0" collapsed="false">
      <c r="O889" s="13"/>
    </row>
    <row r="890" customFormat="false" ht="15" hidden="false" customHeight="true" outlineLevel="0" collapsed="false">
      <c r="O890" s="13"/>
    </row>
    <row r="891" customFormat="false" ht="15" hidden="false" customHeight="true" outlineLevel="0" collapsed="false">
      <c r="O891" s="13"/>
    </row>
    <row r="892" customFormat="false" ht="15" hidden="false" customHeight="true" outlineLevel="0" collapsed="false">
      <c r="O892" s="13"/>
    </row>
    <row r="893" customFormat="false" ht="15" hidden="false" customHeight="true" outlineLevel="0" collapsed="false">
      <c r="O893" s="13"/>
    </row>
    <row r="894" customFormat="false" ht="15" hidden="false" customHeight="true" outlineLevel="0" collapsed="false">
      <c r="O894" s="13"/>
    </row>
    <row r="895" customFormat="false" ht="15" hidden="false" customHeight="true" outlineLevel="0" collapsed="false">
      <c r="O895" s="13"/>
    </row>
    <row r="896" customFormat="false" ht="15" hidden="false" customHeight="true" outlineLevel="0" collapsed="false">
      <c r="O896" s="13"/>
    </row>
    <row r="897" customFormat="false" ht="15" hidden="false" customHeight="true" outlineLevel="0" collapsed="false">
      <c r="O897" s="13"/>
    </row>
    <row r="898" customFormat="false" ht="15" hidden="false" customHeight="true" outlineLevel="0" collapsed="false">
      <c r="O898" s="13"/>
    </row>
    <row r="899" customFormat="false" ht="15" hidden="false" customHeight="true" outlineLevel="0" collapsed="false">
      <c r="O899" s="13"/>
    </row>
    <row r="900" customFormat="false" ht="15" hidden="false" customHeight="true" outlineLevel="0" collapsed="false">
      <c r="O900" s="13"/>
    </row>
    <row r="901" customFormat="false" ht="15" hidden="false" customHeight="true" outlineLevel="0" collapsed="false">
      <c r="O901" s="13"/>
    </row>
    <row r="902" customFormat="false" ht="15" hidden="false" customHeight="true" outlineLevel="0" collapsed="false">
      <c r="O902" s="13"/>
    </row>
    <row r="903" customFormat="false" ht="15" hidden="false" customHeight="true" outlineLevel="0" collapsed="false">
      <c r="O903" s="13"/>
    </row>
    <row r="904" customFormat="false" ht="15" hidden="false" customHeight="true" outlineLevel="0" collapsed="false">
      <c r="O904" s="13"/>
    </row>
    <row r="905" customFormat="false" ht="15" hidden="false" customHeight="true" outlineLevel="0" collapsed="false">
      <c r="O905" s="13"/>
    </row>
    <row r="906" customFormat="false" ht="15" hidden="false" customHeight="true" outlineLevel="0" collapsed="false">
      <c r="O906" s="13"/>
    </row>
    <row r="907" customFormat="false" ht="15" hidden="false" customHeight="true" outlineLevel="0" collapsed="false">
      <c r="O907" s="13"/>
    </row>
    <row r="908" customFormat="false" ht="15" hidden="false" customHeight="true" outlineLevel="0" collapsed="false">
      <c r="O908" s="13"/>
    </row>
    <row r="909" customFormat="false" ht="15" hidden="false" customHeight="true" outlineLevel="0" collapsed="false">
      <c r="O909" s="13"/>
    </row>
    <row r="910" customFormat="false" ht="15" hidden="false" customHeight="true" outlineLevel="0" collapsed="false">
      <c r="O910" s="13"/>
    </row>
    <row r="911" customFormat="false" ht="15" hidden="false" customHeight="true" outlineLevel="0" collapsed="false">
      <c r="O911" s="13"/>
    </row>
    <row r="912" customFormat="false" ht="15" hidden="false" customHeight="true" outlineLevel="0" collapsed="false">
      <c r="O912" s="13"/>
    </row>
    <row r="913" customFormat="false" ht="15" hidden="false" customHeight="true" outlineLevel="0" collapsed="false">
      <c r="O913" s="13"/>
    </row>
    <row r="914" customFormat="false" ht="15" hidden="false" customHeight="true" outlineLevel="0" collapsed="false">
      <c r="O914" s="13"/>
    </row>
    <row r="915" customFormat="false" ht="15" hidden="false" customHeight="true" outlineLevel="0" collapsed="false">
      <c r="O915" s="13"/>
    </row>
    <row r="916" customFormat="false" ht="15" hidden="false" customHeight="true" outlineLevel="0" collapsed="false">
      <c r="O916" s="13"/>
    </row>
    <row r="917" customFormat="false" ht="15" hidden="false" customHeight="true" outlineLevel="0" collapsed="false">
      <c r="O917" s="13"/>
    </row>
    <row r="918" customFormat="false" ht="15" hidden="false" customHeight="true" outlineLevel="0" collapsed="false">
      <c r="O918" s="13"/>
    </row>
    <row r="919" customFormat="false" ht="15" hidden="false" customHeight="true" outlineLevel="0" collapsed="false">
      <c r="O919" s="13"/>
    </row>
    <row r="920" customFormat="false" ht="15" hidden="false" customHeight="true" outlineLevel="0" collapsed="false">
      <c r="O920" s="13"/>
    </row>
    <row r="921" customFormat="false" ht="15" hidden="false" customHeight="true" outlineLevel="0" collapsed="false">
      <c r="O921" s="13"/>
    </row>
    <row r="922" customFormat="false" ht="15" hidden="false" customHeight="true" outlineLevel="0" collapsed="false">
      <c r="O922" s="13"/>
    </row>
    <row r="923" customFormat="false" ht="15" hidden="false" customHeight="true" outlineLevel="0" collapsed="false">
      <c r="O923" s="13"/>
    </row>
    <row r="924" customFormat="false" ht="15" hidden="false" customHeight="true" outlineLevel="0" collapsed="false">
      <c r="O924" s="13"/>
    </row>
    <row r="925" customFormat="false" ht="15" hidden="false" customHeight="true" outlineLevel="0" collapsed="false">
      <c r="O925" s="13"/>
    </row>
    <row r="926" customFormat="false" ht="15" hidden="false" customHeight="true" outlineLevel="0" collapsed="false">
      <c r="O926" s="13"/>
    </row>
    <row r="927" customFormat="false" ht="15" hidden="false" customHeight="true" outlineLevel="0" collapsed="false">
      <c r="O927" s="13"/>
    </row>
    <row r="928" customFormat="false" ht="15" hidden="false" customHeight="true" outlineLevel="0" collapsed="false">
      <c r="O928" s="13"/>
    </row>
    <row r="929" customFormat="false" ht="15" hidden="false" customHeight="true" outlineLevel="0" collapsed="false">
      <c r="O929" s="13"/>
    </row>
    <row r="930" customFormat="false" ht="15" hidden="false" customHeight="true" outlineLevel="0" collapsed="false">
      <c r="O930" s="13"/>
    </row>
    <row r="931" customFormat="false" ht="15" hidden="false" customHeight="true" outlineLevel="0" collapsed="false">
      <c r="O931" s="13"/>
    </row>
    <row r="932" customFormat="false" ht="15" hidden="false" customHeight="true" outlineLevel="0" collapsed="false">
      <c r="O932" s="13"/>
    </row>
    <row r="933" customFormat="false" ht="15" hidden="false" customHeight="true" outlineLevel="0" collapsed="false">
      <c r="O933" s="13"/>
    </row>
    <row r="934" customFormat="false" ht="15" hidden="false" customHeight="true" outlineLevel="0" collapsed="false">
      <c r="O934" s="13"/>
    </row>
    <row r="935" customFormat="false" ht="15" hidden="false" customHeight="true" outlineLevel="0" collapsed="false">
      <c r="O935" s="13"/>
    </row>
    <row r="936" customFormat="false" ht="15" hidden="false" customHeight="true" outlineLevel="0" collapsed="false">
      <c r="O936" s="13"/>
    </row>
    <row r="937" customFormat="false" ht="15" hidden="false" customHeight="true" outlineLevel="0" collapsed="false">
      <c r="O937" s="13"/>
    </row>
    <row r="938" customFormat="false" ht="15" hidden="false" customHeight="true" outlineLevel="0" collapsed="false">
      <c r="O938" s="13"/>
    </row>
    <row r="939" customFormat="false" ht="15" hidden="false" customHeight="true" outlineLevel="0" collapsed="false">
      <c r="O939" s="13"/>
    </row>
    <row r="940" customFormat="false" ht="15" hidden="false" customHeight="true" outlineLevel="0" collapsed="false">
      <c r="O940" s="13"/>
    </row>
    <row r="941" customFormat="false" ht="15" hidden="false" customHeight="true" outlineLevel="0" collapsed="false">
      <c r="O941" s="13"/>
    </row>
    <row r="942" customFormat="false" ht="15" hidden="false" customHeight="true" outlineLevel="0" collapsed="false">
      <c r="O942" s="13"/>
    </row>
    <row r="943" customFormat="false" ht="15" hidden="false" customHeight="true" outlineLevel="0" collapsed="false">
      <c r="O943" s="13"/>
    </row>
    <row r="944" customFormat="false" ht="15" hidden="false" customHeight="true" outlineLevel="0" collapsed="false">
      <c r="O944" s="13"/>
    </row>
    <row r="945" customFormat="false" ht="15" hidden="false" customHeight="true" outlineLevel="0" collapsed="false">
      <c r="O945" s="13"/>
    </row>
    <row r="946" customFormat="false" ht="15" hidden="false" customHeight="true" outlineLevel="0" collapsed="false">
      <c r="O946" s="13"/>
    </row>
    <row r="947" customFormat="false" ht="15" hidden="false" customHeight="true" outlineLevel="0" collapsed="false">
      <c r="O947" s="13"/>
    </row>
    <row r="948" customFormat="false" ht="15" hidden="false" customHeight="true" outlineLevel="0" collapsed="false">
      <c r="O948" s="13"/>
    </row>
    <row r="949" customFormat="false" ht="15" hidden="false" customHeight="true" outlineLevel="0" collapsed="false">
      <c r="O949" s="13"/>
    </row>
    <row r="950" customFormat="false" ht="15" hidden="false" customHeight="true" outlineLevel="0" collapsed="false">
      <c r="O950" s="13"/>
    </row>
    <row r="951" customFormat="false" ht="15" hidden="false" customHeight="true" outlineLevel="0" collapsed="false">
      <c r="O951" s="13"/>
    </row>
    <row r="952" customFormat="false" ht="15" hidden="false" customHeight="true" outlineLevel="0" collapsed="false">
      <c r="O952" s="13"/>
    </row>
    <row r="953" customFormat="false" ht="15" hidden="false" customHeight="true" outlineLevel="0" collapsed="false">
      <c r="O953" s="13"/>
    </row>
    <row r="954" customFormat="false" ht="15" hidden="false" customHeight="true" outlineLevel="0" collapsed="false">
      <c r="O954" s="13"/>
    </row>
    <row r="955" customFormat="false" ht="15" hidden="false" customHeight="true" outlineLevel="0" collapsed="false">
      <c r="O955" s="13"/>
    </row>
    <row r="956" customFormat="false" ht="15" hidden="false" customHeight="true" outlineLevel="0" collapsed="false">
      <c r="O956" s="13"/>
    </row>
    <row r="957" customFormat="false" ht="15" hidden="false" customHeight="true" outlineLevel="0" collapsed="false">
      <c r="O957" s="13"/>
    </row>
    <row r="958" customFormat="false" ht="15" hidden="false" customHeight="true" outlineLevel="0" collapsed="false">
      <c r="O958" s="13"/>
    </row>
    <row r="959" customFormat="false" ht="15" hidden="false" customHeight="true" outlineLevel="0" collapsed="false">
      <c r="O959" s="13"/>
    </row>
    <row r="960" customFormat="false" ht="15" hidden="false" customHeight="true" outlineLevel="0" collapsed="false">
      <c r="O960" s="13"/>
    </row>
    <row r="961" customFormat="false" ht="15" hidden="false" customHeight="true" outlineLevel="0" collapsed="false">
      <c r="O961" s="13"/>
    </row>
    <row r="962" customFormat="false" ht="15" hidden="false" customHeight="true" outlineLevel="0" collapsed="false">
      <c r="O962" s="13"/>
    </row>
    <row r="963" customFormat="false" ht="15" hidden="false" customHeight="true" outlineLevel="0" collapsed="false">
      <c r="O963" s="13"/>
    </row>
    <row r="964" customFormat="false" ht="15" hidden="false" customHeight="true" outlineLevel="0" collapsed="false">
      <c r="O964" s="13"/>
    </row>
    <row r="965" customFormat="false" ht="15" hidden="false" customHeight="true" outlineLevel="0" collapsed="false">
      <c r="O965" s="13"/>
    </row>
    <row r="966" customFormat="false" ht="15" hidden="false" customHeight="true" outlineLevel="0" collapsed="false">
      <c r="O966" s="13"/>
    </row>
    <row r="967" customFormat="false" ht="15" hidden="false" customHeight="true" outlineLevel="0" collapsed="false">
      <c r="O967" s="13"/>
    </row>
    <row r="968" customFormat="false" ht="15" hidden="false" customHeight="true" outlineLevel="0" collapsed="false">
      <c r="O968" s="13"/>
    </row>
    <row r="969" customFormat="false" ht="15" hidden="false" customHeight="true" outlineLevel="0" collapsed="false">
      <c r="O969" s="13"/>
    </row>
    <row r="970" customFormat="false" ht="15" hidden="false" customHeight="true" outlineLevel="0" collapsed="false">
      <c r="O970" s="13"/>
    </row>
    <row r="971" customFormat="false" ht="15" hidden="false" customHeight="true" outlineLevel="0" collapsed="false">
      <c r="O971" s="13"/>
    </row>
    <row r="972" customFormat="false" ht="15" hidden="false" customHeight="true" outlineLevel="0" collapsed="false">
      <c r="O972" s="13"/>
    </row>
    <row r="973" customFormat="false" ht="15" hidden="false" customHeight="true" outlineLevel="0" collapsed="false">
      <c r="O973" s="13"/>
    </row>
    <row r="974" customFormat="false" ht="15" hidden="false" customHeight="true" outlineLevel="0" collapsed="false">
      <c r="O974" s="13"/>
    </row>
    <row r="975" customFormat="false" ht="15" hidden="false" customHeight="true" outlineLevel="0" collapsed="false">
      <c r="O975" s="13"/>
    </row>
    <row r="976" customFormat="false" ht="15" hidden="false" customHeight="true" outlineLevel="0" collapsed="false">
      <c r="O976" s="13"/>
    </row>
    <row r="977" customFormat="false" ht="15" hidden="false" customHeight="true" outlineLevel="0" collapsed="false">
      <c r="O977" s="13"/>
    </row>
    <row r="978" customFormat="false" ht="15" hidden="false" customHeight="true" outlineLevel="0" collapsed="false">
      <c r="O978" s="13"/>
    </row>
    <row r="979" customFormat="false" ht="15" hidden="false" customHeight="true" outlineLevel="0" collapsed="false">
      <c r="O979" s="13"/>
    </row>
    <row r="980" customFormat="false" ht="15" hidden="false" customHeight="true" outlineLevel="0" collapsed="false">
      <c r="O980" s="13"/>
    </row>
    <row r="981" customFormat="false" ht="15" hidden="false" customHeight="true" outlineLevel="0" collapsed="false">
      <c r="O981" s="13"/>
    </row>
    <row r="982" customFormat="false" ht="15" hidden="false" customHeight="true" outlineLevel="0" collapsed="false">
      <c r="O982" s="13"/>
    </row>
    <row r="983" customFormat="false" ht="15" hidden="false" customHeight="true" outlineLevel="0" collapsed="false">
      <c r="O983" s="13"/>
    </row>
    <row r="984" customFormat="false" ht="15" hidden="false" customHeight="true" outlineLevel="0" collapsed="false">
      <c r="O984" s="13"/>
    </row>
    <row r="985" customFormat="false" ht="15" hidden="false" customHeight="true" outlineLevel="0" collapsed="false">
      <c r="O985" s="13"/>
    </row>
    <row r="986" customFormat="false" ht="15" hidden="false" customHeight="true" outlineLevel="0" collapsed="false">
      <c r="O986" s="13"/>
    </row>
    <row r="987" customFormat="false" ht="15" hidden="false" customHeight="true" outlineLevel="0" collapsed="false">
      <c r="O987" s="13"/>
    </row>
    <row r="988" customFormat="false" ht="15" hidden="false" customHeight="true" outlineLevel="0" collapsed="false">
      <c r="O988" s="13"/>
    </row>
    <row r="989" customFormat="false" ht="15" hidden="false" customHeight="true" outlineLevel="0" collapsed="false">
      <c r="O989" s="13"/>
    </row>
    <row r="990" customFormat="false" ht="15" hidden="false" customHeight="true" outlineLevel="0" collapsed="false">
      <c r="O990" s="13"/>
    </row>
    <row r="991" customFormat="false" ht="15" hidden="false" customHeight="true" outlineLevel="0" collapsed="false">
      <c r="O991" s="13"/>
    </row>
    <row r="992" customFormat="false" ht="15" hidden="false" customHeight="true" outlineLevel="0" collapsed="false">
      <c r="O992" s="13"/>
    </row>
    <row r="993" customFormat="false" ht="15" hidden="false" customHeight="true" outlineLevel="0" collapsed="false">
      <c r="O993" s="13"/>
    </row>
    <row r="994" customFormat="false" ht="15" hidden="false" customHeight="true" outlineLevel="0" collapsed="false">
      <c r="O994" s="13"/>
    </row>
    <row r="995" customFormat="false" ht="15" hidden="false" customHeight="true" outlineLevel="0" collapsed="false">
      <c r="O995" s="13"/>
    </row>
    <row r="996" customFormat="false" ht="15" hidden="false" customHeight="true" outlineLevel="0" collapsed="false">
      <c r="O996" s="13"/>
    </row>
    <row r="997" customFormat="false" ht="15" hidden="false" customHeight="true" outlineLevel="0" collapsed="false">
      <c r="O997" s="13"/>
    </row>
    <row r="998" customFormat="false" ht="15" hidden="false" customHeight="true" outlineLevel="0" collapsed="false">
      <c r="O998" s="13"/>
    </row>
    <row r="999" customFormat="false" ht="15" hidden="false" customHeight="true" outlineLevel="0" collapsed="false">
      <c r="O999" s="13"/>
    </row>
    <row r="1000" customFormat="false" ht="15" hidden="false" customHeight="true" outlineLevel="0" collapsed="false">
      <c r="O1000" s="13"/>
    </row>
  </sheetData>
  <autoFilter ref="A1:AI73"/>
  <dataValidations count="12">
    <dataValidation allowBlank="true" errorStyle="stop" operator="between" showDropDown="false" showErrorMessage="false" showInputMessage="false" sqref="C2:C1000" type="list">
      <formula1>Lookups!$D$2:$D$7</formula1>
      <formula2>0</formula2>
    </dataValidation>
    <dataValidation allowBlank="true" errorStyle="stop" operator="between" showDropDown="false" showErrorMessage="false" showInputMessage="false" sqref="D2:D1000" type="list">
      <formula1>Lookups!$E$2:$E$3</formula1>
      <formula2>0</formula2>
    </dataValidation>
    <dataValidation allowBlank="true" errorStyle="stop" operator="between" showDropDown="false" showErrorMessage="false" showInputMessage="false" sqref="I2:I1000" type="list">
      <formula1>Lookups!$F$2:$F$4</formula1>
      <formula2>0</formula2>
    </dataValidation>
    <dataValidation allowBlank="true" errorStyle="stop" operator="between" showDropDown="false" showErrorMessage="false" showInputMessage="false" sqref="K2:K1000" type="list">
      <formula1>Lookups!$G$2:$G$5</formula1>
      <formula2>0</formula2>
    </dataValidation>
    <dataValidation allowBlank="true" errorStyle="stop" operator="between" showDropDown="false" showErrorMessage="false" showInputMessage="false" sqref="L2:L1000" type="list">
      <formula1>Lookups!$H$2:$H$6</formula1>
      <formula2>0</formula2>
    </dataValidation>
    <dataValidation allowBlank="true" errorStyle="stop" operator="between" showDropDown="false" showErrorMessage="false" showInputMessage="false" sqref="U2:U1000" type="list">
      <formula1>Lookups!$I$2:$I$10</formula1>
      <formula2>0</formula2>
    </dataValidation>
    <dataValidation allowBlank="true" errorStyle="stop" operator="between" showDropDown="false" showErrorMessage="false" showInputMessage="false" sqref="X2:X1000" type="list">
      <formula1>Lookups!$J$2:$J$11</formula1>
      <formula2>0</formula2>
    </dataValidation>
    <dataValidation allowBlank="true" errorStyle="stop" operator="between" showDropDown="false" showErrorMessage="false" showInputMessage="false" sqref="Y2:Y1000" type="list">
      <formula1>Lookups!$K$2:$K$5</formula1>
      <formula2>0</formula2>
    </dataValidation>
    <dataValidation allowBlank="true" errorStyle="stop" operator="between" showDropDown="false" showErrorMessage="false" showInputMessage="false" sqref="Z2:Z1000" type="list">
      <formula1>Lookups!$L$2:$L$4</formula1>
      <formula2>0</formula2>
    </dataValidation>
    <dataValidation allowBlank="true" errorStyle="stop" operator="between" showDropDown="false" showErrorMessage="false" showInputMessage="false" sqref="AB2:AB1000" type="list">
      <formula1>Lookups!$M$2:$M$5</formula1>
      <formula2>0</formula2>
    </dataValidation>
    <dataValidation allowBlank="true" errorStyle="stop" operator="between" showDropDown="false" showErrorMessage="false" showInputMessage="false" sqref="AD2:AD1000" type="list">
      <formula1>Lookups!$N$2:$N$7</formula1>
      <formula2>0</formula2>
    </dataValidation>
    <dataValidation allowBlank="true" errorStyle="stop" operator="between" showDropDown="false" showErrorMessage="false" showInputMessage="false" sqref="AH2:AH1000" type="list">
      <formula1>Lookups!$O$2:$O$5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20"/>
    <col collapsed="false" customWidth="true" hidden="false" outlineLevel="0" max="3" min="3" style="1" width="16"/>
    <col collapsed="false" customWidth="true" hidden="false" outlineLevel="0" max="4" min="4" style="1" width="14"/>
    <col collapsed="false" customWidth="true" hidden="false" outlineLevel="0" max="5" min="5" style="1" width="11"/>
    <col collapsed="false" customWidth="true" hidden="false" outlineLevel="0" max="6" min="6" style="1" width="50"/>
    <col collapsed="false" customWidth="true" hidden="false" outlineLevel="0" max="7" min="7" style="1" width="30"/>
    <col collapsed="false" customWidth="true" hidden="false" outlineLevel="0" max="8" min="8" style="1" width="18"/>
    <col collapsed="false" customWidth="true" hidden="false" outlineLevel="0" max="9" min="9" style="1" width="11"/>
    <col collapsed="false" customWidth="true" hidden="false" outlineLevel="0" max="10" min="10" style="1" width="9"/>
    <col collapsed="false" customWidth="true" hidden="false" outlineLevel="0" max="11" min="11" style="1" width="40"/>
  </cols>
  <sheetData>
    <row r="1" customFormat="false" ht="34.5" hidden="false" customHeight="true" outlineLevel="0" collapsed="false">
      <c r="A1" s="5" t="s">
        <v>967</v>
      </c>
      <c r="B1" s="5" t="s">
        <v>2</v>
      </c>
      <c r="C1" s="5" t="s">
        <v>968</v>
      </c>
      <c r="D1" s="5" t="s">
        <v>37</v>
      </c>
      <c r="E1" s="5" t="s">
        <v>34</v>
      </c>
      <c r="F1" s="5" t="s">
        <v>969</v>
      </c>
      <c r="G1" s="5" t="s">
        <v>970</v>
      </c>
      <c r="H1" s="5" t="s">
        <v>971</v>
      </c>
      <c r="I1" s="5" t="s">
        <v>972</v>
      </c>
      <c r="J1" s="5" t="s">
        <v>973</v>
      </c>
      <c r="K1" s="5" t="s">
        <v>974</v>
      </c>
    </row>
    <row r="2" customFormat="false" ht="57" hidden="false" customHeight="true" outlineLevel="0" collapsed="false">
      <c r="A2" s="6" t="s">
        <v>975</v>
      </c>
      <c r="B2" s="6" t="s">
        <v>4</v>
      </c>
      <c r="C2" s="6" t="s">
        <v>976</v>
      </c>
      <c r="D2" s="6" t="s">
        <v>866</v>
      </c>
      <c r="E2" s="8" t="s">
        <v>977</v>
      </c>
      <c r="F2" s="6" t="s">
        <v>978</v>
      </c>
      <c r="G2" s="6" t="s">
        <v>979</v>
      </c>
      <c r="H2" s="6" t="s">
        <v>980</v>
      </c>
      <c r="I2" s="6" t="s">
        <v>55</v>
      </c>
      <c r="J2" s="6" t="s">
        <v>981</v>
      </c>
      <c r="K2" s="6" t="s">
        <v>982</v>
      </c>
    </row>
    <row r="3" customFormat="false" ht="23.25" hidden="false" customHeight="true" outlineLevel="0" collapsed="false">
      <c r="A3" s="6" t="s">
        <v>983</v>
      </c>
      <c r="B3" s="6" t="s">
        <v>4</v>
      </c>
      <c r="C3" s="6" t="s">
        <v>984</v>
      </c>
      <c r="D3" s="6" t="s">
        <v>866</v>
      </c>
      <c r="E3" s="8" t="s">
        <v>985</v>
      </c>
      <c r="F3" s="6" t="s">
        <v>986</v>
      </c>
      <c r="G3" s="6" t="s">
        <v>987</v>
      </c>
      <c r="H3" s="6" t="s">
        <v>988</v>
      </c>
      <c r="I3" s="6" t="s">
        <v>55</v>
      </c>
      <c r="J3" s="6" t="s">
        <v>981</v>
      </c>
      <c r="K3" s="6" t="s">
        <v>989</v>
      </c>
    </row>
    <row r="4" customFormat="false" ht="23.25" hidden="false" customHeight="true" outlineLevel="0" collapsed="false">
      <c r="A4" s="6" t="s">
        <v>990</v>
      </c>
      <c r="B4" s="6" t="s">
        <v>4</v>
      </c>
      <c r="C4" s="6" t="s">
        <v>184</v>
      </c>
      <c r="D4" s="6" t="s">
        <v>185</v>
      </c>
      <c r="E4" s="8" t="s">
        <v>991</v>
      </c>
      <c r="F4" s="6" t="s">
        <v>992</v>
      </c>
      <c r="G4" s="6" t="s">
        <v>993</v>
      </c>
      <c r="H4" s="6" t="s">
        <v>994</v>
      </c>
      <c r="I4" s="6" t="s">
        <v>55</v>
      </c>
      <c r="J4" s="6" t="s">
        <v>995</v>
      </c>
      <c r="K4" s="6" t="s">
        <v>996</v>
      </c>
    </row>
    <row r="5" customFormat="false" ht="34.5" hidden="false" customHeight="true" outlineLevel="0" collapsed="false">
      <c r="A5" s="6" t="s">
        <v>997</v>
      </c>
      <c r="B5" s="6" t="s">
        <v>9</v>
      </c>
      <c r="C5" s="6" t="s">
        <v>998</v>
      </c>
      <c r="D5" s="6" t="s">
        <v>999</v>
      </c>
      <c r="E5" s="8" t="s">
        <v>1000</v>
      </c>
      <c r="F5" s="6" t="s">
        <v>1001</v>
      </c>
      <c r="G5" s="6" t="s">
        <v>1002</v>
      </c>
      <c r="H5" s="6" t="s">
        <v>994</v>
      </c>
      <c r="I5" s="6" t="s">
        <v>55</v>
      </c>
      <c r="J5" s="6" t="s">
        <v>1003</v>
      </c>
      <c r="K5" s="6" t="s">
        <v>1004</v>
      </c>
    </row>
    <row r="6" customFormat="false" ht="23.25" hidden="false" customHeight="true" outlineLevel="0" collapsed="false">
      <c r="A6" s="6" t="s">
        <v>1005</v>
      </c>
      <c r="B6" s="6" t="s">
        <v>6</v>
      </c>
      <c r="C6" s="6" t="s">
        <v>1006</v>
      </c>
      <c r="D6" s="6" t="s">
        <v>866</v>
      </c>
      <c r="E6" s="8" t="s">
        <v>985</v>
      </c>
      <c r="F6" s="6" t="s">
        <v>1007</v>
      </c>
      <c r="G6" s="6" t="s">
        <v>1008</v>
      </c>
      <c r="H6" s="6" t="s">
        <v>988</v>
      </c>
      <c r="I6" s="6" t="s">
        <v>55</v>
      </c>
      <c r="J6" s="6" t="s">
        <v>995</v>
      </c>
      <c r="K6" s="6"/>
    </row>
    <row r="7" customFormat="false" ht="34.5" hidden="false" customHeight="true" outlineLevel="0" collapsed="false">
      <c r="A7" s="6" t="s">
        <v>1009</v>
      </c>
      <c r="B7" s="6" t="s">
        <v>6</v>
      </c>
      <c r="C7" s="6" t="s">
        <v>1010</v>
      </c>
      <c r="D7" s="6" t="s">
        <v>252</v>
      </c>
      <c r="E7" s="8" t="s">
        <v>1011</v>
      </c>
      <c r="F7" s="6" t="s">
        <v>1012</v>
      </c>
      <c r="G7" s="6" t="s">
        <v>1013</v>
      </c>
      <c r="H7" s="6" t="s">
        <v>988</v>
      </c>
      <c r="I7" s="6" t="s">
        <v>55</v>
      </c>
      <c r="J7" s="6" t="s">
        <v>995</v>
      </c>
      <c r="K7" s="6" t="s">
        <v>1014</v>
      </c>
    </row>
    <row r="8" customFormat="false" ht="23.25" hidden="false" customHeight="true" outlineLevel="0" collapsed="false">
      <c r="A8" s="6" t="s">
        <v>1015</v>
      </c>
      <c r="B8" s="6" t="s">
        <v>4</v>
      </c>
      <c r="C8" s="6" t="s">
        <v>1016</v>
      </c>
      <c r="D8" s="6" t="s">
        <v>1017</v>
      </c>
      <c r="E8" s="8" t="s">
        <v>1018</v>
      </c>
      <c r="F8" s="6" t="s">
        <v>1019</v>
      </c>
      <c r="G8" s="6" t="s">
        <v>1020</v>
      </c>
      <c r="H8" s="6" t="s">
        <v>988</v>
      </c>
      <c r="I8" s="6" t="s">
        <v>55</v>
      </c>
      <c r="J8" s="6" t="s">
        <v>981</v>
      </c>
      <c r="K8" s="6" t="s">
        <v>1021</v>
      </c>
    </row>
    <row r="9" customFormat="false" ht="23.25" hidden="false" customHeight="true" outlineLevel="0" collapsed="false">
      <c r="A9" s="6" t="s">
        <v>1022</v>
      </c>
      <c r="B9" s="6" t="s">
        <v>4</v>
      </c>
      <c r="C9" s="6" t="s">
        <v>1023</v>
      </c>
      <c r="D9" s="6" t="s">
        <v>172</v>
      </c>
      <c r="E9" s="8" t="s">
        <v>1024</v>
      </c>
      <c r="F9" s="6" t="s">
        <v>1025</v>
      </c>
      <c r="G9" s="6" t="s">
        <v>1026</v>
      </c>
      <c r="H9" s="6" t="s">
        <v>988</v>
      </c>
      <c r="I9" s="6" t="s">
        <v>55</v>
      </c>
      <c r="J9" s="6" t="s">
        <v>981</v>
      </c>
      <c r="K9" s="6"/>
    </row>
    <row r="10" customFormat="false" ht="23.25" hidden="false" customHeight="true" outlineLevel="0" collapsed="false">
      <c r="A10" s="6" t="s">
        <v>1027</v>
      </c>
      <c r="B10" s="6" t="s">
        <v>9</v>
      </c>
      <c r="C10" s="6" t="s">
        <v>195</v>
      </c>
      <c r="D10" s="6" t="s">
        <v>196</v>
      </c>
      <c r="E10" s="8" t="s">
        <v>1028</v>
      </c>
      <c r="F10" s="6" t="s">
        <v>1029</v>
      </c>
      <c r="G10" s="6" t="s">
        <v>1030</v>
      </c>
      <c r="H10" s="6" t="s">
        <v>988</v>
      </c>
      <c r="I10" s="6" t="s">
        <v>55</v>
      </c>
      <c r="J10" s="6" t="s">
        <v>995</v>
      </c>
      <c r="K10" s="6" t="s">
        <v>1031</v>
      </c>
    </row>
    <row r="11" customFormat="false" ht="34.5" hidden="false" customHeight="true" outlineLevel="0" collapsed="false">
      <c r="A11" s="6" t="s">
        <v>1032</v>
      </c>
      <c r="B11" s="6" t="s">
        <v>5</v>
      </c>
      <c r="C11" s="6" t="s">
        <v>1033</v>
      </c>
      <c r="D11" s="6" t="s">
        <v>1034</v>
      </c>
      <c r="E11" s="8" t="s">
        <v>1035</v>
      </c>
      <c r="F11" s="6" t="s">
        <v>1036</v>
      </c>
      <c r="G11" s="6" t="s">
        <v>1037</v>
      </c>
      <c r="H11" s="6" t="s">
        <v>988</v>
      </c>
      <c r="I11" s="6" t="s">
        <v>55</v>
      </c>
      <c r="J11" s="6" t="s">
        <v>995</v>
      </c>
      <c r="K11" s="6" t="s">
        <v>1038</v>
      </c>
    </row>
    <row r="12" customFormat="false" ht="23.25" hidden="false" customHeight="true" outlineLevel="0" collapsed="false">
      <c r="A12" s="6" t="s">
        <v>1039</v>
      </c>
      <c r="B12" s="6" t="s">
        <v>5</v>
      </c>
      <c r="C12" s="6" t="s">
        <v>1040</v>
      </c>
      <c r="D12" s="6" t="s">
        <v>252</v>
      </c>
      <c r="E12" s="8" t="s">
        <v>1041</v>
      </c>
      <c r="F12" s="6" t="s">
        <v>1042</v>
      </c>
      <c r="G12" s="6" t="s">
        <v>1043</v>
      </c>
      <c r="H12" s="6" t="s">
        <v>988</v>
      </c>
      <c r="I12" s="6" t="s">
        <v>55</v>
      </c>
      <c r="J12" s="6" t="s">
        <v>995</v>
      </c>
      <c r="K12" s="6" t="s">
        <v>1044</v>
      </c>
    </row>
    <row r="13" customFormat="false" ht="23.25" hidden="false" customHeight="true" outlineLevel="0" collapsed="false">
      <c r="A13" s="6" t="s">
        <v>1045</v>
      </c>
      <c r="B13" s="6" t="s">
        <v>6</v>
      </c>
      <c r="C13" s="6" t="s">
        <v>1046</v>
      </c>
      <c r="D13" s="6" t="s">
        <v>1047</v>
      </c>
      <c r="E13" s="8" t="s">
        <v>1048</v>
      </c>
      <c r="F13" s="6" t="s">
        <v>1049</v>
      </c>
      <c r="G13" s="6" t="s">
        <v>1050</v>
      </c>
      <c r="H13" s="6" t="s">
        <v>988</v>
      </c>
      <c r="I13" s="6" t="s">
        <v>55</v>
      </c>
      <c r="J13" s="6" t="s">
        <v>1003</v>
      </c>
      <c r="K13" s="6" t="s">
        <v>1051</v>
      </c>
    </row>
    <row r="14" customFormat="false" ht="23.25" hidden="false" customHeight="true" outlineLevel="0" collapsed="false">
      <c r="A14" s="6" t="s">
        <v>1052</v>
      </c>
      <c r="B14" s="6" t="s">
        <v>6</v>
      </c>
      <c r="C14" s="6" t="s">
        <v>1053</v>
      </c>
      <c r="D14" s="6" t="s">
        <v>185</v>
      </c>
      <c r="E14" s="8" t="s">
        <v>1054</v>
      </c>
      <c r="F14" s="6" t="s">
        <v>1055</v>
      </c>
      <c r="G14" s="6" t="s">
        <v>1056</v>
      </c>
      <c r="H14" s="6" t="s">
        <v>988</v>
      </c>
      <c r="I14" s="6" t="s">
        <v>55</v>
      </c>
      <c r="J14" s="6" t="s">
        <v>1003</v>
      </c>
      <c r="K14" s="6" t="s">
        <v>1057</v>
      </c>
    </row>
    <row r="15" customFormat="false" ht="34.5" hidden="false" customHeight="true" outlineLevel="0" collapsed="false">
      <c r="A15" s="6" t="s">
        <v>1058</v>
      </c>
      <c r="B15" s="6" t="s">
        <v>9</v>
      </c>
      <c r="C15" s="6" t="s">
        <v>1059</v>
      </c>
      <c r="D15" s="6" t="s">
        <v>1060</v>
      </c>
      <c r="E15" s="8" t="s">
        <v>1061</v>
      </c>
      <c r="F15" s="6" t="s">
        <v>1062</v>
      </c>
      <c r="G15" s="6" t="s">
        <v>1063</v>
      </c>
      <c r="H15" s="6" t="s">
        <v>988</v>
      </c>
      <c r="I15" s="6" t="s">
        <v>55</v>
      </c>
      <c r="J15" s="6" t="s">
        <v>995</v>
      </c>
      <c r="K15" s="6" t="s">
        <v>1064</v>
      </c>
    </row>
    <row r="16" customFormat="false" ht="34.5" hidden="false" customHeight="true" outlineLevel="0" collapsed="false">
      <c r="A16" s="6" t="s">
        <v>1065</v>
      </c>
      <c r="B16" s="6" t="s">
        <v>9</v>
      </c>
      <c r="C16" s="6" t="s">
        <v>1059</v>
      </c>
      <c r="D16" s="6" t="s">
        <v>1060</v>
      </c>
      <c r="E16" s="8" t="s">
        <v>1066</v>
      </c>
      <c r="F16" s="6" t="s">
        <v>1067</v>
      </c>
      <c r="G16" s="6" t="s">
        <v>1068</v>
      </c>
      <c r="H16" s="6" t="s">
        <v>988</v>
      </c>
      <c r="I16" s="6" t="s">
        <v>55</v>
      </c>
      <c r="J16" s="6" t="s">
        <v>995</v>
      </c>
      <c r="K16" s="6" t="s">
        <v>1069</v>
      </c>
    </row>
    <row r="17" customFormat="false" ht="34.5" hidden="false" customHeight="true" outlineLevel="0" collapsed="false">
      <c r="A17" s="6" t="s">
        <v>1070</v>
      </c>
      <c r="B17" s="6" t="s">
        <v>4</v>
      </c>
      <c r="C17" s="6" t="s">
        <v>227</v>
      </c>
      <c r="D17" s="6" t="s">
        <v>228</v>
      </c>
      <c r="E17" s="8" t="s">
        <v>1071</v>
      </c>
      <c r="F17" s="6" t="s">
        <v>1072</v>
      </c>
      <c r="G17" s="6" t="s">
        <v>1073</v>
      </c>
      <c r="H17" s="6" t="s">
        <v>988</v>
      </c>
      <c r="I17" s="6" t="s">
        <v>55</v>
      </c>
      <c r="J17" s="6" t="s">
        <v>981</v>
      </c>
      <c r="K17" s="6" t="s">
        <v>1074</v>
      </c>
    </row>
    <row r="18" customFormat="false" ht="45.75" hidden="false" customHeight="true" outlineLevel="0" collapsed="false">
      <c r="A18" s="6" t="s">
        <v>1075</v>
      </c>
      <c r="B18" s="6" t="s">
        <v>4</v>
      </c>
      <c r="C18" s="6" t="s">
        <v>227</v>
      </c>
      <c r="D18" s="6" t="s">
        <v>241</v>
      </c>
      <c r="E18" s="8" t="s">
        <v>1076</v>
      </c>
      <c r="F18" s="6" t="s">
        <v>1077</v>
      </c>
      <c r="G18" s="6" t="s">
        <v>1078</v>
      </c>
      <c r="H18" s="6" t="s">
        <v>988</v>
      </c>
      <c r="I18" s="6" t="s">
        <v>55</v>
      </c>
      <c r="J18" s="6" t="s">
        <v>995</v>
      </c>
      <c r="K18" s="6" t="s">
        <v>1079</v>
      </c>
    </row>
    <row r="19" customFormat="false" ht="23.25" hidden="false" customHeight="true" outlineLevel="0" collapsed="false">
      <c r="A19" s="6" t="s">
        <v>1080</v>
      </c>
      <c r="B19" s="6" t="s">
        <v>9</v>
      </c>
      <c r="C19" s="6" t="s">
        <v>1081</v>
      </c>
      <c r="D19" s="6" t="s">
        <v>1060</v>
      </c>
      <c r="E19" s="8" t="s">
        <v>1082</v>
      </c>
      <c r="F19" s="6" t="s">
        <v>1083</v>
      </c>
      <c r="G19" s="6" t="s">
        <v>1084</v>
      </c>
      <c r="H19" s="6" t="s">
        <v>988</v>
      </c>
      <c r="I19" s="6" t="s">
        <v>55</v>
      </c>
      <c r="J19" s="6" t="s">
        <v>981</v>
      </c>
      <c r="K19" s="6" t="s">
        <v>1085</v>
      </c>
    </row>
    <row r="20" customFormat="false" ht="34.5" hidden="false" customHeight="true" outlineLevel="0" collapsed="false">
      <c r="A20" s="6" t="s">
        <v>1086</v>
      </c>
      <c r="B20" s="6" t="s">
        <v>9</v>
      </c>
      <c r="C20" s="6" t="s">
        <v>1023</v>
      </c>
      <c r="D20" s="6" t="s">
        <v>172</v>
      </c>
      <c r="E20" s="8" t="s">
        <v>1087</v>
      </c>
      <c r="F20" s="6" t="s">
        <v>1088</v>
      </c>
      <c r="G20" s="6" t="s">
        <v>1089</v>
      </c>
      <c r="H20" s="6" t="s">
        <v>1090</v>
      </c>
      <c r="I20" s="6" t="s">
        <v>1091</v>
      </c>
      <c r="J20" s="6" t="s">
        <v>995</v>
      </c>
      <c r="K20" s="6" t="s">
        <v>1092</v>
      </c>
    </row>
    <row r="21" customFormat="false" ht="45.75" hidden="false" customHeight="true" outlineLevel="0" collapsed="false">
      <c r="A21" s="6" t="s">
        <v>1093</v>
      </c>
      <c r="B21" s="6" t="s">
        <v>9</v>
      </c>
      <c r="C21" s="6" t="s">
        <v>1094</v>
      </c>
      <c r="D21" s="6" t="s">
        <v>1095</v>
      </c>
      <c r="E21" s="8" t="s">
        <v>1096</v>
      </c>
      <c r="F21" s="6" t="s">
        <v>1097</v>
      </c>
      <c r="G21" s="6" t="s">
        <v>1098</v>
      </c>
      <c r="H21" s="6" t="s">
        <v>1090</v>
      </c>
      <c r="I21" s="6" t="s">
        <v>88</v>
      </c>
      <c r="J21" s="6" t="s">
        <v>1003</v>
      </c>
      <c r="K21" s="6" t="s">
        <v>1099</v>
      </c>
    </row>
    <row r="22" customFormat="false" ht="34.5" hidden="false" customHeight="true" outlineLevel="0" collapsed="false">
      <c r="A22" s="6" t="s">
        <v>1100</v>
      </c>
      <c r="B22" s="6" t="s">
        <v>9</v>
      </c>
      <c r="C22" s="6" t="s">
        <v>1101</v>
      </c>
      <c r="D22" s="6" t="s">
        <v>196</v>
      </c>
      <c r="E22" s="8" t="s">
        <v>1102</v>
      </c>
      <c r="F22" s="6" t="s">
        <v>1103</v>
      </c>
      <c r="G22" s="6" t="s">
        <v>1104</v>
      </c>
      <c r="H22" s="6" t="s">
        <v>1105</v>
      </c>
      <c r="I22" s="6" t="s">
        <v>88</v>
      </c>
      <c r="J22" s="6" t="s">
        <v>1003</v>
      </c>
      <c r="K22" s="6" t="s">
        <v>1106</v>
      </c>
    </row>
    <row r="23" customFormat="false" ht="34.5" hidden="false" customHeight="true" outlineLevel="0" collapsed="false">
      <c r="A23" s="6" t="s">
        <v>1107</v>
      </c>
      <c r="B23" s="6" t="s">
        <v>9</v>
      </c>
      <c r="C23" s="6" t="s">
        <v>1108</v>
      </c>
      <c r="D23" s="6" t="s">
        <v>1095</v>
      </c>
      <c r="E23" s="8" t="s">
        <v>1109</v>
      </c>
      <c r="F23" s="6" t="s">
        <v>1110</v>
      </c>
      <c r="G23" s="6" t="s">
        <v>1111</v>
      </c>
      <c r="H23" s="6" t="s">
        <v>1105</v>
      </c>
      <c r="I23" s="6" t="s">
        <v>88</v>
      </c>
      <c r="J23" s="6" t="s">
        <v>1003</v>
      </c>
      <c r="K23" s="6" t="s">
        <v>1112</v>
      </c>
    </row>
    <row r="24" customFormat="false" ht="79.5" hidden="false" customHeight="true" outlineLevel="0" collapsed="false">
      <c r="A24" s="6" t="s">
        <v>1113</v>
      </c>
      <c r="B24" s="6" t="s">
        <v>4</v>
      </c>
      <c r="C24" s="6" t="s">
        <v>184</v>
      </c>
      <c r="D24" s="6" t="s">
        <v>185</v>
      </c>
      <c r="E24" s="8" t="s">
        <v>1114</v>
      </c>
      <c r="F24" s="6" t="s">
        <v>1115</v>
      </c>
      <c r="G24" s="6" t="s">
        <v>1116</v>
      </c>
      <c r="H24" s="6" t="s">
        <v>1105</v>
      </c>
      <c r="I24" s="6" t="s">
        <v>1091</v>
      </c>
      <c r="J24" s="6" t="s">
        <v>995</v>
      </c>
      <c r="K24" s="6" t="s">
        <v>1117</v>
      </c>
    </row>
    <row r="25" customFormat="false" ht="34.5" hidden="false" customHeight="true" outlineLevel="0" collapsed="false">
      <c r="A25" s="6" t="s">
        <v>1118</v>
      </c>
      <c r="B25" s="6" t="s">
        <v>9</v>
      </c>
      <c r="C25" s="6" t="s">
        <v>227</v>
      </c>
      <c r="D25" s="6" t="s">
        <v>241</v>
      </c>
      <c r="E25" s="8" t="s">
        <v>1119</v>
      </c>
      <c r="F25" s="6" t="s">
        <v>1120</v>
      </c>
      <c r="G25" s="6" t="s">
        <v>1121</v>
      </c>
      <c r="H25" s="6" t="s">
        <v>1105</v>
      </c>
      <c r="I25" s="6" t="s">
        <v>88</v>
      </c>
      <c r="J25" s="6" t="s">
        <v>1003</v>
      </c>
      <c r="K25" s="6" t="s">
        <v>1122</v>
      </c>
    </row>
    <row r="26" customFormat="false" ht="45.75" hidden="false" customHeight="true" outlineLevel="0" collapsed="false">
      <c r="A26" s="6" t="s">
        <v>1123</v>
      </c>
      <c r="B26" s="6" t="s">
        <v>9</v>
      </c>
      <c r="C26" s="6" t="s">
        <v>1124</v>
      </c>
      <c r="D26" s="6" t="s">
        <v>121</v>
      </c>
      <c r="E26" s="8" t="s">
        <v>1125</v>
      </c>
      <c r="F26" s="6" t="s">
        <v>1126</v>
      </c>
      <c r="G26" s="6" t="s">
        <v>1127</v>
      </c>
      <c r="H26" s="6" t="s">
        <v>1105</v>
      </c>
      <c r="I26" s="6" t="s">
        <v>88</v>
      </c>
      <c r="J26" s="6" t="s">
        <v>995</v>
      </c>
      <c r="K26" s="6" t="s">
        <v>1128</v>
      </c>
    </row>
    <row r="27" customFormat="false" ht="68.25" hidden="false" customHeight="true" outlineLevel="0" collapsed="false">
      <c r="A27" s="6" t="s">
        <v>1129</v>
      </c>
      <c r="B27" s="6" t="s">
        <v>9</v>
      </c>
      <c r="C27" s="6" t="s">
        <v>542</v>
      </c>
      <c r="D27" s="6" t="s">
        <v>447</v>
      </c>
      <c r="E27" s="8" t="s">
        <v>1130</v>
      </c>
      <c r="F27" s="6" t="s">
        <v>1131</v>
      </c>
      <c r="G27" s="6" t="s">
        <v>1132</v>
      </c>
      <c r="H27" s="6" t="s">
        <v>1105</v>
      </c>
      <c r="I27" s="6" t="s">
        <v>1091</v>
      </c>
      <c r="J27" s="6" t="s">
        <v>995</v>
      </c>
      <c r="K27" s="6" t="s">
        <v>1133</v>
      </c>
    </row>
    <row r="28" customFormat="false" ht="57" hidden="false" customHeight="true" outlineLevel="0" collapsed="false">
      <c r="A28" s="6" t="s">
        <v>1134</v>
      </c>
      <c r="B28" s="6" t="s">
        <v>9</v>
      </c>
      <c r="C28" s="6" t="s">
        <v>1135</v>
      </c>
      <c r="D28" s="6" t="s">
        <v>634</v>
      </c>
      <c r="E28" s="8" t="s">
        <v>1136</v>
      </c>
      <c r="F28" s="6" t="s">
        <v>1137</v>
      </c>
      <c r="G28" s="6" t="s">
        <v>1138</v>
      </c>
      <c r="H28" s="6" t="s">
        <v>1139</v>
      </c>
      <c r="I28" s="6" t="s">
        <v>88</v>
      </c>
      <c r="J28" s="6" t="s">
        <v>995</v>
      </c>
      <c r="K28" s="6" t="s">
        <v>1140</v>
      </c>
    </row>
  </sheetData>
  <autoFilter ref="A1:K28"/>
  <dataValidations count="3">
    <dataValidation allowBlank="true" errorStyle="stop" operator="between" showDropDown="false" showErrorMessage="false" showInputMessage="false" sqref="B2:B500" type="list">
      <formula1>Lookups!$D$2:$D$7</formula1>
      <formula2>0</formula2>
    </dataValidation>
    <dataValidation allowBlank="true" errorStyle="stop" operator="between" showDropDown="false" showErrorMessage="false" showInputMessage="false" sqref="I2:I500" type="list">
      <formula1>"Y,N"</formula1>
      <formula2>0</formula2>
    </dataValidation>
    <dataValidation allowBlank="true" errorStyle="stop" operator="between" showDropDown="false" showErrorMessage="false" showInputMessage="false" sqref="J2:J500"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00"/>
  </cols>
  <sheetData>
    <row r="1" customFormat="false" ht="15" hidden="false" customHeight="true" outlineLevel="0" collapsed="false">
      <c r="A1" s="14" t="s">
        <v>1141</v>
      </c>
      <c r="B1" s="15"/>
    </row>
    <row r="2" customFormat="false" ht="15" hidden="false" customHeight="true" outlineLevel="0" collapsed="false">
      <c r="A2" s="16"/>
      <c r="B2" s="15"/>
    </row>
    <row r="3" customFormat="false" ht="15" hidden="false" customHeight="true" outlineLevel="0" collapsed="false">
      <c r="A3" s="16" t="s">
        <v>1142</v>
      </c>
      <c r="B3" s="15" t="s">
        <v>1143</v>
      </c>
    </row>
    <row r="4" customFormat="false" ht="23.25" hidden="false" customHeight="true" outlineLevel="0" collapsed="false">
      <c r="A4" s="16" t="s">
        <v>973</v>
      </c>
      <c r="B4" s="15" t="s">
        <v>1144</v>
      </c>
    </row>
    <row r="5" customFormat="false" ht="23.25" hidden="false" customHeight="true" outlineLevel="0" collapsed="false">
      <c r="A5" s="16" t="s">
        <v>1145</v>
      </c>
      <c r="B5" s="15" t="s">
        <v>1146</v>
      </c>
    </row>
    <row r="6" customFormat="false" ht="15" hidden="false" customHeight="true" outlineLevel="0" collapsed="false">
      <c r="A6" s="16" t="s">
        <v>1147</v>
      </c>
      <c r="B6" s="15" t="s">
        <v>1148</v>
      </c>
    </row>
    <row r="7" customFormat="false" ht="15" hidden="false" customHeight="true" outlineLevel="0" collapsed="false">
      <c r="A7" s="16"/>
      <c r="B7" s="15"/>
    </row>
    <row r="8" customFormat="false" ht="15" hidden="false" customHeight="true" outlineLevel="0" collapsed="false">
      <c r="A8" s="16" t="s">
        <v>1149</v>
      </c>
      <c r="B8" s="15"/>
    </row>
    <row r="9" customFormat="false" ht="15" hidden="false" customHeight="true" outlineLevel="0" collapsed="false">
      <c r="A9" s="16" t="s">
        <v>4</v>
      </c>
      <c r="B9" s="15" t="s">
        <v>1150</v>
      </c>
    </row>
    <row r="10" customFormat="false" ht="15" hidden="false" customHeight="true" outlineLevel="0" collapsed="false">
      <c r="A10" s="16" t="s">
        <v>5</v>
      </c>
      <c r="B10" s="15" t="s">
        <v>1151</v>
      </c>
    </row>
    <row r="11" customFormat="false" ht="15" hidden="false" customHeight="true" outlineLevel="0" collapsed="false">
      <c r="A11" s="16" t="s">
        <v>6</v>
      </c>
      <c r="B11" s="15" t="s">
        <v>1152</v>
      </c>
    </row>
    <row r="12" customFormat="false" ht="15" hidden="false" customHeight="true" outlineLevel="0" collapsed="false">
      <c r="A12" s="16" t="s">
        <v>7</v>
      </c>
      <c r="B12" s="15" t="s">
        <v>1153</v>
      </c>
    </row>
    <row r="13" customFormat="false" ht="15" hidden="false" customHeight="true" outlineLevel="0" collapsed="false">
      <c r="A13" s="16" t="s">
        <v>8</v>
      </c>
      <c r="B13" s="15" t="s">
        <v>1154</v>
      </c>
    </row>
    <row r="14" customFormat="false" ht="15" hidden="false" customHeight="true" outlineLevel="0" collapsed="false">
      <c r="A14" s="16"/>
      <c r="B14" s="15"/>
    </row>
    <row r="15" customFormat="false" ht="15" hidden="false" customHeight="true" outlineLevel="0" collapsed="false">
      <c r="A15" s="16" t="s">
        <v>1155</v>
      </c>
      <c r="B15" s="15"/>
    </row>
    <row r="16" customFormat="false" ht="15" hidden="false" customHeight="true" outlineLevel="0" collapsed="false">
      <c r="A16" s="16" t="s">
        <v>1156</v>
      </c>
      <c r="B16" s="15" t="s">
        <v>1157</v>
      </c>
    </row>
    <row r="17" customFormat="false" ht="15" hidden="false" customHeight="true" outlineLevel="0" collapsed="false">
      <c r="A17" s="16" t="s">
        <v>1158</v>
      </c>
      <c r="B17" s="15" t="s">
        <v>1159</v>
      </c>
    </row>
    <row r="18" customFormat="false" ht="15" hidden="false" customHeight="true" outlineLevel="0" collapsed="false">
      <c r="A18" s="16" t="s">
        <v>1160</v>
      </c>
      <c r="B18" s="15" t="s">
        <v>1161</v>
      </c>
    </row>
    <row r="19" customFormat="false" ht="15" hidden="false" customHeight="true" outlineLevel="0" collapsed="false">
      <c r="A19" s="16" t="s">
        <v>1162</v>
      </c>
      <c r="B19" s="15" t="s">
        <v>1163</v>
      </c>
    </row>
    <row r="20" customFormat="false" ht="15" hidden="false" customHeight="true" outlineLevel="0" collapsed="false">
      <c r="A20" s="16" t="s">
        <v>1164</v>
      </c>
      <c r="B20" s="15" t="s">
        <v>1165</v>
      </c>
    </row>
    <row r="21" customFormat="false" ht="15" hidden="false" customHeight="true" outlineLevel="0" collapsed="false">
      <c r="A21" s="16" t="s">
        <v>1166</v>
      </c>
      <c r="B21" s="15" t="s">
        <v>1167</v>
      </c>
    </row>
    <row r="22" customFormat="false" ht="15" hidden="false" customHeight="true" outlineLevel="0" collapsed="false">
      <c r="A22" s="16" t="s">
        <v>1168</v>
      </c>
      <c r="B22" s="15" t="s">
        <v>1169</v>
      </c>
    </row>
    <row r="23" customFormat="false" ht="15" hidden="false" customHeight="true" outlineLevel="0" collapsed="false">
      <c r="A23" s="16"/>
      <c r="B23" s="15"/>
    </row>
    <row r="24" customFormat="false" ht="15" hidden="false" customHeight="true" outlineLevel="0" collapsed="false">
      <c r="A24" s="16" t="s">
        <v>1170</v>
      </c>
      <c r="B24" s="15" t="s">
        <v>1171</v>
      </c>
    </row>
    <row r="25" customFormat="false" ht="23.25" hidden="false" customHeight="true" outlineLevel="0" collapsed="false">
      <c r="A25" s="16" t="s">
        <v>1172</v>
      </c>
      <c r="B25" s="15" t="s">
        <v>1173</v>
      </c>
    </row>
    <row r="26" customFormat="false" ht="15" hidden="false" customHeight="true" outlineLevel="0" collapsed="false">
      <c r="A26" s="16" t="s">
        <v>1174</v>
      </c>
      <c r="B26" s="15" t="s">
        <v>1175</v>
      </c>
    </row>
    <row r="27" customFormat="false" ht="23.25" hidden="false" customHeight="true" outlineLevel="0" collapsed="false">
      <c r="A27" s="16" t="s">
        <v>1176</v>
      </c>
      <c r="B27" s="15" t="s">
        <v>1177</v>
      </c>
    </row>
    <row r="28" customFormat="false" ht="23.25" hidden="false" customHeight="true" outlineLevel="0" collapsed="false">
      <c r="A28" s="16" t="s">
        <v>1178</v>
      </c>
      <c r="B28" s="15" t="s">
        <v>1179</v>
      </c>
    </row>
    <row r="29" customFormat="false" ht="15" hidden="false" customHeight="true" outlineLevel="0" collapsed="false">
      <c r="A29" s="16"/>
      <c r="B29" s="15"/>
    </row>
    <row r="30" customFormat="false" ht="15" hidden="false" customHeight="true" outlineLevel="0" collapsed="false">
      <c r="A30" s="16" t="s">
        <v>1180</v>
      </c>
      <c r="B30" s="15"/>
    </row>
    <row r="31" customFormat="false" ht="15" hidden="false" customHeight="true" outlineLevel="0" collapsed="false">
      <c r="A31" s="16" t="s">
        <v>1181</v>
      </c>
      <c r="B31" s="15" t="s">
        <v>1182</v>
      </c>
    </row>
    <row r="32" customFormat="false" ht="34.5" hidden="false" customHeight="true" outlineLevel="0" collapsed="false">
      <c r="A32" s="16" t="s">
        <v>1183</v>
      </c>
      <c r="B32" s="15" t="s">
        <v>1184</v>
      </c>
    </row>
    <row r="34" customFormat="false" ht="23.25" hidden="false" customHeight="true" outlineLevel="0" collapsed="false">
      <c r="A34" s="3" t="s">
        <v>1185</v>
      </c>
      <c r="B34" s="15" t="s">
        <v>1186</v>
      </c>
    </row>
    <row r="36" customFormat="false" ht="45.75" hidden="false" customHeight="true" outlineLevel="0" collapsed="false">
      <c r="A36" s="17" t="s">
        <v>1187</v>
      </c>
      <c r="B36" s="15" t="s">
        <v>1188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5" min="1" style="1" width="20"/>
  </cols>
  <sheetData>
    <row r="1" customFormat="false" ht="15" hidden="false" customHeight="true" outlineLevel="0" collapsed="false">
      <c r="A1" s="3" t="s">
        <v>1189</v>
      </c>
      <c r="B1" s="3" t="s">
        <v>1190</v>
      </c>
      <c r="C1" s="3"/>
      <c r="D1" s="3" t="s">
        <v>2</v>
      </c>
      <c r="E1" s="3" t="s">
        <v>23</v>
      </c>
      <c r="F1" s="3" t="s">
        <v>28</v>
      </c>
      <c r="G1" s="3" t="s">
        <v>30</v>
      </c>
      <c r="H1" s="3" t="s">
        <v>31</v>
      </c>
      <c r="I1" s="3" t="s">
        <v>39</v>
      </c>
      <c r="J1" s="3" t="s">
        <v>42</v>
      </c>
      <c r="K1" s="3" t="s">
        <v>12</v>
      </c>
      <c r="L1" s="3" t="s">
        <v>43</v>
      </c>
      <c r="M1" s="3" t="s">
        <v>45</v>
      </c>
      <c r="N1" s="3" t="s">
        <v>47</v>
      </c>
      <c r="O1" s="3" t="s">
        <v>51</v>
      </c>
    </row>
    <row r="2" customFormat="false" ht="15" hidden="false" customHeight="true" outlineLevel="0" collapsed="false">
      <c r="A2" s="18" t="s">
        <v>1191</v>
      </c>
      <c r="B2" s="4" t="s">
        <v>1192</v>
      </c>
      <c r="C2" s="4"/>
      <c r="D2" s="4" t="s">
        <v>4</v>
      </c>
      <c r="E2" s="4" t="s">
        <v>88</v>
      </c>
      <c r="F2" s="4" t="s">
        <v>274</v>
      </c>
      <c r="G2" s="4" t="s">
        <v>60</v>
      </c>
      <c r="H2" s="4" t="s">
        <v>61</v>
      </c>
      <c r="I2" s="4" t="s">
        <v>69</v>
      </c>
      <c r="J2" s="4" t="s">
        <v>103</v>
      </c>
      <c r="K2" s="4" t="s">
        <v>13</v>
      </c>
      <c r="L2" s="4" t="s">
        <v>88</v>
      </c>
      <c r="M2" s="4" t="s">
        <v>88</v>
      </c>
      <c r="N2" s="4" t="s">
        <v>106</v>
      </c>
      <c r="O2" s="4" t="s">
        <v>110</v>
      </c>
    </row>
    <row r="3" customFormat="false" ht="15" hidden="false" customHeight="true" outlineLevel="0" collapsed="false">
      <c r="A3" s="18" t="s">
        <v>1193</v>
      </c>
      <c r="B3" s="4" t="s">
        <v>1194</v>
      </c>
      <c r="C3" s="4"/>
      <c r="D3" s="4" t="s">
        <v>5</v>
      </c>
      <c r="E3" s="4" t="s">
        <v>55</v>
      </c>
      <c r="F3" s="4" t="s">
        <v>1195</v>
      </c>
      <c r="G3" s="4" t="s">
        <v>1196</v>
      </c>
      <c r="H3" s="4" t="s">
        <v>116</v>
      </c>
      <c r="I3" s="4" t="s">
        <v>85</v>
      </c>
      <c r="J3" s="4" t="s">
        <v>206</v>
      </c>
      <c r="K3" s="4" t="s">
        <v>14</v>
      </c>
      <c r="L3" s="4" t="s">
        <v>55</v>
      </c>
      <c r="M3" s="4" t="s">
        <v>55</v>
      </c>
      <c r="N3" s="4" t="s">
        <v>434</v>
      </c>
      <c r="O3" s="4" t="s">
        <v>1197</v>
      </c>
    </row>
    <row r="4" customFormat="false" ht="15" hidden="false" customHeight="true" outlineLevel="0" collapsed="false">
      <c r="A4" s="18" t="s">
        <v>1198</v>
      </c>
      <c r="B4" s="4" t="s">
        <v>1199</v>
      </c>
      <c r="C4" s="4"/>
      <c r="D4" s="4" t="s">
        <v>6</v>
      </c>
      <c r="E4" s="4"/>
      <c r="F4" s="4" t="s">
        <v>59</v>
      </c>
      <c r="G4" s="4" t="s">
        <v>1200</v>
      </c>
      <c r="H4" s="4" t="s">
        <v>1201</v>
      </c>
      <c r="I4" s="4" t="s">
        <v>815</v>
      </c>
      <c r="J4" s="4" t="s">
        <v>70</v>
      </c>
      <c r="K4" s="4" t="s">
        <v>15</v>
      </c>
      <c r="L4" s="4" t="s">
        <v>72</v>
      </c>
      <c r="M4" s="4" t="s">
        <v>141</v>
      </c>
      <c r="N4" s="4" t="s">
        <v>1202</v>
      </c>
      <c r="O4" s="4" t="s">
        <v>9</v>
      </c>
    </row>
    <row r="5" customFormat="false" ht="15" hidden="false" customHeight="true" outlineLevel="0" collapsed="false">
      <c r="A5" s="18" t="s">
        <v>1203</v>
      </c>
      <c r="B5" s="4" t="s">
        <v>1204</v>
      </c>
      <c r="C5" s="4"/>
      <c r="D5" s="4" t="s">
        <v>7</v>
      </c>
      <c r="E5" s="4"/>
      <c r="F5" s="4"/>
      <c r="G5" s="4" t="s">
        <v>73</v>
      </c>
      <c r="H5" s="4" t="s">
        <v>1205</v>
      </c>
      <c r="I5" s="4" t="s">
        <v>174</v>
      </c>
      <c r="J5" s="4" t="s">
        <v>87</v>
      </c>
      <c r="K5" s="4" t="s">
        <v>16</v>
      </c>
      <c r="L5" s="4"/>
      <c r="M5" s="4" t="s">
        <v>72</v>
      </c>
      <c r="N5" s="4" t="s">
        <v>90</v>
      </c>
      <c r="O5" s="4" t="s">
        <v>1206</v>
      </c>
    </row>
    <row r="6" customFormat="false" ht="15" hidden="false" customHeight="true" outlineLevel="0" collapsed="false">
      <c r="A6" s="18" t="s">
        <v>1207</v>
      </c>
      <c r="B6" s="4" t="s">
        <v>1208</v>
      </c>
      <c r="C6" s="4"/>
      <c r="D6" s="4" t="s">
        <v>8</v>
      </c>
      <c r="E6" s="4"/>
      <c r="F6" s="4"/>
      <c r="G6" s="4"/>
      <c r="H6" s="4" t="s">
        <v>1209</v>
      </c>
      <c r="I6" s="4" t="s">
        <v>139</v>
      </c>
      <c r="J6" s="4" t="s">
        <v>267</v>
      </c>
      <c r="K6" s="4"/>
      <c r="L6" s="4"/>
      <c r="M6" s="4"/>
      <c r="N6" s="4" t="s">
        <v>73</v>
      </c>
      <c r="O6" s="4"/>
    </row>
    <row r="7" customFormat="false" ht="15" hidden="false" customHeight="true" outlineLevel="0" collapsed="false">
      <c r="A7" s="18" t="s">
        <v>1210</v>
      </c>
      <c r="B7" s="4" t="s">
        <v>1211</v>
      </c>
      <c r="C7" s="4"/>
      <c r="D7" s="4" t="s">
        <v>9</v>
      </c>
      <c r="E7" s="4"/>
      <c r="F7" s="4"/>
      <c r="G7" s="4"/>
      <c r="H7" s="4"/>
      <c r="I7" s="4" t="s">
        <v>187</v>
      </c>
      <c r="J7" s="4" t="s">
        <v>231</v>
      </c>
      <c r="K7" s="4"/>
      <c r="L7" s="4"/>
      <c r="M7" s="4"/>
      <c r="N7" s="4" t="s">
        <v>736</v>
      </c>
      <c r="O7" s="4"/>
    </row>
    <row r="8" customFormat="false" ht="15" hidden="false" customHeight="true" outlineLevel="0" collapsed="false">
      <c r="A8" s="18" t="s">
        <v>1212</v>
      </c>
      <c r="B8" s="4" t="s">
        <v>1213</v>
      </c>
      <c r="C8" s="4"/>
      <c r="D8" s="4"/>
      <c r="E8" s="4"/>
      <c r="F8" s="4"/>
      <c r="G8" s="4"/>
      <c r="H8" s="4"/>
      <c r="I8" s="4" t="s">
        <v>279</v>
      </c>
      <c r="J8" s="4" t="s">
        <v>1214</v>
      </c>
      <c r="K8" s="4"/>
      <c r="L8" s="4"/>
      <c r="M8" s="4"/>
      <c r="N8" s="4"/>
      <c r="O8" s="4"/>
    </row>
    <row r="9" customFormat="false" ht="15" hidden="false" customHeight="true" outlineLevel="0" collapsed="false">
      <c r="A9" s="18" t="s">
        <v>1215</v>
      </c>
      <c r="B9" s="4" t="s">
        <v>1211</v>
      </c>
      <c r="C9" s="4"/>
      <c r="D9" s="4"/>
      <c r="E9" s="4"/>
      <c r="F9" s="4"/>
      <c r="G9" s="4"/>
      <c r="H9" s="4"/>
      <c r="I9" s="4" t="s">
        <v>254</v>
      </c>
      <c r="J9" s="4" t="s">
        <v>124</v>
      </c>
      <c r="K9" s="4"/>
      <c r="L9" s="4"/>
      <c r="M9" s="4"/>
      <c r="N9" s="4"/>
      <c r="O9" s="4"/>
    </row>
    <row r="10" customFormat="false" ht="15" hidden="false" customHeight="true" outlineLevel="0" collapsed="false">
      <c r="A10" s="18" t="s">
        <v>1216</v>
      </c>
      <c r="B10" s="4" t="s">
        <v>1217</v>
      </c>
      <c r="C10" s="4"/>
      <c r="D10" s="4"/>
      <c r="E10" s="4"/>
      <c r="F10" s="4"/>
      <c r="G10" s="4"/>
      <c r="H10" s="4"/>
      <c r="I10" s="4" t="s">
        <v>217</v>
      </c>
      <c r="J10" s="4" t="s">
        <v>395</v>
      </c>
      <c r="K10" s="4"/>
      <c r="L10" s="4"/>
      <c r="M10" s="4"/>
      <c r="N10" s="4"/>
      <c r="O10" s="4"/>
    </row>
    <row r="11" customFormat="false" ht="15" hidden="false" customHeight="true" outlineLevel="0" collapsed="false">
      <c r="A11" s="18" t="s">
        <v>1218</v>
      </c>
      <c r="B11" s="4" t="s">
        <v>1219</v>
      </c>
      <c r="C11" s="4"/>
      <c r="D11" s="4"/>
      <c r="E11" s="4"/>
      <c r="F11" s="4"/>
      <c r="G11" s="4"/>
      <c r="H11" s="4"/>
      <c r="I11" s="4"/>
      <c r="J11" s="4" t="s">
        <v>140</v>
      </c>
      <c r="K11" s="4"/>
      <c r="L11" s="4"/>
      <c r="M11" s="4"/>
      <c r="N11" s="4"/>
      <c r="O11" s="4"/>
    </row>
    <row r="12" customFormat="false" ht="15" hidden="false" customHeight="true" outlineLevel="0" collapsed="false">
      <c r="A12" s="18" t="s">
        <v>1220</v>
      </c>
      <c r="B12" s="4" t="s">
        <v>1221</v>
      </c>
      <c r="C12" s="4"/>
      <c r="D12" s="4"/>
      <c r="E12" s="4"/>
      <c r="F12" s="4"/>
      <c r="G12" s="4"/>
      <c r="H12" s="4"/>
      <c r="I12" s="4"/>
      <c r="J12" s="4"/>
      <c r="K12" s="4"/>
      <c r="L12" s="4"/>
      <c r="M12" s="4"/>
      <c r="N12" s="4"/>
      <c r="O12" s="4"/>
    </row>
    <row r="13" customFormat="false" ht="15" hidden="false" customHeight="true" outlineLevel="0" collapsed="false">
      <c r="A13" s="4"/>
      <c r="B13" s="4"/>
      <c r="C13" s="4"/>
      <c r="D13" s="4"/>
      <c r="E13" s="4"/>
      <c r="F13" s="4"/>
      <c r="G13" s="4"/>
      <c r="H13" s="4"/>
      <c r="I13" s="4"/>
      <c r="J13" s="4"/>
      <c r="K13" s="4"/>
      <c r="L13" s="4"/>
      <c r="M13" s="4"/>
      <c r="N13" s="4"/>
      <c r="O13" s="4"/>
    </row>
    <row r="14" customFormat="false" ht="15" hidden="false" customHeight="true" outlineLevel="0" collapsed="false">
      <c r="A14" s="4" t="s">
        <v>1222</v>
      </c>
      <c r="B14" s="4"/>
      <c r="C14" s="4"/>
      <c r="D14" s="4"/>
      <c r="E14" s="4"/>
      <c r="F14" s="4"/>
      <c r="G14" s="4"/>
      <c r="H14" s="4"/>
      <c r="I14" s="4"/>
      <c r="J14" s="4"/>
      <c r="K14" s="4"/>
      <c r="L14" s="4"/>
      <c r="M14" s="4"/>
      <c r="N14" s="4"/>
      <c r="O14"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2026-10-07T14:07:47Z</dcterms:created>
  <dc:creator>openpyxl</dc:creator>
  <dc:description/>
  <dc:language>en-US</dc:language>
  <cp:lastModifiedBy/>
  <dcterms:modified xsi:type="dcterms:W3CDTF">2026-10-30T17:43:20Z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