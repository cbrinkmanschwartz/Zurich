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Events!$A$1:$AI$112</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<sst xmlns="http://schemas.openxmlformats.org/spreadsheetml/2006/main" count="3360" uniqueCount="1696">
  <si>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</si>
  <si>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</si>
  <si>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</si>
  <si>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</si>
  <si>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</si>
  <si>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</si>
  <si>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</si>
  <si>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</si>
  <si>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</si>
  <si>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</si>
  <si>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</si>
  <si>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</si>
  <si>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</si>
  <si>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</si>
  <si>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</si>
  <si>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</si>
  <si>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</si>
  <si>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</si>
  <si>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</si>
  <si>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</si>
  <si>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</si>
  <si>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</si>
  <si>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</si>
  <si>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</si>
  <si>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</si>
  <si>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</si>
  <si>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</si>
  <si>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</si>
  <si>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</si>
  <si>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</si>
  <si>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</si>
  <si>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</si>
  <si>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</si>
  <si>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</si>
  <si>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</si>
  <si>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</si>
  <si>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</si>
  <si>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</si>
  <si>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</si>
  <si>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</si>
  <si>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</si>
  <si>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</si>
  <si>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</si>
  <si>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</si>
  <si>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</si>
  <si>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</si>
  <si>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</si>
  <si>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</si>
  <si>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</si>
  <si>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</si>
  <si>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</si>
  <si>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</si>
  <si>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</si>
  <si>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</si>
  <si>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</si>
  <si>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</si>
  <si>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</si>
  <si>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</si>
  <si>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</si>
  <si>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</si>
  <si>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</si>
  <si>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</si>
  <si>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</si>
  <si>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</si>
  <si>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</si>
  <si>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</si>
  <si>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</si>
  <si>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</si>
  <si>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</si>
  <si>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</si>
  <si>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</si>
  <si>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</si>
  <si>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</si>
  <si>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</si>
  <si>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</si>
  <si>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</si>
  <si>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</si>
  <si>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</si>
  <si>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</si>
  <si>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</si>
  <si>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</si>
  <si>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</si>
  <si>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</si>
  <si>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</si>
  <si>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</si>
  <si>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</si>
  <si>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</si>
  <si>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</si>
  <si>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</si>
  <si>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</si>
  <si>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</si>
  <si>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</si>
  <si>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</si>
  <si>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</si>
  <si>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</si>
  <si>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</si>
  <si>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</si>
  <si>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</si>
  <si>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</si>
  <si>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</si>
  <si>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</si>
  <si>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</si>
  <si>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</si>
  <si>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</si>
  <si>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</si>
  <si>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</si>
  <si>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</si>
  <si>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</si>
  <si>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</si>
  <si>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</si>
  <si>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</si>
  <si>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</si>
  <si>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</si>
  <si>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</si>
  <si>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</si>
  <si>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</si>
  <si>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</si>
  <si>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</si>
  <si>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</si>
  <si>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</si>
  <si>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</si>
  <si>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</si>
  <si>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</si>
  <si>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</si>
  <si>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</si>
  <si>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</si>
  <si>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</si>
  <si>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</si>
  <si>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</si>
  <si>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</si>
  <si>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</si>
  <si>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</si>
  <si>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</si>
  <si>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</si>
  <si>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</si>
  <si>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</si>
  <si>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</si>
  <si>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</si>
  <si>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</si>
  <si>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</si>
  <si>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</si>
  <si>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</si>
  <si>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</si>
  <si>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</si>
  <si>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</si>
  <si>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</si>
  <si>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</si>
  <si>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</si>
  <si>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</si>
  <si>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</si>
  <si>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</si>
  <si>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</si>
  <si>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</si>
  <si>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</si>
  <si>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</si>
  <si>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</si>
  <si>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</si>
  <si>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</si>
  <si>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</si>
  <si>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</si>
  <si>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</si>
  <si>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</si>
  <si>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</si>
  <si>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</si>
  <si>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</si>
  <si>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</si>
  <si>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</si>
  <si>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</si>
  <si>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</si>
  <si>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</si>
  <si>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</si>
  <si>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</si>
  <si>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</si>
  <si>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</si>
  <si>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</si>
  <si>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</si>
  <si>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</si>
  <si>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</si>
  <si>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</si>
  <si>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</si>
  <si>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</si>
  <si>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</si>
  <si>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</si>
  <si>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</si>
  <si>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</si>
  <si>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</si>
  <si>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</si>
  <si>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</si>
  <si>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</si>
  <si>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</si>
  <si>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</si>
  <si>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</si>
  <si>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</si>
  <si>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</si>
  <si>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</si>
  <si>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</si>
  <si>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</si>
  <si>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</si>
  <si>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</si>
  <si>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</si>
  <si>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</si>
  <si>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</si>
  <si>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</si>
  <si>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</si>
  <si>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</si>
  <si>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</si>
  <si>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</si>
  <si>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</si>
  <si>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</si>
  <si>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</si>
  <si>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</si>
  <si>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</si>
  <si>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</si>
  <si>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</si>
  <si>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</si>
  <si>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</si>
  <si>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</si>
  <si>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</si>
  <si>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</si>
  <si>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</si>
  <si>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</si>
  <si>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</si>
  <si>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</si>
  <si>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</si>
  <si>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</si>
  <si>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</si>
  <si>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</si>
  <si>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</si>
  <si>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</si>
  <si>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</si>
  <si>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</si>
  <si>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</si>
  <si>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</si>
  <si>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</si>
  <si>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</si>
  <si>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</si>
  <si>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</si>
  <si>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</si>
  <si>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</si>
  <si>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</si>
  <si>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</si>
  <si>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</si>
  <si>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</si>
  <si>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</si>
  <si>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</si>
  <si>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</si>
  <si>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</si>
  <si>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</si>
  <si>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</si>
  <si>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</si>
  <si>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</si>
  <si>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</si>
  <si>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</si>
  <si>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</si>
  <si>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</si>
  <si>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</si>
  <si>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</si>
  <si>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</si>
  <si>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</si>
  <si>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</si>
  <si>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</si>
  <si>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</si>
  <si>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</si>
  <si>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</si>
  <si>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</si>
  <si>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</si>
  <si>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</si>
  <si>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</si>
  <si>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</si>
  <si>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</si>
  <si>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</si>
  <si>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</si>
  <si>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</si>
  <si>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</si>
  <si>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</si>
  <si>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</si>
  <si>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</si>
  <si>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</si>
  <si>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</si>
  <si>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</si>
  <si>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</si>
  <si>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</si>
  <si>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</si>
  <si>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</si>
  <si>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</si>
  <si>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</si>
  <si>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</si>
  <si>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</si>
  <si>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</si>
  <si>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</si>
  <si>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</si>
  <si>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</si>
  <si>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</si>
  <si>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</si>
  <si>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</si>
  <si>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</si>
  <si>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</si>
  <si>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</si>
  <si>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</si>
  <si>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</si>
  <si>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</si>
  <si>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</si>
  <si>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</si>
  <si>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</si>
  <si>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</si>
  <si>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</si>
  <si>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</si>
  <si>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</si>
  <si>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</si>
  <si>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</si>
  <si>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</si>
  <si>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</si>
  <si>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</si>
  <si>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</si>
  <si>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</si>
  <si>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</si>
  <si>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</si>
  <si>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</si>
  <si>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</si>
  <si>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</si>
  <si>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</si>
  <si>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</si>
  <si>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</si>
  <si>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</si>
  <si>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</si>
  <si>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</si>
  <si>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</si>
  <si>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</si>
  <si>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</si>
  <si>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</si>
  <si>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</si>
  <si>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</si>
  <si>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</si>
  <si>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</si>
  <si>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</si>
  <si>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</si>
  <si>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</si>
  <si>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</si>
  <si>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</si>
  <si>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</si>
  <si>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</si>
  <si>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</si>
  <si>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</si>
  <si>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</si>
  <si>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</si>
  <si>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</si>
  <si>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</si>
  <si>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</si>
  <si>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</si>
  <si>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</si>
  <si>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</si>
  <si>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</si>
  <si>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</si>
  <si>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</si>
  <si>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</si>
  <si>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</si>
  <si>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</si>
  <si>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</si>
  <si>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</si>
  <si>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</si>
  <si>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</si>
  <si>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</si>
  <si>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</si>
  <si>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</si>
  <si>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</si>
  <si>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</si>
  <si>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</si>
  <si>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</si>
  <si>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</si>
  <si>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</si>
  <si>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</si>
  <si>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</si>
  <si>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</si>
  <si>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</si>
  <si>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</si>
  <si>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</si>
  <si>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</si>
  <si>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</si>
  <si>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</si>
  <si>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</si>
  <si>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</si>
  <si>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</si>
  <si>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</si>
  <si>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</si>
  <si>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</si>
  <si>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</si>
  <si>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</si>
  <si>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</si>
  <si>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</si>
  <si>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</si>
  <si>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</si>
  <si>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</si>
  <si>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</si>
  <si>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</si>
  <si>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</si>
  <si>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</si>
  <si>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</si>
  <si>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</si>
  <si>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</si>
  <si>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</si>
  <si>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</si>
  <si>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</si>
  <si>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</si>
  <si>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</si>
  <si>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</si>
  <si>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</si>
  <si>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</si>
  <si>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</si>
  <si>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</si>
  <si>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</si>
  <si>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</si>
  <si>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</si>
  <si>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</si>
  <si>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</si>
  <si>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</si>
  <si>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</si>
  <si>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</si>
  <si>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</si>
  <si>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</si>
  <si>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</si>
  <si>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</si>
  <si>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</si>
  <si>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</si>
  <si>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</si>
  <si>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</si>
  <si>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</si>
  <si>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</si>
  <si>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</si>
  <si>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</si>
  <si>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</si>
  <si>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</si>
  <si>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</si>
  <si>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</si>
  <si>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</si>
  <si>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</si>
  <si>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</si>
  <si>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</si>
  <si>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</si>
  <si>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</si>
  <si>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</si>
  <si>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</si>
  <si>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</si>
  <si>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</si>
  <si>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</si>
  <si>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</si>
  <si>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</si>
  <si>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</si>
  <si>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</si>
  <si>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</si>
  <si>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</si>
  <si>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</si>
  <si>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</si>
  <si>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</si>
  <si>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</si>
  <si>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</si>
  <si>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</si>
  <si>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</si>
  <si>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</si>
  <si>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</si>
  <si>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</si>
  <si>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</si>
  <si>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</si>
  <si>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</si>
  <si>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</si>
  <si>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</si>
  <si>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</si>
  <si>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</si>
  <si>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</si>
  <si>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</si>
  <si>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</si>
  <si>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</si>
  <si>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</si>
  <si>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</si>
  <si>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</si>
  <si>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</si>
  <si>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</si>
  <si>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</si>
  <si>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</si>
  <si>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</si>
  <si>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</si>
  <si>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</si>
  <si>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</si>
  <si>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</si>
  <si>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</si>
  <si>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</si>
  <si>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</si>
  <si>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</si>
  <si>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</si>
  <si>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</si>
  <si>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</si>
  <si>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</si>
  <si>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</si>
  <si>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</si>
  <si>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</si>
  <si>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</si>
  <si>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</si>
  <si>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</si>
  <si>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</si>
  <si>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</si>
  <si>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</si>
  <si>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</si>
  <si>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</si>
  <si>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</si>
  <si>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</si>
  <si>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</si>
  <si>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</si>
  <si>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</si>
  <si>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</si>
  <si>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</si>
  <si>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</si>
  <si>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</si>
  <si>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</si>
  <si>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</si>
  <si>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</si>
  <si>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</si>
  <si>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</si>
  <si>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</si>
  <si>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</si>
  <si>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</si>
  <si>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</si>
  <si>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</si>
  <si>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</si>
  <si>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</si>
  <si>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</si>
  <si>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</si>
  <si>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</si>
  <si>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</si>
  <si>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</si>
  <si>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</si>
  <si>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</si>
  <si>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</si>
  <si>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</si>
  <si>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</si>
  <si>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</si>
  <si>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</si>
  <si>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</si>
  <si>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</si>
  <si>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</si>
  <si>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</si>
  <si>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</si>
  <si>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</si>
  <si>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</si>
  <si>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</si>
  <si>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</si>
  <si>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</si>
  <si>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</si>
  <si>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</si>
  <si>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</si>
  <si>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</si>
  <si>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</si>
  <si>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</si>
  <si>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</si>
  <si>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</si>
  <si>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</si>
  <si>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</si>
  <si>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</si>
  <si>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</si>
  <si>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</si>
  <si>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</si>
  <si>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</si>
  <si>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</si>
  <si>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</si>
  <si>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</si>
  <si>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</si>
  <si>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</si>
  <si>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</si>
  <si>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</si>
  <si>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</si>
  <si>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</si>
  <si>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</si>
  <si>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</si>
  <si>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</si>
  <si>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</si>
  <si>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</si>
  <si>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</si>
  <si>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</si>
  <si>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</si>
  <si>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</si>
  <si>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</si>
  <si>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</si>
  <si>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</si>
  <si>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</si>
  <si>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</si>
  <si>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</si>
  <si>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</si>
  <si>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</si>
  <si>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</si>
  <si>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</si>
  <si>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</si>
  <si>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</si>
  <si>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</si>
  <si>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</si>
  <si>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</si>
  <si>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</si>
  <si>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</si>
  <si>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</si>
  <si>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</si>
  <si>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</si>
  <si>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</si>
  <si>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</si>
  <si>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</si>
  <si>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</si>
  <si>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</si>
  <si>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</si>
  <si>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</si>
  <si>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</si>
  <si>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</si>
  <si>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</si>
  <si>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</si>
  <si>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</si>
  <si>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</si>
  <si>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</si>
  <si>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</si>
  <si>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</si>
  <si>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</si>
  <si>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</si>
  <si>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</si>
  <si>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</si>
  <si>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</si>
  <si>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</si>
  <si>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</si>
  <si>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</si>
  <si>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</si>
  <si>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</si>
  <si>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</si>
  <si>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</si>
  <si>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</si>
  <si>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</si>
  <si>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</si>
  <si>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</si>
  <si>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</si>
  <si>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</si>
  <si>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</si>
  <si>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</si>
  <si>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</si>
  <si>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</si>
  <si>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</si>
  <si>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</si>
  <si>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</si>
  <si>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</si>
  <si>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</si>
  <si>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</si>
  <si>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</si>
  <si>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</si>
  <si>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</si>
  <si>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</si>
  <si>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</si>
  <si>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</si>
  <si>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</si>
  <si>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</si>
  <si>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</si>
  <si>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</si>
  <si>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</si>
  <si>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</si>
  <si>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</si>
  <si>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</si>
  <si>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</si>
  <si>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</si>
  <si>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</si>
  <si>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</si>
  <si>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</si>
  <si>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</si>
  <si>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</si>
  <si>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</si>
  <si>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</si>
  <si>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</si>
  <si>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</si>
  <si>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</si>
  <si>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</si>
  <si>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</si>
  <si>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</si>
  <si>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</si>
  <si>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</si>
  <si>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</si>
  <si>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</si>
  <si>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</si>
  <si>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</si>
  <si>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</si>
  <si>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</si>
  <si>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</si>
  <si>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</si>
  <si>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</si>
  <si>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</si>
  <si>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</si>
  <si>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</si>
  <si>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</si>
  <si>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</si>
  <si>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</si>
  <si>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</si>
  <si>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</si>
  <si>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</si>
  <si>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</si>
  <si>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</si>
  <si>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</si>
  <si>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</si>
  <si>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</si>
  <si>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</si>
  <si>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</si>
  <si>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</si>
  <si>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</si>
  <si>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</si>
  <si>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</si>
  <si>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</si>
  <si>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</si>
  <si>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</si>
  <si>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</si>
  <si>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</si>
  <si>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</si>
  <si>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</si>
  <si>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</si>
  <si>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</si>
  <si>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</si>
  <si>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</si>
  <si>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</si>
  <si>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</si>
  <si>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</si>
  <si>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</si>
  <si>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</si>
  <si>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</si>
  <si>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</si>
  <si>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</si>
  <si>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</si>
  <si>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</si>
  <si>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</si>
  <si>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</si>
  <si>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</si>
  <si>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</si>
  <si>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</si>
  <si>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</si>
  <si>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</si>
  <si>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</si>
  <si>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</si>
  <si>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</si>
  <si>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</si>
  <si>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</si>
  <si>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</si>
  <si>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</si>
  <si>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</si>
  <si>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</si>
  <si>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</si>
  <si>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</si>
  <si>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</si>
  <si>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</si>
  <si>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</si>
  <si>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</si>
  <si>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</si>
  <si>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</si>
  <si>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</si>
  <si>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</si>
  <si>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</si>
  <si>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</si>
  <si>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</si>
  <si>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</si>
  <si>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</si>
  <si>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</si>
  <si>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</si>
  <si>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</si>
  <si>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</si>
  <si>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</si>
  <si>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</si>
  <si>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</si>
  <si>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</si>
  <si>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</si>
  <si>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</si>
  <si>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</si>
  <si>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</si>
  <si>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</si>
  <si>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</si>
  <si>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</si>
  <si>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</si>
  <si>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</si>
  <si>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</si>
  <si>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</si>
  <si>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</si>
  <si>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</si>
  <si>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</si>
  <si>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</si>
  <si>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</si>
  <si>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</si>
  <si>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</si>
  <si>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</si>
  <si>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</si>
  <si>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</si>
  <si>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</si>
  <si>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</si>
  <si>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</si>
  <si>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</si>
  <si>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</si>
  <si>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</si>
  <si>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</si>
  <si>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</si>
  <si>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</si>
  <si>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</si>
  <si>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</si>
  <si>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</si>
  <si>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</si>
  <si>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</si>
  <si>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</si>
  <si>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</si>
  <si>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</si>
  <si>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</si>
  <si>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</si>
  <si>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</si>
  <si>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</si>
  <si>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</si>
  <si>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</si>
  <si>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</si>
  <si>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</si>
  <si>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</si>
  <si>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</si>
  <si>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</si>
  <si>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</si>
  <si>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</si>
  <si>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</si>
  <si>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</si>
  <si>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</si>
  <si>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</si>
  <si>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</si>
  <si>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</si>
  <si>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</si>
  <si>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</si>
  <si>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</si>
  <si>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</si>
  <si>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</si>
  <si>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</si>
  <si>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</si>
  <si>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</si>
  <si>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</si>
  <si>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</si>
  <si>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</si>
  <si>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</si>
  <si>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</si>
  <si>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</si>
  <si>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</si>
  <si>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</si>
  <si>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</si>
  <si>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</si>
  <si>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</si>
  <si>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</si>
  <si>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</si>
  <si>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</si>
  <si>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</si>
  <si>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</si>
  <si>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</si>
  <si>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</si>
  <si>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</si>
  <si>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</si>
  <si>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</si>
  <si>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</si>
  <si>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</si>
  <si>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</si>
  <si>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</si>
  <si>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</si>
  <si>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</si>
  <si>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</si>
  <si>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</si>
  <si>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</si>
  <si>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</si>
  <si>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</si>
  <si>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</si>
  <si>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</si>
  <si>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</si>
  <si>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</si>
  <si>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</si>
  <si>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</si>
  <si>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</si>
  <si>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</si>
  <si>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</si>
  <si>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</si>
  <si>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</si>
  <si>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</si>
  <si>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</si>
  <si>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</si>
  <si>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</si>
  <si>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</si>
  <si>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</si>
  <si>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</si>
  <si>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</si>
  <si>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</si>
  <si>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</si>
  <si>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</si>
  <si>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</si>
  <si>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</si>
  <si>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</si>
  <si>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</si>
  <si>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</si>
  <si>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</si>
  <si>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</si>
  <si>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</si>
  <si>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</si>
  <si>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</si>
  <si>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</si>
  <si>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</si>
  <si>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</si>
  <si>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</si>
  <si>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</si>
  <si>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</si>
  <si>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</si>
  <si>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</si>
  <si>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</si>
  <si>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</si>
  <si>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</si>
  <si>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</si>
  <si>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</si>
  <si>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</si>
  <si>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</si>
  <si>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</si>
  <si>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</si>
  <si>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</si>
  <si>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</si>
  <si>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</si>
  <si>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</si>
  <si>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</si>
  <si>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</si>
  <si>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</si>
  <si>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</si>
  <si>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</si>
  <si>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</si>
  <si>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</si>
  <si>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</si>
  <si>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</si>
  <si>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</si>
  <si>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</si>
  <si>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</si>
  <si>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</si>
  <si>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</si>
  <si>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</si>
  <si>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</si>
  <si>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</si>
  <si>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</si>
  <si>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</si>
  <si>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</si>
  <si>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</si>
  <si>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</si>
  <si>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</si>
  <si>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</si>
  <si>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</si>
  <si>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</si>
  <si>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</si>
  <si>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</si>
  <si>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</si>
  <si>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</si>
  <si>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</si>
  <si>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</si>
  <si>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</si>
  <si>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</si>
  <si>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</si>
  <si>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</si>
  <si>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</si>
  <si>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</si>
  <si>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</si>
  <si>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</si>
  <si>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</si>
  <si>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</si>
  <si>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</si>
  <si>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</si>
  <si>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</si>
  <si>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</si>
  <si>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</si>
  <si>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</si>
  <si>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</si>
  <si>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</si>
  <si>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</si>
  <si>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</si>
  <si>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</si>
  <si>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</si>
  <si>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</si>
  <si>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</si>
  <si>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</si>
  <si>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</si>
  <si>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</si>
  <si>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</si>
  <si>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</si>
  <si>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</si>
  <si>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</si>
  <si>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</si>
  <si>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</si>
  <si>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</si>
  <si>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</si>
  <si>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</si>
  <si>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</si>
  <si>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</si>
  <si>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</si>
  <si>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</si>
  <si>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</si>
  <si>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</si>
  <si>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</si>
  <si>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</si>
  <si>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</si>
  <si>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</si>
  <si>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</si>
  <si>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</si>
  <si>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</si>
  <si>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</si>
  <si>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</si>
  <si>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</si>
  <si>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</si>
  <si>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</si>
  <si>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</si>
  <si>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</si>
  <si>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</si>
  <si>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</si>
  <si>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</si>
  <si>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</si>
  <si>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</si>
  <si>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</si>
  <si>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</si>
  <si>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</si>
  <si>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</si>
  <si>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</si>
  <si>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</si>
  <si>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</si>
  <si>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</si>
  <si>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</si>
  <si>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</si>
  <si>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</si>
  <si>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</si>
  <si>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</si>
  <si>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</si>
  <si>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</si>
  <si>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</si>
  <si>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</si>
  <si>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</si>
  <si>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</si>
  <si>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</si>
  <si>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</si>
  <si>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</si>
  <si>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</si>
  <si>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</si>
  <si>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</si>
  <si>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</si>
  <si>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</si>
  <si>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</si>
  <si>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</si>
  <si>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</si>
  <si>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</si>
  <si>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</si>
  <si>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</si>
  <si>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</si>
  <si>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</si>
  <si>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</si>
  <si>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</si>
  <si>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</si>
  <si>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</si>
  <si>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</si>
  <si>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</si>
  <si>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</si>
  <si>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</si>
  <si>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</si>
  <si>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</si>
  <si>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</si>
  <si>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</si>
  <si>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</si>
  <si>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</si>
  <si>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</si>
  <si>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</si>
  <si>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</si>
  <si>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</si>
  <si>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</si>
  <si>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</si>
  <si>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</si>
  <si>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</si>
  <si>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</si>
  <si>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</si>
  <si>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</si>
  <si>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</si>
  <si>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</si>
  <si>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</si>
  <si>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</si>
  <si>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</si>
  <si>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</si>
  <si>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</si>
  <si>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</si>
  <si>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</si>
  <si>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</si>
  <si>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</si>
  <si>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</si>
  <si>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</si>
  <si>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</si>
  <si>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</si>
  <si>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</si>
  <si>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</si>
  <si>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</si>
  <si>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</si>
  <si>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</si>
  <si>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</si>
  <si>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</si>
  <si>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</si>
  <si>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</si>
  <si>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</si>
  <si>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</si>
  <si>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</si>
  <si>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</si>
  <si>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</si>
  <si>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</si>
  <si>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</si>
  <si>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</si>
  <si>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</si>
  <si>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</si>
  <si>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</si>
  <si>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</si>
  <si>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</si>
  <si>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</si>
  <si>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</si>
  <si>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</si>
  <si>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</si>
  <si>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</si>
  <si>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</si>
  <si>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</si>
  <si>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</si>
  <si>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</si>
  <si>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</si>
  <si>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</si>
  <si>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</si>
  <si>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</si>
  <si>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</si>
  <si>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</si>
  <si>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</si>
  <si>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</si>
  <si>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</si>
  <si>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</si>
  <si>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</si>
  <si>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</si>
  <si>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</si>
  <si>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</si>
  <si>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</si>
  <si>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</si>
  <si>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</si>
  <si>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</si>
  <si>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</si>
  <si>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</si>
  <si>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</si>
  <si>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</si>
  <si>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</si>
  <si>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</si>
  <si>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</si>
  <si>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</si>
  <si>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</si>
  <si>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</si>
  <si>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</si>
  <si>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</si>
  <si>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</si>
  <si>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</si>
  <si>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</si>
  <si>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</si>
  <si>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</si>
  <si>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</si>
  <si>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</si>
  <si>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</si>
  <si>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</si>
  <si>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</si>
  <si>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</si>
  <si>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</si>
  <si>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</si>
  <si>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</si>
  <si>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</si>
  <si>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</si>
  <si>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</si>
  <si>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</si>
  <si>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</si>
  <si>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</si>
  <si>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</si>
  <si>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</si>
  <si>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</si>
  <si>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</si>
  <si>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</si>
  <si>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</si>
  <si>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</si>
  <si>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</si>
  <si>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</si>
  <si>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</si>
  <si>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</si>
  <si>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</si>
  <si>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</si>
  <si>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</si>
  <si>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</si>
  <si>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</si>
  <si>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</si>
  <si>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</si>
  <si>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</si>
  <si>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</si>
  <si>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</si>
  <si>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</si>
  <si>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</si>
  <si>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</si>
  <si>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</si>
  <si>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</si>
  <si>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</si>
  <si>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</si>
  <si>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</si>
  <si>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</si>
  <si>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</si>
  <si>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</si>
  <si>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</si>
  <si>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</si>
  <si>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</si>
  <si>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</si>
  <si>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</si>
  <si>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</si>
  <si>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</si>
  <si>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</si>
  <si>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</si>
  <si>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</si>
  <si>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</si>
  <si>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</si>
  <si>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</si>
  <si>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</si>
  <si>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</si>
  <si>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</si>
  <si>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</si>
  <si>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</si>
  <si>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</si>
  <si>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</si>
  <si>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</si>
  <si>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</si>
  <si>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</si>
  <si>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</si>
  <si>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</si>
  <si>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</si>
  <si>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</si>
  <si>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</si>
  <si>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</si>
  <si>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</si>
  <si>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</si>
  <si>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</si>
  <si>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</si>
  <si>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</si>
  <si>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</si>
  <si>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</si>
  <si>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</si>
  <si>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</si>
  <si>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</si>
  <si>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</si>
  <si>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</si>
  <si>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</si>
  <si>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</si>
  <si>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</si>
  <si>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</si>
  <si>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</si>
  <si>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</si>
  <si>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</si>
  <si>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</si>
  <si>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</si>
  <si>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</si>
  <si>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</si>
  <si>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</si>
  <si>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</si>
  <si>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</si>
  <si>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</si>
  <si>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</si>
  <si>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</si>
  <si>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</si>
  <si>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</si>
  <si>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</si>
  <si>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</si>
  <si>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</si>
  <si>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</si>
  <si>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</si>
  <si>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</si>
  <si>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</si>
  <si>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</si>
  <si>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</si>
  <si>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HO42-0097</t>
  </si>
  <si>
    <t xml:space="preserve">E81</t>
  </si>
  <si>
    <t xml:space="preserve">HO-42-51_03.pdf</t>
  </si>
  <si>
    <t xml:space="preserve">0-2</t>
  </si>
  <si>
    <t xml:space="preserve">ff.116-118</t>
  </si>
  <si>
    <t xml:space="preserve">High Sheriff of Oxfordshire to Portland, [12 Sep 1800]: "yesterday was a riotous Day at Banbury - In the Morning about eleven o'Clock some little Disturbances began in the Butter Market and the Shambles... I found myself unexpectedly surrounded by a Mob consisting principally of Stocking Weavers from Middleton Cheney... I thought it right to send for the Bloxham and Banbury Troop and to desire the Banbury Military Association to be called out and they were under Arms by about 7 o'Clock... the Mob continued to break the Windows, and they insulted and threw Stones at the Soldiers... I did with the Desire of Capt Commandant Bignell write to Major Cartwright for his Troop of Brackley Yeomanry - The Bloxham Troop and Banbury Association altho' they kept their Places and no doubt would have made a vigorous Resistance... were not sufficiently numerous to be divided".</t>
  </si>
  <si>
    <t xml:space="preserve">11-12 Sep 1800</t>
  </si>
  <si>
    <t xml:space="preserve">1800-09-11</t>
  </si>
  <si>
    <t xml:space="preserve">Banbury</t>
  </si>
  <si>
    <t xml:space="preserve">High Sheriff of Oxfordshire (signature not read)</t>
  </si>
  <si>
    <t xml:space="preserve">Bloxham &amp; Banbury Yeomanry, Banbury Military Association, then Brackley Yeomanry (Major Cartwright)</t>
  </si>
  <si>
    <t xml:space="preserve">ROUTE: local requests to YEOMANRY and ASSOCIATION (no regulars). Same episode as Gee lead L002 (Mayor wanting 'soldiers unconnected with the place', f.116) - update lead to Partly verified. CHECK writer.</t>
  </si>
  <si>
    <t xml:space="preserve">HO42-0098</t>
  </si>
  <si>
    <t xml:space="preserve">E82</t>
  </si>
  <si>
    <t xml:space="preserve">6</t>
  </si>
  <si>
    <t xml:space="preserve">f.122</t>
  </si>
  <si>
    <t xml:space="preserve">John Towry Whiteside, Lime Street 13 Sep 1800: resigns as Lieutenant of the Loyal Islington Volunteers "in consequence of the resignation of most of my Brother Officers... the unfortunate dispute &amp; the Gross treatment, the Officers who were present at a convivial Dinner, received from a member of the privates".</t>
  </si>
  <si>
    <t xml:space="preserve">13 Sep 1800</t>
  </si>
  <si>
    <t xml:space="preserve">1800-09-13</t>
  </si>
  <si>
    <t xml:space="preserve">Islington (London)</t>
  </si>
  <si>
    <t xml:space="preserve">Islington</t>
  </si>
  <si>
    <t xml:space="preserve">John Towry Whiteside</t>
  </si>
  <si>
    <t xml:space="preserve">Volunteer corps internal breakdown (officers resign) during Sept 1800 London food unrest - corps reliability context. Low priority.</t>
  </si>
  <si>
    <t xml:space="preserve">HO42-0099</t>
  </si>
  <si>
    <t xml:space="preserve">E83</t>
  </si>
  <si>
    <t xml:space="preserve">HO-42-51_04.pdf</t>
  </si>
  <si>
    <t xml:space="preserve">49-51</t>
  </si>
  <si>
    <t xml:space="preserve">ff.213-215</t>
  </si>
  <si>
    <t xml:space="preserve">Lord Mayor H.C. Combe, Mansion House 17 Sep 1800, 2 a.m.: "Hearing about Eight o'Clock last Evening that a Number of People were assembling in Bishopsgate Street about the Houses of Messrs Wood Tofield and Wood I sent immediately proper Persons to reconnoitre... Beside my Reliance upon the Light Horse Volunteers in Worship Street, I had provided Col. Sir R. Carr Glyn's Corps the N.E. District of Loyal London Volunteers to be in Readiness at five o'Clock in Drapers Hall Gardens - Col. Williams' Corps of the Royal Exchange Volunteers, to be at the Royal Exchange and the Artillery Company under Col. Le Mesurier in the Artillery House - In Case and as soon as it appeared to be necessary to call in the Aid of the Military Power, I had destined Sir R. Carr Glyn's Corps to that Service".</t>
  </si>
  <si>
    <t xml:space="preserve">16-17 Sep 1800</t>
  </si>
  <si>
    <t xml:space="preserve">1800-09-16</t>
  </si>
  <si>
    <t xml:space="preserve">City of London (Bishopsgate, Corn Market/Mark Lane)</t>
  </si>
  <si>
    <t xml:space="preserve">Harvey Christian Combe, Lord Mayor</t>
  </si>
  <si>
    <t xml:space="preserve">London volunteer corps (Light Horse Volunteers, Loyal London Volunteers NE District, Royal Exchange Volunteers, HAC) on readiness/called</t>
  </si>
  <si>
    <t xml:space="preserve">ROUTE: local - Lord Mayor deployed City VOLUNTEER corps (not regulars) in Sept 1800 London corn-market riots. Cf. Gee lead on LHV call-outs (PRO 30/3). Mayor's printed notice 17 Sep (f.207) on military at windows.</t>
  </si>
  <si>
    <t xml:space="preserve">HO42-0100</t>
  </si>
  <si>
    <t xml:space="preserve">E84</t>
  </si>
  <si>
    <t xml:space="preserve">24</t>
  </si>
  <si>
    <t xml:space="preserve">f.192</t>
  </si>
  <si>
    <t xml:space="preserve">16 Sep 1800 (to Lord Mayor? / Portland): "as a Magistrate and Captain of a Troop of Yeomanry, I ought to remain in my own County, where very strong symptoms of tumult &amp; riot appear, as last night my Troop was up all night, on information being given that a Mob of more than 200 Persons from Oxford were destroying a Mill".</t>
  </si>
  <si>
    <t xml:space="preserve">15-16 Sep 1800</t>
  </si>
  <si>
    <t xml:space="preserve">1800-09-15</t>
  </si>
  <si>
    <t xml:space="preserve">[Near Oxford - writer's county]</t>
  </si>
  <si>
    <t xml:space="preserve">[Oxfordshire/Berkshire]</t>
  </si>
  <si>
    <t xml:space="preserve">[Magistrate and yeomanry captain - signature on next page]</t>
  </si>
  <si>
    <t xml:space="preserve">[Lord Mayor? docketed Sec of State]</t>
  </si>
  <si>
    <t xml:space="preserve">Yeomanry turned out overnight against mill-attacking crowd. CHECK writer and place (next page).</t>
  </si>
  <si>
    <t xml:space="preserve">HO42-0101</t>
  </si>
  <si>
    <t xml:space="preserve">E85</t>
  </si>
  <si>
    <t xml:space="preserve">HO-42-51_05.pdf</t>
  </si>
  <si>
    <t xml:space="preserve">f.285</t>
  </si>
  <si>
    <t xml:space="preserve">Lt-Gen James Rooke, Bristol 19 Sep 1800: "a Riot, that took place here last night by a Mob attacking a Store house which they partly destroyed... having previous notice of their intention the Troops were in readiness to receive them &amp; without waiting for the presence of a Magistrate, the Constables being obliged to retire, I gave Orders for the Cavalry to Charge, which dispersed them".</t>
  </si>
  <si>
    <t xml:space="preserve">18-19 Sep 1800</t>
  </si>
  <si>
    <t xml:space="preserve">1800-09-18</t>
  </si>
  <si>
    <t xml:space="preserve">Lt-Gen James Rooke (district commander)</t>
  </si>
  <si>
    <t xml:space="preserve">Cavalry charged without magistrate present</t>
  </si>
  <si>
    <t xml:space="preserve">KEY: TROOPS ACTED WITHOUT A MAGISTRATE (constables retired) - no civil request at all. Legal irregularity worth noting for JV.</t>
  </si>
  <si>
    <t xml:space="preserve">HO42-0102</t>
  </si>
  <si>
    <t xml:space="preserve">E86</t>
  </si>
  <si>
    <t xml:space="preserve">63-64</t>
  </si>
  <si>
    <t xml:space="preserve">ff.289-290</t>
  </si>
  <si>
    <t xml:space="preserve">Rd Thompson, Mayor of Rochester, 19 Sep 1800: "There was another meeting to night - of about two Thousand Persons - wch a great deal of talking to - I got them to disperse - had they been riotous - or attempted to have done Mischief - I had laid my Plan wth Genl Hewitt at the Upper Barracks &amp; Genl Innes of the Marines - to have had as much Military assistance as I might have thought necessary but was determined this Time not to employ it without a great Necessity".</t>
  </si>
  <si>
    <t xml:space="preserve">Rochester (Chatham barracks)</t>
  </si>
  <si>
    <t xml:space="preserve">Rochester</t>
  </si>
  <si>
    <t xml:space="preserve">Richard Thompson, Mayor of Rochester</t>
  </si>
  <si>
    <t xml:space="preserve">Pre-arranged with Gen. Hewitt (Upper Barracks) and Gen. Innes (Marines)</t>
  </si>
  <si>
    <t xml:space="preserve">ROUTE: local arrangement with barracks generals; mayor deliberately avoided using troops. Barracks (Chatham) as standby force.</t>
  </si>
  <si>
    <t xml:space="preserve">HO42-0103</t>
  </si>
  <si>
    <t xml:space="preserve">E87</t>
  </si>
  <si>
    <t xml:space="preserve">HO-42-51_06.pdf</t>
  </si>
  <si>
    <t xml:space="preserve">11</t>
  </si>
  <si>
    <t xml:space="preserve">f.304</t>
  </si>
  <si>
    <t xml:space="preserve">Wigan magistrates, 20 Sep 1800: "There had been Rumours for some days of an intended rising of the people I sent a Requisition to Major General Nichols at Liverpool for a Troop of Horse which arrived here on Thursday Night and another Troop from Warrington on Friday Morning and our own armed Association was in readiness to cooperate with them. But I am happy to inform your Grace that there has not been the least appearance of disturbance".</t>
  </si>
  <si>
    <t xml:space="preserve">18-20 Sep 1800</t>
  </si>
  <si>
    <t xml:space="preserve">[Wigan magistrate - signature on next page]</t>
  </si>
  <si>
    <t xml:space="preserve">Requisition to Maj-Gen Nichols (Liverpool): a troop of horse; another troop from Warrington; armed association ready</t>
  </si>
  <si>
    <t xml:space="preserve">ROUTE: local requisition to district general. Inflammatory handbills posted 13 Sep. CHECK writer.</t>
  </si>
  <si>
    <t xml:space="preserve">HO42-0104</t>
  </si>
  <si>
    <t xml:space="preserve">E88</t>
  </si>
  <si>
    <t xml:space="preserve">63</t>
  </si>
  <si>
    <t xml:space="preserve">f.349</t>
  </si>
  <si>
    <t xml:space="preserve">Robert Harvey, Mayor of Norwich, [Sep 1800]: disturbances in the Norwich markets "last Saturday, and the marked resentment expressed by the Populace against Farmers, Bakers and Millers. Thro' the exertions of the Civil power, the groupes of People were dispersed without any serious mischief... some riotous disposition being manifested, a detachment of the Norwich light horse Volunteers, under the command of my second Son, Captain John Harvey were mounted, in readiness to assist the Civil power."</t>
  </si>
  <si>
    <t xml:space="preserve">[20-22 Sep 1800]</t>
  </si>
  <si>
    <t xml:space="preserve">1800-09-20</t>
  </si>
  <si>
    <t xml:space="preserve">Robert Harvey, Mayor of Norwich</t>
  </si>
  <si>
    <t xml:space="preserve">Volunteer light horse readied by Mayor. Court of Mayoralty printed notice (f.355?).</t>
  </si>
  <si>
    <t xml:space="preserve">HO42-0105</t>
  </si>
  <si>
    <t xml:space="preserve">50-54</t>
  </si>
  <si>
    <t xml:space="preserve">ff.338-341</t>
  </si>
  <si>
    <t xml:space="preserve">[Sir Christopher Willoughby], 21 Sep 1800: "the present situation of the County of Oxford which I think highly deserving the serious attention of his Majesty's Ministers. Every night of last week a Mob from 50 to 200 assembled in the midst of Oxford and issued forth to several Farmers &amp; Millers in the Neighborhood, demanding that they would bring Wheat to Oxford on Saturday, at the price of £20. Wheat then selling as high as £34 the load."</t>
  </si>
  <si>
    <t xml:space="preserve">21 Sep 1800</t>
  </si>
  <si>
    <t xml:space="preserve">1800-09-21</t>
  </si>
  <si>
    <t xml:space="preserve">Oxford / Witney</t>
  </si>
  <si>
    <t xml:space="preserve">Sir Christopher Willoughby (Chairman, Oxon Quarter Sessions)</t>
  </si>
  <si>
    <t xml:space="preserve">Bend's citation (HO 42/51 ff.338-41). Magistrates inactive; dragoons due to be removed. Context for Oxford unrequested deployment (HO42-0094).</t>
  </si>
  <si>
    <t xml:space="preserve">HO42-0106</t>
  </si>
  <si>
    <t xml:space="preserve">E89</t>
  </si>
  <si>
    <t xml:space="preserve">HO-42-51_07.pdf</t>
  </si>
  <si>
    <t xml:space="preserve">39</t>
  </si>
  <si>
    <t xml:space="preserve">f.387</t>
  </si>
  <si>
    <t xml:space="preserve">Great Marlow, 22 Sep 1800 (to Portland): "Since we had the honour of addressing your Grace the Spirit of disturbance still has continued in this Town, and its Neighbourhood, the Yeomanry have been under Arms ever since Wednesday last, we have thought it our duty to give your Grace the above Information, and to request you will have the goodness to order fifteen Light Dragoons to be Stationed at Marlow untill tranquillity [is restored]".</t>
  </si>
  <si>
    <t xml:space="preserve">22 Sep 1800</t>
  </si>
  <si>
    <t xml:space="preserve">1800-09-22</t>
  </si>
  <si>
    <t xml:space="preserve">Great Marlow</t>
  </si>
  <si>
    <t xml:space="preserve">Buckinghamshire</t>
  </si>
  <si>
    <t xml:space="preserve">[Great Marlow magistrates - signatures on next page]</t>
  </si>
  <si>
    <t xml:space="preserve">Fifteen light dragoons stationed at Marlow</t>
  </si>
  <si>
    <t xml:space="preserve">Direct request; yeomanry exhausted after 5 days under arms -&gt; regulars requested. CHECK signatories.</t>
  </si>
  <si>
    <t xml:space="preserve">HO42-0107</t>
  </si>
  <si>
    <t xml:space="preserve">E90</t>
  </si>
  <si>
    <t xml:space="preserve">73-74</t>
  </si>
  <si>
    <t xml:space="preserve">ff.414-415</t>
  </si>
  <si>
    <t xml:space="preserve">Thos Ridding, Town Clerk, Southampton 23 Sep 1800: "a Party of Women supported by a considerable Mob seized the Butter, many without paying any thing, and before any Force could be collected to check them... proceeded to Mr Graves's House a considerable Baker, with apparent Intentions of destroying it. The Mayor &amp; Magistrates immediately went to the Spot... the Riot Act was read &amp; the Volunteers &amp; Associations ordered to be in readiness, which was very readily &amp; expeditiously complied with, and the Mob was dispersed".</t>
  </si>
  <si>
    <t xml:space="preserve">[18]-23 Sep 1800</t>
  </si>
  <si>
    <t xml:space="preserve">Southampton</t>
  </si>
  <si>
    <t xml:space="preserve">Thomas Ridding, Town Clerk, for Mayor &amp; Magistrates</t>
  </si>
  <si>
    <t xml:space="preserve">Volunteers &amp; associations called locally; women-led market riot.</t>
  </si>
  <si>
    <t xml:space="preserve">HO42-0108</t>
  </si>
  <si>
    <t xml:space="preserve">E91</t>
  </si>
  <si>
    <t xml:space="preserve">HO-42-51_09.pdf</t>
  </si>
  <si>
    <t xml:space="preserve">7-8, 26</t>
  </si>
  <si>
    <t xml:space="preserve">ff.496-497, 514</t>
  </si>
  <si>
    <t xml:space="preserve">G. Knapp, Mayor of Abingdon, 28 Sep 1800: "we have had a Riot at Abingdon, which I am happy to say is perfectly subsided. We are much obliged to a Troop of the 11 Regt of Dragoons commanded by Lieut Col Lyon (who came in very opportunely on Wednesday Morning) together with the Abingdon Cavalry, and the Military Association of the Town... I hope we shall remain in tranquillity, but it may be necessary to have a Troop of Horse Soldiers quartered here during the Winter, to preserve the Peace of the Neighbourhood."</t>
  </si>
  <si>
    <t xml:space="preserve">24-28 Sep 1800</t>
  </si>
  <si>
    <t xml:space="preserve">1800-09-24</t>
  </si>
  <si>
    <t xml:space="preserve">Abingdon</t>
  </si>
  <si>
    <t xml:space="preserve">Berkshire</t>
  </si>
  <si>
    <t xml:space="preserve">G. Knapp, Mayor of Abingdon</t>
  </si>
  <si>
    <t xml:space="preserve">A troop of horse quartered for the winter (11th Dragoons already came; Abingdon Cavalry and Military Association acted)</t>
  </si>
  <si>
    <t xml:space="preserve">Request to STATION troops for winter. Abingdon 29 Sep (f.514): bakers' refusal makes market short. Also HO 42/51_09: Bristol Rooke 28 Sep re Merthyr (Wales - not logged).</t>
  </si>
  <si>
    <t xml:space="preserve">HO42-0109</t>
  </si>
  <si>
    <t xml:space="preserve">E92</t>
  </si>
  <si>
    <t xml:space="preserve">HO 42/52</t>
  </si>
  <si>
    <t xml:space="preserve">HO-42-52_01.pdf</t>
  </si>
  <si>
    <t xml:space="preserve">13</t>
  </si>
  <si>
    <t xml:space="preserve">f.13</t>
  </si>
  <si>
    <t xml:space="preserve">Bilston, 1 Oct 1800 (Rev. Haden? to Portland): "I was called from my Bed yesterday Morning soon after five o'Clock to quell a Riot in the Neighbourhood. Two Boats laden with Wheat &amp; Flour were stopt by the Mob at a place called the Bradley? Iron Works. As soon as I could collect the Military (with the Bilston Cavalry) I proceeded immediately to the spot where I found several thousands collected together... After having read the Proclamation and waited the Hour required by the Act of Parliament, I requested the Military to disperse them, which they did in a great measure by riding among them and striking such of them as were refractory with the flat part of the Sword."</t>
  </si>
  <si>
    <t xml:space="preserve">30 Sep - 1 Oct 1800</t>
  </si>
  <si>
    <t xml:space="preserve">1800-09-30</t>
  </si>
  <si>
    <t xml:space="preserve">Bilston (canal near ironworks)</t>
  </si>
  <si>
    <t xml:space="preserve">[Bilston magistrate - Rev. A.B. Haden?]</t>
  </si>
  <si>
    <t xml:space="preserve">Military + Bilston (yeomanry) Cavalry collected locally</t>
  </si>
  <si>
    <t xml:space="preserve">ROUTE: local. Canal grain boats stopped; Riot Act + hour waited (textbook procedure). Same Haden later denied a guard (HO42-0084, 1801). CHECK writer.</t>
  </si>
  <si>
    <t xml:space="preserve">HO42-0110</t>
  </si>
  <si>
    <t xml:space="preserve">E93</t>
  </si>
  <si>
    <t xml:space="preserve">HO-42-52_04.pdf</t>
  </si>
  <si>
    <t xml:space="preserve">8, 10</t>
  </si>
  <si>
    <t xml:space="preserve">ff.195, 197</t>
  </si>
  <si>
    <t xml:space="preserve">Magistrates of the Hundred of Risbridge (Suffolk), 19 Oct 1800: "It was thought proper to submit to your Grace our unanimous request that some assistance of Cavalry may be added to the defence of volunteer Corps mentioned in the letter of the Revd Mr Jones to your Grace. We have no doubt but that the two Volunteer Corps of Infantry of Col. Elwes and The Revd Mr Jones are sufficient for the Protection of the Parishes to which they belong and the immediate vicinity but as there is a considerable extent of Country northward of these Parishes". Rev. Jones, Clare 19 Oct: incendiary letter found; extra constables sworn, 'every man in the parish whom we thought worthy to be trusted to the amount of eighty' came forward.</t>
  </si>
  <si>
    <t xml:space="preserve">17-19 Oct 1800</t>
  </si>
  <si>
    <t xml:space="preserve">1800-10-19</t>
  </si>
  <si>
    <t xml:space="preserve">Clare / Hundred of Risbridge</t>
  </si>
  <si>
    <t xml:space="preserve">Clare</t>
  </si>
  <si>
    <t xml:space="preserve">Magistrates of Risbridge Hundred (T. Ruggles, J.H.T. Elwes, Rev. Barnard, Rev. Jones, Rev. Hayward)</t>
  </si>
  <si>
    <t xml:space="preserve">Some cavalry to support the two volunteer infantry corps</t>
  </si>
  <si>
    <t xml:space="preserve">Volunteers adequate locally but cavalry wanted for wider area; Haverhill precedent of extra constables. Incendiary letter (Clare).</t>
  </si>
  <si>
    <t xml:space="preserve">HO42-0111</t>
  </si>
  <si>
    <t xml:space="preserve">E94</t>
  </si>
  <si>
    <t xml:space="preserve">HO 42/53</t>
  </si>
  <si>
    <t xml:space="preserve">HO-42-53_01.pdf</t>
  </si>
  <si>
    <t xml:space="preserve">29-31</t>
  </si>
  <si>
    <t xml:space="preserve">ff.24-26</t>
  </si>
  <si>
    <t xml:space="preserve">Trentham, 2 Nov 1800: apprehensions 'of very serious disturbances arising among the manufacturers in the Potteries - great numbers of the Volunteer Associations have declared that they will not act against those who rise on account of the high Price of Provisions - &amp; the only regular troops within fifteen miles of the Place are half a troop of the 17th Light Dragoons - this number, even if we had active &amp; vigilant Magistrates near at hand would not be sufficient to check any disturbance ... in this very populous part of the County'. Want of magistrates: 'it might be a whole day before any Justice could be brought'. Anonymous letters warn of 'a general insurrection ... the middle of Novr is the Period beyond which they will not bear their sufferings'. 'Your Grace will understand I am making no formal application for more Troops to be sent into this Country, but ... it will be for your Grace to determine whether any such Reinforcement of Troops will be expedient.'</t>
  </si>
  <si>
    <t xml:space="preserve">2 Nov 1800</t>
  </si>
  <si>
    <t xml:space="preserve">1800-11-02</t>
  </si>
  <si>
    <t xml:space="preserve">Trentham / the Potteries</t>
  </si>
  <si>
    <t xml:space="preserve">Stoke-on-Trent (Potteries)</t>
  </si>
  <si>
    <t xml:space="preserve">Granville Leveson Gower</t>
  </si>
  <si>
    <t xml:space="preserve">Reinforcement of troops (unspecified); explicitly 'no formal application'</t>
  </si>
  <si>
    <t xml:space="preserve">Portland (copy), Whitehall 6 Nov 1800: 'two Troops are already ordered to Stone, and as many to Newcastle under Line, and that if it is your opinion that that Force is not sufficient such an addition will be made to it as will enable the Magistrates to give effect to the Law'.</t>
  </si>
  <si>
    <t xml:space="preserve">1800-11-06</t>
  </si>
  <si>
    <t xml:space="preserve">BORDERLINE: informal request, leaves decision to HS. Writes in absence of his brother (CHECK: Earl Gower). Volunteers refuse to act on provisions riots (cf. Sheffield, Bolton 1800). CHECK: writer role (MP for Staffs 1799-). Response: copy of Portland reply in HO 42/53 ff.140-142 (53_03 pp.36-38): troops ordered to Stone and Newcastle-under-Lyme.</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</si>
  <si>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</si>
  <si>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</si>
  <si>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</si>
  <si>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</si>
  <si>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</si>
  <si>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</si>
  <si>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</si>
  <si>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</si>
  <si>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</si>
  <si>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</si>
  <si>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</si>
  <si>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</si>
  <si>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</si>
  <si>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</si>
  <si>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</si>
  <si>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</si>
  <si>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1800</t>
  </si>
  <si>
    <t xml:space="preserve">Mayor wants "soldiers unconnected with the place" because yeomanry sympathised with rioters.</t>
  </si>
  <si>
    <t xml:space="preserve">HO 42/51 f.116</t>
  </si>
  <si>
    <t xml:space="preserve">Gee (via other session)</t>
  </si>
  <si>
    <t xml:space="preserve">Partly</t>
  </si>
  <si>
    <t xml:space="preserve">Local force distrusted - fits "civil power inadequate". | HO 42/51 f.116 is the High Sheriff's letter (yeomanry called) - logged HO42-0097; Mayor's phrase not yet seen.</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</si>
  <si>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</si>
  <si>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</si>
  <si>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</si>
  <si>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</si>
  <si>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</si>
  <si>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</si>
  <si>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</si>
  <si>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</si>
  <si>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</si>
  <si>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</si>
  <si>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</si>
  <si>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</si>
  <si>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</si>
  <si>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</si>
  <si>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</si>
  <si>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</si>
  <si>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</si>
  <si>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</si>
  <si>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</si>
  <si>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</si>
  <si>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</si>
  <si>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</si>
  <si>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</si>
  <si>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</si>
  <si>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</si>
  <si>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</si>
  <si>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</si>
  <si>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</si>
  <si>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</si>
  <si>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</si>
  <si>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</si>
  <si>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</si>
  <si>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</si>
  <si>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</si>
  <si>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</si>
  <si>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</si>
  <si>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</si>
  <si>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</si>
  <si>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</si>
  <si>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</si>
  <si>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</si>
  <si>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</si>
  <si>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</si>
  <si>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</si>
  <si>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</si>
  <si>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</si>
  <si>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</si>
  <si>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</si>
  <si>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</si>
  <si>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</si>
  <si>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</si>
  <si>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</si>
  <si>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</si>
  <si>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</si>
  <si>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</si>
  <si>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</si>
  <si>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</si>
  <si>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</si>
  <si>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</si>
  <si>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</si>
  <si>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</si>
  <si>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</si>
  <si>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</si>
  <si>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</si>
  <si>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</si>
  <si>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</si>
  <si>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</si>
  <si>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</si>
  <si>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</si>
  <si>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</si>
  <si>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</si>
  <si>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</si>
  <si>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</si>
  <si>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</si>
  <si>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</si>
  <si>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</si>
  <si>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</si>
  <si>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</si>
  <si>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</si>
  <si>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</si>
  <si>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</si>
  <si>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</si>
  <si>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</si>
  <si>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</si>
  <si>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</si>
  <si>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</si>
  <si>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</si>
  <si>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</si>
  <si>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</si>
  <si>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</si>
  <si>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</si>
  <si>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</si>
  <si>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</si>
  <si>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</si>
  <si>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</si>
  <si>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</si>
  <si>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</si>
  <si>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</si>
  <si>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</si>
  <si>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</si>
  <si>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</si>
  <si>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</si>
  <si>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</si>
  <si>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</si>
  <si>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</si>
  <si>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</si>
  <si>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</si>
  <si>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</si>
  <si>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</si>
  <si>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</si>
  <si>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</si>
  <si>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</si>
  <si>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</si>
  <si>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</si>
  <si>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</si>
  <si>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</si>
  <si>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</si>
  <si>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</si>
  <si>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</si>
  <si>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</si>
  <si>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</si>
  <si>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</si>
  <si>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</si>
  <si>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</si>
  <si>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</si>
  <si>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</si>
  <si>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</si>
  <si>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</si>
  <si>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</si>
  <si>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</si>
  <si>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</si>
  <si>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</si>
  <si>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</si>
  <si>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</si>
  <si>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</si>
  <si>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</si>
  <si>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</si>
  <si>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</si>
  <si>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</si>
  <si>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</si>
  <si>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</si>
  <si>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</si>
  <si>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</si>
  <si>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</si>
  <si>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</si>
  <si>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</si>
  <si>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</si>
  <si>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</si>
  <si>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</si>
  <si>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</si>
  <si>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</si>
  <si>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</si>
  <si>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</si>
  <si>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</si>
  <si>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</si>
  <si>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</si>
  <si>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</si>
  <si>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</si>
  <si>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</si>
  <si>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</si>
  <si>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</si>
  <si>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</si>
  <si>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</si>
  <si>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</si>
  <si>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</si>
  <si>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</si>
  <si>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</si>
  <si>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</si>
  <si>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</si>
  <si>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</si>
  <si>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</si>
  <si>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</si>
  <si>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</si>
  <si>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</si>
  <si>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</si>
  <si>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</si>
  <si>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</si>
  <si>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</si>
  <si>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</si>
  <si>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</si>
  <si>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</si>
  <si>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</si>
  <si>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</si>
  <si>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</si>
  <si>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</si>
  <si>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</si>
  <si>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</si>
  <si>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</si>
  <si>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</si>
  <si>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</si>
  <si>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</si>
  <si>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</si>
  <si>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</si>
  <si>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</si>
  <si>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</si>
  <si>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</si>
  <si>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</si>
  <si>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</si>
  <si>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</si>
  <si>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</si>
  <si>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</si>
  <si>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</si>
  <si>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 | HO 42/51_03 (11-16 Sep 1800) read: Banbury (yeomanry/association), Islington Volunteers; Oxford follow-up (Hughes 14 Sep, dragoons stay, constables in market); Lord Mayor London corn-market crowd 15 Sep (constables &amp; aldermen, no troops on this page); Lichfield, Nottingham, Norwich printed address; Mansion House letters. | HO 42/51_04 (16-17 Sep 1800) read: London Lord Mayor volunteer deployment (HO42-0099); yeomanry v mill crowd near Oxford (HO42-0100); Nottingham notices and Samuel Smith 'rank Jacobins' letter (more troops ordered to Nottingham, f.174); Lichfield, Banbury printed meeting; Police Office (Worship St, Shadwell) reports; Mansfield notices. | HO 42/51_05 (17-19 Sep 1800) read: Bristol cavalry charge without magistrate (HO42-0101); Rochester contingent arrangement (HO42-0102); Atherstone/Nuneaton (volunteers restored order, assize of bread, no request); Chelmsford reward handbill; Wolverhampton/Brewood colliers notice; Portsmouth; Gloucester; Glamorgan (Wales). | HO 42/51_06 (20-22 Sep 1800) read: Wigan requisition (HO42-0103), Norwich volunteer horse (HO42-0104), Willoughby on Oxford (HO42-0105); Portsmouth papers, London Mansion House reports (Lord Mayor 21 Sep, quiet), Cold Bath Fields 'Liberty or Death' handbill, Romsey, Oldham, Nottingham Coldham. | HO 42/51_07 (22-23 Sep 1800) read: Great Marlow request (HO42-0106), Southampton volunteers (HO42-0107); Nottingham Corresponding Society address &amp; 'keep the troops' handbill, Wolverhampton (Somerford) market protection, Chichester volunteers, Merthyr (Wales, not logged), Lord Mayor London, Portsmouth. | HO 42/51_09 (27-30 Sep 1800) read: Abingdon winter-troop request (HO42-0108); Merthyr/Bristol (Wales, not logged); Worcester, Bridport, Exeter?, pamphlet on dearness of provisions, Transport Office. NOTE: HO 42/51_08 not in Dropbox folder. | HO 42/52_01 (Oct 1800) read: Bilston canal-boat riot (HO42-0109); Warwick Castle (Earl of Warwick) on 'spirit of insurrection', Kidderminster/Birmingham bread-price proposal, Berkeley distillery request, Brewood inhabitants' association notice (21 Sep, constables), Surrey magistrates notice, Hatton Garden notice, crop questionnaires. | HO 42/52_02 (2-17 Oct 1800) read: no new events (Merthyr - Wales; Hastings suspect; Kidderminster meeting; Sheffield address to King; Atherstone/Nuneaton volunteers thanked; Marlow &amp; Lichfield followups; handbills). | HO 42/52_03 (Oct 1800) read: no events (Weymouth flour shortage request for supply; N. Shields placard; Worcester Common Hall petition; Dorset/Weymouth notices; Bocking/Braintree arson reward; Fulham resolutions). | HO 42/52_04 (Oct 1800) read: Clare/Risbridge cavalry request (HO42-0110); Weymouth Bastard?; Bocking reward; Hertford, Sudbury, Huddersfield 'Nigh to Republic' placard; Birmingham; corn-supply proposals (Lethbridge). | HO 42/53_01 (1-3 Nov 1800) read: 1 event (Potteries, informal request). Also: Dunstable stack fire; Oxford anonymous letter; Hinckford/Bocking/Halstead fires (Gosfield letter: 'no patrole of the lightest or best troops could be efficient'); Bolton anonymous letter 'we the Volunteers of Bolton declare if any disturbances arise we will not prevent them ... we will fire upon our Commanders' (f.54) - volunteers' unreliability, flag for JV; Woolwich riot affidavits (Capt Remnant, 20 Sep); Tunbridge Wells riot prosecutions; Sheffield seditious words; diocesan crop replies. | HO 42/52_05 (late Oct 1800) read: no events (colliers' deputation to a mayor re bread prices, dispersed peacefully (f.245); Wycombe market notice 'Sufficient Force is always Ready'; Whitechapel/Justice Office notices; volunteer captain forwards placard; Bucks supplementary militia order). | HO 42/52_06 (Oct 1800) read: no events (court-martial proceedings; diocesan crop questionnaires; Holywell (Wales) note). | HO 42/52_07 (Oct-Nov 1800) read: no events (crop questionnaires; Ely threatening letter 2 Nov 1800 'Fire Fire Fire'; Hundred of Ely/Witchford magistrates' notice 16 Sep 1800 urging moderate prices; flour placard; Agriculture Society notice). | HO 42/53_02 (3-5 Nov 1800) read: no events (mostly diocesan crop questionnaires; Tunbridge Wells riot prosecution costs; Thame mechanic's letter on prices; Claughton (Lancs) and Boston replies). | HO 42/53_03 (5-7 Nov 1800) read: no new events. Portland's reply to G. Leveson Gower (copy, ff.140-142) added to HO42-0111: troops ordered to Stone and Newcastle-under-Lyme. Rest: crop questionnaires; Wetheringsett (Suffolk) fire reward; Lichfield distress letter; Bristol printed letter to Pitt.</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</si>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</sst>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68</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14</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9</v>
      </c>
    </row>
    <row r="11" customFormat="false" ht="15" hidden="false" customHeight="true" outlineLevel="0" collapsed="false">
      <c r="A11" s="3" t="s">
        <v>10</v>
      </c>
      <c r="B11" s="3" t="n">
        <f aca="false">SUM(B5:B10)</f>
        <v>111</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25</v>
      </c>
    </row>
    <row r="16" customFormat="false" ht="15" hidden="false" customHeight="true" outlineLevel="0" collapsed="false">
      <c r="A16" s="4" t="s">
        <v>14</v>
      </c>
      <c r="B16" s="4" t="n">
        <f aca="false">COUNTIFS(Events!$C$2:$C$1000,"Request for troops",Events!$Y$2:$Y$1000,A16)</f>
        <v>28</v>
      </c>
    </row>
    <row r="17" customFormat="false" ht="15" hidden="false" customHeight="true" outlineLevel="0" collapsed="false">
      <c r="A17" s="4" t="s">
        <v>15</v>
      </c>
      <c r="B17" s="4" t="n">
        <f aca="false">COUNTIFS(Events!$C$2:$C$1000,"Request for troops",Events!$Y$2:$Y$1000,A17)</f>
        <v>5</v>
      </c>
    </row>
    <row r="18" customFormat="false" ht="15" hidden="false" customHeight="true" outlineLevel="0" collapsed="false">
      <c r="A18" s="4" t="s">
        <v>16</v>
      </c>
      <c r="B18" s="4" t="n">
        <f aca="false">COUNTIFS(Events!$C$2:$C$1000,"Request for troops",Events!$Y$2:$Y$1000,A18)</f>
        <v>10</v>
      </c>
    </row>
    <row r="19" customFormat="false" ht="15" hidden="false" customHeight="true" outlineLevel="0" collapsed="false">
      <c r="A19" s="3" t="s">
        <v>10</v>
      </c>
      <c r="B19" s="3" t="n">
        <f aca="false">SUM(B15:B18)</f>
        <v>68</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21</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108</v>
      </c>
    </row>
    <row r="38" customFormat="false" ht="15" hidden="false" customHeight="true" outlineLevel="0" collapsed="false">
      <c r="A38" s="3" t="s">
        <v>19</v>
      </c>
      <c r="B38" s="4" t="n">
        <f aca="false">SUMPRODUCT((Events!$B$2:$B$1000&lt;&gt;"")/COUNTIF(Events!$B$2:$B$1000,Events!$B$2:$B$1000&amp;""))</f>
        <v>94</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A98" s="6" t="s">
        <v>1262</v>
      </c>
      <c r="B98" s="6" t="s">
        <v>1263</v>
      </c>
      <c r="C98" s="7" t="s">
        <v>4</v>
      </c>
      <c r="D98" s="6" t="s">
        <v>88</v>
      </c>
      <c r="E98" s="6" t="s">
        <v>1200</v>
      </c>
      <c r="F98" s="6" t="s">
        <v>1264</v>
      </c>
      <c r="G98" s="6" t="s">
        <v>1265</v>
      </c>
      <c r="H98" s="6" t="s">
        <v>1266</v>
      </c>
      <c r="I98" s="6" t="s">
        <v>274</v>
      </c>
      <c r="J98" s="6"/>
      <c r="K98" s="6" t="s">
        <v>60</v>
      </c>
      <c r="L98" s="6" t="s">
        <v>61</v>
      </c>
      <c r="M98" s="6" t="s">
        <v>1267</v>
      </c>
      <c r="N98" s="6" t="s">
        <v>1268</v>
      </c>
      <c r="O98" s="8" t="s">
        <v>1269</v>
      </c>
      <c r="P98" s="6" t="n">
        <f aca="false">IF(O98="","",VALUE(LEFT(O98,4)))</f>
        <v>1800</v>
      </c>
      <c r="Q98" s="6" t="s">
        <v>1270</v>
      </c>
      <c r="R98" s="6" t="s">
        <v>1270</v>
      </c>
      <c r="S98" s="6" t="s">
        <v>866</v>
      </c>
      <c r="T98" s="6" t="s">
        <v>1271</v>
      </c>
      <c r="U98" s="6" t="s">
        <v>254</v>
      </c>
      <c r="V98" s="6" t="s">
        <v>785</v>
      </c>
      <c r="W98" s="6" t="str">
        <f aca="false">IF(O98="","",INDEX(Lookups!$B$2:$B$98,MATCH(O98,Lookups!$A$2:$A$98,1)))</f>
        <v>Portland</v>
      </c>
      <c r="X98" s="6" t="s">
        <v>103</v>
      </c>
      <c r="Y98" s="6" t="s">
        <v>13</v>
      </c>
      <c r="Z98" s="6" t="s">
        <v>88</v>
      </c>
      <c r="AA98" s="6" t="s">
        <v>1272</v>
      </c>
      <c r="AB98" s="6" t="s">
        <v>55</v>
      </c>
      <c r="AC98" s="6"/>
      <c r="AD98" s="6"/>
      <c r="AE98" s="6"/>
      <c r="AF98" s="6"/>
      <c r="AG98" s="6"/>
      <c r="AH98" s="6"/>
      <c r="AI98" s="6" t="s">
        <v>1273</v>
      </c>
    </row>
    <row r="99" customFormat="false" ht="15" hidden="false" customHeight="true" outlineLevel="0" collapsed="false">
      <c r="A99" s="6" t="s">
        <v>1274</v>
      </c>
      <c r="B99" s="6" t="s">
        <v>1275</v>
      </c>
      <c r="C99" s="12" t="s">
        <v>9</v>
      </c>
      <c r="D99" s="6" t="s">
        <v>55</v>
      </c>
      <c r="E99" s="6" t="s">
        <v>1200</v>
      </c>
      <c r="F99" s="6" t="s">
        <v>1264</v>
      </c>
      <c r="G99" s="6" t="s">
        <v>1276</v>
      </c>
      <c r="H99" s="6" t="s">
        <v>1277</v>
      </c>
      <c r="I99" s="6" t="s">
        <v>274</v>
      </c>
      <c r="J99" s="6"/>
      <c r="K99" s="6" t="s">
        <v>60</v>
      </c>
      <c r="L99" s="6" t="s">
        <v>61</v>
      </c>
      <c r="M99" s="6" t="s">
        <v>1278</v>
      </c>
      <c r="N99" s="6" t="s">
        <v>1279</v>
      </c>
      <c r="O99" s="8" t="s">
        <v>1280</v>
      </c>
      <c r="P99" s="6" t="n">
        <f aca="false">IF(O99="","",VALUE(LEFT(O99,4)))</f>
        <v>1800</v>
      </c>
      <c r="Q99" s="6" t="s">
        <v>1281</v>
      </c>
      <c r="R99" s="6" t="s">
        <v>1282</v>
      </c>
      <c r="S99" s="6" t="s">
        <v>241</v>
      </c>
      <c r="T99" s="6" t="s">
        <v>1283</v>
      </c>
      <c r="U99" s="6" t="s">
        <v>139</v>
      </c>
      <c r="V99" s="6" t="s">
        <v>785</v>
      </c>
      <c r="W99" s="6" t="str">
        <f aca="false">IF(O99="","",INDEX(Lookups!$B$2:$B$99,MATCH(O99,Lookups!$A$2:$A$99,1)))</f>
        <v>Portland</v>
      </c>
      <c r="X99" s="6" t="s">
        <v>140</v>
      </c>
      <c r="Y99" s="6"/>
      <c r="Z99" s="6"/>
      <c r="AA99" s="6"/>
      <c r="AB99" s="6"/>
      <c r="AC99" s="6"/>
      <c r="AD99" s="6"/>
      <c r="AE99" s="6"/>
      <c r="AF99" s="6"/>
      <c r="AG99" s="6"/>
      <c r="AH99" s="6"/>
      <c r="AI99" s="6" t="s">
        <v>1284</v>
      </c>
    </row>
    <row r="100" customFormat="false" ht="15" hidden="false" customHeight="true" outlineLevel="0" collapsed="false">
      <c r="A100" s="6" t="s">
        <v>1285</v>
      </c>
      <c r="B100" s="6" t="s">
        <v>1286</v>
      </c>
      <c r="C100" s="7" t="s">
        <v>4</v>
      </c>
      <c r="D100" s="6" t="s">
        <v>88</v>
      </c>
      <c r="E100" s="6" t="s">
        <v>1200</v>
      </c>
      <c r="F100" s="6" t="s">
        <v>1287</v>
      </c>
      <c r="G100" s="6" t="s">
        <v>1288</v>
      </c>
      <c r="H100" s="6" t="s">
        <v>1289</v>
      </c>
      <c r="I100" s="6" t="s">
        <v>274</v>
      </c>
      <c r="J100" s="6"/>
      <c r="K100" s="6" t="s">
        <v>60</v>
      </c>
      <c r="L100" s="6" t="s">
        <v>61</v>
      </c>
      <c r="M100" s="6" t="s">
        <v>1290</v>
      </c>
      <c r="N100" s="6" t="s">
        <v>1291</v>
      </c>
      <c r="O100" s="8" t="s">
        <v>1292</v>
      </c>
      <c r="P100" s="6" t="n">
        <f aca="false">IF(O100="","",VALUE(LEFT(O100,4)))</f>
        <v>1800</v>
      </c>
      <c r="Q100" s="6" t="s">
        <v>1293</v>
      </c>
      <c r="R100" s="6" t="s">
        <v>227</v>
      </c>
      <c r="S100" s="6" t="s">
        <v>265</v>
      </c>
      <c r="T100" s="6" t="s">
        <v>1294</v>
      </c>
      <c r="U100" s="6" t="s">
        <v>85</v>
      </c>
      <c r="V100" s="6" t="s">
        <v>785</v>
      </c>
      <c r="W100" s="6" t="str">
        <f aca="false">IF(O100="","",INDEX(Lookups!$B$2:$B$100,MATCH(O100,Lookups!$A$2:$A$100,1)))</f>
        <v>Portland</v>
      </c>
      <c r="X100" s="6" t="s">
        <v>103</v>
      </c>
      <c r="Y100" s="6" t="s">
        <v>13</v>
      </c>
      <c r="Z100" s="6" t="s">
        <v>72</v>
      </c>
      <c r="AA100" s="6" t="s">
        <v>1295</v>
      </c>
      <c r="AB100" s="6" t="s">
        <v>88</v>
      </c>
      <c r="AC100" s="6"/>
      <c r="AD100" s="6"/>
      <c r="AE100" s="6"/>
      <c r="AF100" s="6"/>
      <c r="AG100" s="6"/>
      <c r="AH100" s="6"/>
      <c r="AI100" s="6" t="s">
        <v>1296</v>
      </c>
    </row>
    <row r="101" customFormat="false" ht="15" hidden="false" customHeight="true" outlineLevel="0" collapsed="false">
      <c r="A101" s="6" t="s">
        <v>1297</v>
      </c>
      <c r="B101" s="6" t="s">
        <v>1298</v>
      </c>
      <c r="C101" s="9" t="s">
        <v>6</v>
      </c>
      <c r="D101" s="6" t="s">
        <v>55</v>
      </c>
      <c r="E101" s="6" t="s">
        <v>1200</v>
      </c>
      <c r="F101" s="6" t="s">
        <v>1287</v>
      </c>
      <c r="G101" s="6" t="s">
        <v>1299</v>
      </c>
      <c r="H101" s="6" t="s">
        <v>1300</v>
      </c>
      <c r="I101" s="6" t="s">
        <v>274</v>
      </c>
      <c r="J101" s="6"/>
      <c r="K101" s="6" t="s">
        <v>60</v>
      </c>
      <c r="L101" s="6" t="s">
        <v>61</v>
      </c>
      <c r="M101" s="6" t="s">
        <v>1301</v>
      </c>
      <c r="N101" s="6" t="s">
        <v>1302</v>
      </c>
      <c r="O101" s="8" t="s">
        <v>1303</v>
      </c>
      <c r="P101" s="6" t="n">
        <f aca="false">IF(O101="","",VALUE(LEFT(O101,4)))</f>
        <v>1800</v>
      </c>
      <c r="Q101" s="6" t="s">
        <v>1304</v>
      </c>
      <c r="R101" s="6" t="s">
        <v>1305</v>
      </c>
      <c r="S101" s="6" t="s">
        <v>866</v>
      </c>
      <c r="T101" s="6" t="s">
        <v>1306</v>
      </c>
      <c r="U101" s="6" t="s">
        <v>139</v>
      </c>
      <c r="V101" s="6" t="s">
        <v>1307</v>
      </c>
      <c r="W101" s="6" t="str">
        <f aca="false">IF(O101="","",INDEX(Lookups!$B$2:$B$101,MATCH(O101,Lookups!$A$2:$A$101,1)))</f>
        <v>Portland</v>
      </c>
      <c r="X101" s="6" t="s">
        <v>103</v>
      </c>
      <c r="Y101" s="6"/>
      <c r="Z101" s="6"/>
      <c r="AA101" s="6"/>
      <c r="AB101" s="6"/>
      <c r="AC101" s="6"/>
      <c r="AD101" s="6"/>
      <c r="AE101" s="6"/>
      <c r="AF101" s="6"/>
      <c r="AG101" s="6"/>
      <c r="AH101" s="6"/>
      <c r="AI101" s="6" t="s">
        <v>1308</v>
      </c>
    </row>
    <row r="102" customFormat="false" ht="15" hidden="false" customHeight="true" outlineLevel="0" collapsed="false">
      <c r="A102" s="6" t="s">
        <v>1309</v>
      </c>
      <c r="B102" s="6" t="s">
        <v>1310</v>
      </c>
      <c r="C102" s="7" t="s">
        <v>4</v>
      </c>
      <c r="D102" s="6" t="s">
        <v>55</v>
      </c>
      <c r="E102" s="6" t="s">
        <v>1200</v>
      </c>
      <c r="F102" s="6" t="s">
        <v>1311</v>
      </c>
      <c r="G102" s="6" t="s">
        <v>579</v>
      </c>
      <c r="H102" s="6" t="s">
        <v>1312</v>
      </c>
      <c r="I102" s="6" t="s">
        <v>274</v>
      </c>
      <c r="J102" s="6"/>
      <c r="K102" s="6" t="s">
        <v>60</v>
      </c>
      <c r="L102" s="6" t="s">
        <v>61</v>
      </c>
      <c r="M102" s="6" t="s">
        <v>1313</v>
      </c>
      <c r="N102" s="6" t="s">
        <v>1314</v>
      </c>
      <c r="O102" s="8" t="s">
        <v>1315</v>
      </c>
      <c r="P102" s="6" t="n">
        <f aca="false">IF(O102="","",VALUE(LEFT(O102,4)))</f>
        <v>1800</v>
      </c>
      <c r="Q102" s="6" t="s">
        <v>369</v>
      </c>
      <c r="R102" s="6" t="s">
        <v>369</v>
      </c>
      <c r="S102" s="6" t="s">
        <v>370</v>
      </c>
      <c r="T102" s="6" t="s">
        <v>1316</v>
      </c>
      <c r="U102" s="6" t="s">
        <v>174</v>
      </c>
      <c r="V102" s="6" t="s">
        <v>785</v>
      </c>
      <c r="W102" s="6" t="str">
        <f aca="false">IF(O102="","",INDEX(Lookups!$B$2:$B$102,MATCH(O102,Lookups!$A$2:$A$102,1)))</f>
        <v>Portland</v>
      </c>
      <c r="X102" s="6" t="s">
        <v>103</v>
      </c>
      <c r="Y102" s="6" t="s">
        <v>16</v>
      </c>
      <c r="Z102" s="6" t="s">
        <v>88</v>
      </c>
      <c r="AA102" s="6" t="s">
        <v>1317</v>
      </c>
      <c r="AB102" s="6" t="s">
        <v>88</v>
      </c>
      <c r="AC102" s="6"/>
      <c r="AD102" s="6"/>
      <c r="AE102" s="6"/>
      <c r="AF102" s="6"/>
      <c r="AG102" s="6"/>
      <c r="AH102" s="6"/>
      <c r="AI102" s="6" t="s">
        <v>1318</v>
      </c>
    </row>
    <row r="103" customFormat="false" ht="15" hidden="false" customHeight="true" outlineLevel="0" collapsed="false">
      <c r="A103" s="6" t="s">
        <v>1319</v>
      </c>
      <c r="B103" s="6" t="s">
        <v>1320</v>
      </c>
      <c r="C103" s="7" t="s">
        <v>4</v>
      </c>
      <c r="D103" s="6" t="s">
        <v>55</v>
      </c>
      <c r="E103" s="6" t="s">
        <v>1200</v>
      </c>
      <c r="F103" s="6" t="s">
        <v>1311</v>
      </c>
      <c r="G103" s="6" t="s">
        <v>1321</v>
      </c>
      <c r="H103" s="6" t="s">
        <v>1322</v>
      </c>
      <c r="I103" s="6" t="s">
        <v>274</v>
      </c>
      <c r="J103" s="6"/>
      <c r="K103" s="6" t="s">
        <v>60</v>
      </c>
      <c r="L103" s="6" t="s">
        <v>61</v>
      </c>
      <c r="M103" s="6" t="s">
        <v>1323</v>
      </c>
      <c r="N103" s="6" t="s">
        <v>1314</v>
      </c>
      <c r="O103" s="8" t="s">
        <v>1315</v>
      </c>
      <c r="P103" s="6" t="n">
        <f aca="false">IF(O103="","",VALUE(LEFT(O103,4)))</f>
        <v>1800</v>
      </c>
      <c r="Q103" s="6" t="s">
        <v>1324</v>
      </c>
      <c r="R103" s="6" t="s">
        <v>1325</v>
      </c>
      <c r="S103" s="6" t="s">
        <v>101</v>
      </c>
      <c r="T103" s="6" t="s">
        <v>1326</v>
      </c>
      <c r="U103" s="6" t="s">
        <v>85</v>
      </c>
      <c r="V103" s="6" t="s">
        <v>785</v>
      </c>
      <c r="W103" s="6" t="str">
        <f aca="false">IF(O103="","",INDEX(Lookups!$B$2:$B$103,MATCH(O103,Lookups!$A$2:$A$103,1)))</f>
        <v>Portland</v>
      </c>
      <c r="X103" s="6" t="s">
        <v>103</v>
      </c>
      <c r="Y103" s="6" t="s">
        <v>15</v>
      </c>
      <c r="Z103" s="6" t="s">
        <v>55</v>
      </c>
      <c r="AA103" s="6" t="s">
        <v>1327</v>
      </c>
      <c r="AB103" s="6" t="s">
        <v>88</v>
      </c>
      <c r="AC103" s="6"/>
      <c r="AD103" s="6"/>
      <c r="AE103" s="6"/>
      <c r="AF103" s="6"/>
      <c r="AG103" s="6"/>
      <c r="AH103" s="6"/>
      <c r="AI103" s="6" t="s">
        <v>1328</v>
      </c>
    </row>
    <row r="104" customFormat="false" ht="15" hidden="false" customHeight="true" outlineLevel="0" collapsed="false">
      <c r="A104" s="6" t="s">
        <v>1329</v>
      </c>
      <c r="B104" s="6" t="s">
        <v>1330</v>
      </c>
      <c r="C104" s="7" t="s">
        <v>4</v>
      </c>
      <c r="D104" s="6" t="s">
        <v>88</v>
      </c>
      <c r="E104" s="6" t="s">
        <v>1200</v>
      </c>
      <c r="F104" s="6" t="s">
        <v>1331</v>
      </c>
      <c r="G104" s="6" t="s">
        <v>1332</v>
      </c>
      <c r="H104" s="6" t="s">
        <v>1333</v>
      </c>
      <c r="I104" s="6" t="s">
        <v>274</v>
      </c>
      <c r="J104" s="6"/>
      <c r="K104" s="6" t="s">
        <v>60</v>
      </c>
      <c r="L104" s="6" t="s">
        <v>61</v>
      </c>
      <c r="M104" s="6" t="s">
        <v>1334</v>
      </c>
      <c r="N104" s="6" t="s">
        <v>1335</v>
      </c>
      <c r="O104" s="8" t="s">
        <v>1315</v>
      </c>
      <c r="P104" s="6" t="n">
        <f aca="false">IF(O104="","",VALUE(LEFT(O104,4)))</f>
        <v>1800</v>
      </c>
      <c r="Q104" s="6" t="s">
        <v>470</v>
      </c>
      <c r="R104" s="6" t="s">
        <v>470</v>
      </c>
      <c r="S104" s="6" t="s">
        <v>447</v>
      </c>
      <c r="T104" s="6" t="s">
        <v>1336</v>
      </c>
      <c r="U104" s="6" t="s">
        <v>69</v>
      </c>
      <c r="V104" s="6" t="s">
        <v>785</v>
      </c>
      <c r="W104" s="6" t="str">
        <f aca="false">IF(O104="","",INDEX(Lookups!$B$2:$B$104,MATCH(O104,Lookups!$A$2:$A$104,1)))</f>
        <v>Portland</v>
      </c>
      <c r="X104" s="6" t="s">
        <v>103</v>
      </c>
      <c r="Y104" s="6" t="s">
        <v>14</v>
      </c>
      <c r="Z104" s="6" t="s">
        <v>72</v>
      </c>
      <c r="AA104" s="6" t="s">
        <v>1337</v>
      </c>
      <c r="AB104" s="6" t="s">
        <v>55</v>
      </c>
      <c r="AC104" s="6"/>
      <c r="AD104" s="6"/>
      <c r="AE104" s="6"/>
      <c r="AF104" s="6"/>
      <c r="AG104" s="6"/>
      <c r="AH104" s="6"/>
      <c r="AI104" s="6" t="s">
        <v>1338</v>
      </c>
    </row>
    <row r="105" customFormat="false" ht="15" hidden="false" customHeight="true" outlineLevel="0" collapsed="false">
      <c r="A105" s="6" t="s">
        <v>1339</v>
      </c>
      <c r="B105" s="6" t="s">
        <v>1340</v>
      </c>
      <c r="C105" s="9" t="s">
        <v>6</v>
      </c>
      <c r="D105" s="6" t="s">
        <v>55</v>
      </c>
      <c r="E105" s="6" t="s">
        <v>1200</v>
      </c>
      <c r="F105" s="6" t="s">
        <v>1331</v>
      </c>
      <c r="G105" s="6" t="s">
        <v>1341</v>
      </c>
      <c r="H105" s="6" t="s">
        <v>1342</v>
      </c>
      <c r="I105" s="6" t="s">
        <v>274</v>
      </c>
      <c r="J105" s="6"/>
      <c r="K105" s="6" t="s">
        <v>60</v>
      </c>
      <c r="L105" s="6" t="s">
        <v>61</v>
      </c>
      <c r="M105" s="6" t="s">
        <v>1343</v>
      </c>
      <c r="N105" s="6" t="s">
        <v>1344</v>
      </c>
      <c r="O105" s="8" t="s">
        <v>1345</v>
      </c>
      <c r="P105" s="6" t="n">
        <f aca="false">IF(O105="","",VALUE(LEFT(O105,4)))</f>
        <v>1800</v>
      </c>
      <c r="Q105" s="6" t="s">
        <v>620</v>
      </c>
      <c r="R105" s="6" t="s">
        <v>620</v>
      </c>
      <c r="S105" s="6" t="s">
        <v>304</v>
      </c>
      <c r="T105" s="6" t="s">
        <v>1346</v>
      </c>
      <c r="U105" s="6" t="s">
        <v>85</v>
      </c>
      <c r="V105" s="6" t="s">
        <v>785</v>
      </c>
      <c r="W105" s="6" t="str">
        <f aca="false">IF(O105="","",INDEX(Lookups!$B$2:$B$105,MATCH(O105,Lookups!$A$2:$A$105,1)))</f>
        <v>Portland</v>
      </c>
      <c r="X105" s="6" t="s">
        <v>103</v>
      </c>
      <c r="Y105" s="6"/>
      <c r="Z105" s="6"/>
      <c r="AA105" s="6"/>
      <c r="AB105" s="6"/>
      <c r="AC105" s="6"/>
      <c r="AD105" s="6"/>
      <c r="AE105" s="6"/>
      <c r="AF105" s="6"/>
      <c r="AG105" s="6"/>
      <c r="AH105" s="6"/>
      <c r="AI105" s="6" t="s">
        <v>1347</v>
      </c>
    </row>
    <row r="106" customFormat="false" ht="15" hidden="false" customHeight="true" outlineLevel="0" collapsed="false">
      <c r="A106" s="6" t="s">
        <v>1348</v>
      </c>
      <c r="B106" s="6" t="s">
        <v>1231</v>
      </c>
      <c r="C106" s="12" t="s">
        <v>9</v>
      </c>
      <c r="D106" s="6" t="s">
        <v>55</v>
      </c>
      <c r="E106" s="6" t="s">
        <v>1200</v>
      </c>
      <c r="F106" s="6" t="s">
        <v>1331</v>
      </c>
      <c r="G106" s="6" t="s">
        <v>1349</v>
      </c>
      <c r="H106" s="6" t="s">
        <v>1350</v>
      </c>
      <c r="I106" s="6" t="s">
        <v>274</v>
      </c>
      <c r="J106" s="6"/>
      <c r="K106" s="6" t="s">
        <v>60</v>
      </c>
      <c r="L106" s="6" t="s">
        <v>61</v>
      </c>
      <c r="M106" s="6" t="s">
        <v>1351</v>
      </c>
      <c r="N106" s="6" t="s">
        <v>1352</v>
      </c>
      <c r="O106" s="8" t="s">
        <v>1353</v>
      </c>
      <c r="P106" s="6" t="n">
        <f aca="false">IF(O106="","",VALUE(LEFT(O106,4)))</f>
        <v>1800</v>
      </c>
      <c r="Q106" s="6" t="s">
        <v>1354</v>
      </c>
      <c r="R106" s="6" t="s">
        <v>1238</v>
      </c>
      <c r="S106" s="6" t="s">
        <v>866</v>
      </c>
      <c r="T106" s="6" t="s">
        <v>1355</v>
      </c>
      <c r="U106" s="6" t="s">
        <v>69</v>
      </c>
      <c r="V106" s="6" t="s">
        <v>785</v>
      </c>
      <c r="W106" s="6" t="str">
        <f aca="false">IF(O106="","",INDEX(Lookups!$B$2:$B$106,MATCH(O106,Lookups!$A$2:$A$106,1)))</f>
        <v>Portland</v>
      </c>
      <c r="X106" s="6" t="s">
        <v>103</v>
      </c>
      <c r="Y106" s="6"/>
      <c r="Z106" s="6"/>
      <c r="AA106" s="6"/>
      <c r="AB106" s="6"/>
      <c r="AC106" s="6"/>
      <c r="AD106" s="6"/>
      <c r="AE106" s="6"/>
      <c r="AF106" s="6"/>
      <c r="AG106" s="6"/>
      <c r="AH106" s="6"/>
      <c r="AI106" s="6" t="s">
        <v>1356</v>
      </c>
    </row>
    <row r="107" customFormat="false" ht="15" hidden="false" customHeight="true" outlineLevel="0" collapsed="false">
      <c r="A107" s="6" t="s">
        <v>1357</v>
      </c>
      <c r="B107" s="6" t="s">
        <v>1358</v>
      </c>
      <c r="C107" s="7" t="s">
        <v>4</v>
      </c>
      <c r="D107" s="6" t="s">
        <v>88</v>
      </c>
      <c r="E107" s="6" t="s">
        <v>1200</v>
      </c>
      <c r="F107" s="6" t="s">
        <v>1359</v>
      </c>
      <c r="G107" s="6" t="s">
        <v>1360</v>
      </c>
      <c r="H107" s="6" t="s">
        <v>1361</v>
      </c>
      <c r="I107" s="6" t="s">
        <v>274</v>
      </c>
      <c r="J107" s="6"/>
      <c r="K107" s="6" t="s">
        <v>60</v>
      </c>
      <c r="L107" s="6" t="s">
        <v>61</v>
      </c>
      <c r="M107" s="6" t="s">
        <v>1362</v>
      </c>
      <c r="N107" s="6" t="s">
        <v>1363</v>
      </c>
      <c r="O107" s="8" t="s">
        <v>1364</v>
      </c>
      <c r="P107" s="6" t="n">
        <f aca="false">IF(O107="","",VALUE(LEFT(O107,4)))</f>
        <v>1800</v>
      </c>
      <c r="Q107" s="6" t="s">
        <v>1365</v>
      </c>
      <c r="R107" s="6" t="s">
        <v>1365</v>
      </c>
      <c r="S107" s="6" t="s">
        <v>1366</v>
      </c>
      <c r="T107" s="6" t="s">
        <v>1367</v>
      </c>
      <c r="U107" s="6" t="s">
        <v>69</v>
      </c>
      <c r="V107" s="6" t="s">
        <v>785</v>
      </c>
      <c r="W107" s="6" t="str">
        <f aca="false">IF(O107="","",INDEX(Lookups!$B$2:$B$107,MATCH(O107,Lookups!$A$2:$A$107,1)))</f>
        <v>Portland</v>
      </c>
      <c r="X107" s="6" t="s">
        <v>103</v>
      </c>
      <c r="Y107" s="6" t="s">
        <v>13</v>
      </c>
      <c r="Z107" s="6" t="s">
        <v>88</v>
      </c>
      <c r="AA107" s="6" t="s">
        <v>1368</v>
      </c>
      <c r="AB107" s="6" t="s">
        <v>55</v>
      </c>
      <c r="AC107" s="6"/>
      <c r="AD107" s="6"/>
      <c r="AE107" s="6"/>
      <c r="AF107" s="6"/>
      <c r="AG107" s="6"/>
      <c r="AH107" s="6"/>
      <c r="AI107" s="6" t="s">
        <v>1369</v>
      </c>
    </row>
    <row r="108" customFormat="false" ht="15" hidden="false" customHeight="true" outlineLevel="0" collapsed="false">
      <c r="A108" s="6" t="s">
        <v>1370</v>
      </c>
      <c r="B108" s="6" t="s">
        <v>1371</v>
      </c>
      <c r="C108" s="9" t="s">
        <v>6</v>
      </c>
      <c r="D108" s="6" t="s">
        <v>55</v>
      </c>
      <c r="E108" s="6" t="s">
        <v>1200</v>
      </c>
      <c r="F108" s="6" t="s">
        <v>1359</v>
      </c>
      <c r="G108" s="6" t="s">
        <v>1372</v>
      </c>
      <c r="H108" s="6" t="s">
        <v>1373</v>
      </c>
      <c r="I108" s="6" t="s">
        <v>274</v>
      </c>
      <c r="J108" s="6"/>
      <c r="K108" s="6" t="s">
        <v>60</v>
      </c>
      <c r="L108" s="6" t="s">
        <v>61</v>
      </c>
      <c r="M108" s="6" t="s">
        <v>1374</v>
      </c>
      <c r="N108" s="6" t="s">
        <v>1375</v>
      </c>
      <c r="O108" s="8" t="s">
        <v>1315</v>
      </c>
      <c r="P108" s="6" t="n">
        <f aca="false">IF(O108="","",VALUE(LEFT(O108,4)))</f>
        <v>1800</v>
      </c>
      <c r="Q108" s="6" t="s">
        <v>1376</v>
      </c>
      <c r="R108" s="6" t="s">
        <v>1376</v>
      </c>
      <c r="S108" s="6" t="s">
        <v>252</v>
      </c>
      <c r="T108" s="6" t="s">
        <v>1377</v>
      </c>
      <c r="U108" s="6" t="s">
        <v>85</v>
      </c>
      <c r="V108" s="6" t="s">
        <v>785</v>
      </c>
      <c r="W108" s="6" t="str">
        <f aca="false">IF(O108="","",INDEX(Lookups!$B$2:$B$108,MATCH(O108,Lookups!$A$2:$A$108,1)))</f>
        <v>Portland</v>
      </c>
      <c r="X108" s="6" t="s">
        <v>103</v>
      </c>
      <c r="Y108" s="6"/>
      <c r="Z108" s="6"/>
      <c r="AA108" s="6"/>
      <c r="AB108" s="6"/>
      <c r="AC108" s="6"/>
      <c r="AD108" s="6"/>
      <c r="AE108" s="6"/>
      <c r="AF108" s="6"/>
      <c r="AG108" s="6"/>
      <c r="AH108" s="6"/>
      <c r="AI108" s="6" t="s">
        <v>1378</v>
      </c>
    </row>
    <row r="109" customFormat="false" ht="15" hidden="false" customHeight="true" outlineLevel="0" collapsed="false">
      <c r="A109" s="6" t="s">
        <v>1379</v>
      </c>
      <c r="B109" s="6" t="s">
        <v>1380</v>
      </c>
      <c r="C109" s="7" t="s">
        <v>4</v>
      </c>
      <c r="D109" s="6" t="s">
        <v>88</v>
      </c>
      <c r="E109" s="6" t="s">
        <v>1200</v>
      </c>
      <c r="F109" s="6" t="s">
        <v>1381</v>
      </c>
      <c r="G109" s="6" t="s">
        <v>1382</v>
      </c>
      <c r="H109" s="6" t="s">
        <v>1383</v>
      </c>
      <c r="I109" s="6" t="s">
        <v>274</v>
      </c>
      <c r="J109" s="6"/>
      <c r="K109" s="6" t="s">
        <v>60</v>
      </c>
      <c r="L109" s="6" t="s">
        <v>61</v>
      </c>
      <c r="M109" s="6" t="s">
        <v>1384</v>
      </c>
      <c r="N109" s="6" t="s">
        <v>1385</v>
      </c>
      <c r="O109" s="8" t="s">
        <v>1386</v>
      </c>
      <c r="P109" s="6" t="n">
        <f aca="false">IF(O109="","",VALUE(LEFT(O109,4)))</f>
        <v>1800</v>
      </c>
      <c r="Q109" s="6" t="s">
        <v>1387</v>
      </c>
      <c r="R109" s="6" t="s">
        <v>1387</v>
      </c>
      <c r="S109" s="6" t="s">
        <v>1388</v>
      </c>
      <c r="T109" s="6" t="s">
        <v>1389</v>
      </c>
      <c r="U109" s="6" t="s">
        <v>85</v>
      </c>
      <c r="V109" s="6" t="s">
        <v>785</v>
      </c>
      <c r="W109" s="6" t="str">
        <f aca="false">IF(O109="","",INDEX(Lookups!$B$2:$B$109,MATCH(O109,Lookups!$A$2:$A$109,1)))</f>
        <v>Portland</v>
      </c>
      <c r="X109" s="6" t="s">
        <v>103</v>
      </c>
      <c r="Y109" s="6" t="s">
        <v>14</v>
      </c>
      <c r="Z109" s="6" t="s">
        <v>72</v>
      </c>
      <c r="AA109" s="6" t="s">
        <v>1390</v>
      </c>
      <c r="AB109" s="6" t="s">
        <v>88</v>
      </c>
      <c r="AC109" s="6"/>
      <c r="AD109" s="6"/>
      <c r="AE109" s="6"/>
      <c r="AF109" s="6"/>
      <c r="AG109" s="6"/>
      <c r="AH109" s="6"/>
      <c r="AI109" s="6" t="s">
        <v>1391</v>
      </c>
    </row>
    <row r="110" customFormat="false" ht="15" hidden="false" customHeight="true" outlineLevel="0" collapsed="false">
      <c r="A110" s="6" t="s">
        <v>1392</v>
      </c>
      <c r="B110" s="6" t="s">
        <v>1393</v>
      </c>
      <c r="C110" s="7" t="s">
        <v>4</v>
      </c>
      <c r="D110" s="6" t="s">
        <v>88</v>
      </c>
      <c r="E110" s="6" t="s">
        <v>1394</v>
      </c>
      <c r="F110" s="6" t="s">
        <v>1395</v>
      </c>
      <c r="G110" s="6" t="s">
        <v>1396</v>
      </c>
      <c r="H110" s="6" t="s">
        <v>1397</v>
      </c>
      <c r="I110" s="6" t="s">
        <v>274</v>
      </c>
      <c r="J110" s="6"/>
      <c r="K110" s="6" t="s">
        <v>60</v>
      </c>
      <c r="L110" s="6" t="s">
        <v>61</v>
      </c>
      <c r="M110" s="6" t="s">
        <v>1398</v>
      </c>
      <c r="N110" s="6" t="s">
        <v>1399</v>
      </c>
      <c r="O110" s="8" t="s">
        <v>1400</v>
      </c>
      <c r="P110" s="6" t="n">
        <f aca="false">IF(O110="","",VALUE(LEFT(O110,4)))</f>
        <v>1800</v>
      </c>
      <c r="Q110" s="6" t="s">
        <v>1401</v>
      </c>
      <c r="R110" s="6" t="s">
        <v>1117</v>
      </c>
      <c r="S110" s="6" t="s">
        <v>358</v>
      </c>
      <c r="T110" s="6" t="s">
        <v>1402</v>
      </c>
      <c r="U110" s="6" t="s">
        <v>69</v>
      </c>
      <c r="V110" s="6" t="s">
        <v>785</v>
      </c>
      <c r="W110" s="6" t="str">
        <f aca="false">IF(O110="","",INDEX(Lookups!$B$2:$B$110,MATCH(O110,Lookups!$A$2:$A$110,1)))</f>
        <v>Portland</v>
      </c>
      <c r="X110" s="6" t="s">
        <v>103</v>
      </c>
      <c r="Y110" s="6" t="s">
        <v>13</v>
      </c>
      <c r="Z110" s="6" t="s">
        <v>88</v>
      </c>
      <c r="AA110" s="6" t="s">
        <v>1403</v>
      </c>
      <c r="AB110" s="6" t="s">
        <v>88</v>
      </c>
      <c r="AC110" s="6"/>
      <c r="AD110" s="6"/>
      <c r="AE110" s="6"/>
      <c r="AF110" s="6"/>
      <c r="AG110" s="6"/>
      <c r="AH110" s="6"/>
      <c r="AI110" s="6" t="s">
        <v>1404</v>
      </c>
    </row>
    <row r="111" customFormat="false" ht="15" hidden="false" customHeight="true" outlineLevel="0" collapsed="false">
      <c r="A111" s="6" t="s">
        <v>1405</v>
      </c>
      <c r="B111" s="6" t="s">
        <v>1406</v>
      </c>
      <c r="C111" s="7" t="s">
        <v>4</v>
      </c>
      <c r="D111" s="6" t="s">
        <v>88</v>
      </c>
      <c r="E111" s="6" t="s">
        <v>1394</v>
      </c>
      <c r="F111" s="6" t="s">
        <v>1407</v>
      </c>
      <c r="G111" s="6" t="s">
        <v>1408</v>
      </c>
      <c r="H111" s="6" t="s">
        <v>1409</v>
      </c>
      <c r="I111" s="6" t="s">
        <v>274</v>
      </c>
      <c r="J111" s="6"/>
      <c r="K111" s="6" t="s">
        <v>60</v>
      </c>
      <c r="L111" s="6" t="s">
        <v>61</v>
      </c>
      <c r="M111" s="6" t="s">
        <v>1410</v>
      </c>
      <c r="N111" s="6" t="s">
        <v>1411</v>
      </c>
      <c r="O111" s="8" t="s">
        <v>1412</v>
      </c>
      <c r="P111" s="6" t="n">
        <f aca="false">IF(O111="","",VALUE(LEFT(O111,4)))</f>
        <v>1800</v>
      </c>
      <c r="Q111" s="6" t="s">
        <v>1413</v>
      </c>
      <c r="R111" s="6" t="s">
        <v>1414</v>
      </c>
      <c r="S111" s="6" t="s">
        <v>705</v>
      </c>
      <c r="T111" s="6" t="s">
        <v>1415</v>
      </c>
      <c r="U111" s="6" t="s">
        <v>69</v>
      </c>
      <c r="V111" s="6" t="s">
        <v>785</v>
      </c>
      <c r="W111" s="6" t="str">
        <f aca="false">IF(O111="","",INDEX(Lookups!$B$2:$B$111,MATCH(O111,Lookups!$A$2:$A$111,1)))</f>
        <v>Portland</v>
      </c>
      <c r="X111" s="6" t="s">
        <v>103</v>
      </c>
      <c r="Y111" s="6" t="s">
        <v>14</v>
      </c>
      <c r="Z111" s="6" t="s">
        <v>55</v>
      </c>
      <c r="AA111" s="6" t="s">
        <v>1416</v>
      </c>
      <c r="AB111" s="6" t="s">
        <v>55</v>
      </c>
      <c r="AC111" s="6"/>
      <c r="AD111" s="6"/>
      <c r="AE111" s="6"/>
      <c r="AF111" s="6"/>
      <c r="AG111" s="6"/>
      <c r="AH111" s="6"/>
      <c r="AI111" s="6" t="s">
        <v>1417</v>
      </c>
    </row>
    <row r="112" customFormat="false" ht="15" hidden="false" customHeight="true" outlineLevel="0" collapsed="false">
      <c r="A112" s="6" t="s">
        <v>1418</v>
      </c>
      <c r="B112" s="6" t="s">
        <v>1419</v>
      </c>
      <c r="C112" s="7" t="s">
        <v>4</v>
      </c>
      <c r="D112" s="6" t="s">
        <v>88</v>
      </c>
      <c r="E112" s="6" t="s">
        <v>1420</v>
      </c>
      <c r="F112" s="6" t="s">
        <v>1421</v>
      </c>
      <c r="G112" s="6" t="s">
        <v>1422</v>
      </c>
      <c r="H112" s="6" t="s">
        <v>1423</v>
      </c>
      <c r="I112" s="6" t="s">
        <v>274</v>
      </c>
      <c r="J112" s="6"/>
      <c r="K112" s="6" t="s">
        <v>60</v>
      </c>
      <c r="L112" s="6" t="s">
        <v>61</v>
      </c>
      <c r="M112" s="6" t="s">
        <v>1424</v>
      </c>
      <c r="N112" s="6" t="s">
        <v>1425</v>
      </c>
      <c r="O112" s="8" t="s">
        <v>1426</v>
      </c>
      <c r="P112" s="6" t="n">
        <f aca="false">IF(O112="","",VALUE(LEFT(O112,4)))</f>
        <v>1800</v>
      </c>
      <c r="Q112" s="6" t="s">
        <v>1427</v>
      </c>
      <c r="R112" s="6" t="s">
        <v>1428</v>
      </c>
      <c r="S112" s="6" t="s">
        <v>358</v>
      </c>
      <c r="T112" s="6" t="s">
        <v>1429</v>
      </c>
      <c r="U112" s="6" t="s">
        <v>279</v>
      </c>
      <c r="V112" s="6" t="s">
        <v>785</v>
      </c>
      <c r="W112" s="6" t="str">
        <f aca="false">IF(O112="","",INDEX(Lookups!$B$2:$B$112,MATCH(O112,Lookups!$A$2:$A$112,1)))</f>
        <v>Portland</v>
      </c>
      <c r="X112" s="6" t="s">
        <v>103</v>
      </c>
      <c r="Y112" s="6" t="s">
        <v>14</v>
      </c>
      <c r="Z112" s="6" t="s">
        <v>88</v>
      </c>
      <c r="AA112" s="6" t="s">
        <v>1430</v>
      </c>
      <c r="AB112" s="6" t="s">
        <v>88</v>
      </c>
      <c r="AC112" s="6" t="s">
        <v>1431</v>
      </c>
      <c r="AD112" s="6" t="s">
        <v>106</v>
      </c>
      <c r="AE112" s="6" t="s">
        <v>1432</v>
      </c>
      <c r="AF112" s="6" t="s">
        <v>108</v>
      </c>
      <c r="AG112" s="6" t="s">
        <v>785</v>
      </c>
      <c r="AH112" s="6" t="s">
        <v>9</v>
      </c>
      <c r="AI112" s="6" t="s">
        <v>1433</v>
      </c>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112"/>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1434</v>
      </c>
      <c r="B1" s="5" t="s">
        <v>2</v>
      </c>
      <c r="C1" s="5" t="s">
        <v>1435</v>
      </c>
      <c r="D1" s="5" t="s">
        <v>37</v>
      </c>
      <c r="E1" s="5" t="s">
        <v>34</v>
      </c>
      <c r="F1" s="5" t="s">
        <v>1436</v>
      </c>
      <c r="G1" s="5" t="s">
        <v>1437</v>
      </c>
      <c r="H1" s="5" t="s">
        <v>1438</v>
      </c>
      <c r="I1" s="5" t="s">
        <v>1439</v>
      </c>
      <c r="J1" s="5" t="s">
        <v>1440</v>
      </c>
      <c r="K1" s="5" t="s">
        <v>1441</v>
      </c>
    </row>
    <row r="2" customFormat="false" ht="57" hidden="false" customHeight="true" outlineLevel="0" collapsed="false">
      <c r="A2" s="6" t="s">
        <v>1442</v>
      </c>
      <c r="B2" s="6" t="s">
        <v>4</v>
      </c>
      <c r="C2" s="6" t="s">
        <v>1238</v>
      </c>
      <c r="D2" s="6" t="s">
        <v>866</v>
      </c>
      <c r="E2" s="8" t="s">
        <v>1443</v>
      </c>
      <c r="F2" s="6" t="s">
        <v>1444</v>
      </c>
      <c r="G2" s="6" t="s">
        <v>1445</v>
      </c>
      <c r="H2" s="6" t="s">
        <v>1446</v>
      </c>
      <c r="I2" s="6" t="s">
        <v>55</v>
      </c>
      <c r="J2" s="6" t="s">
        <v>1447</v>
      </c>
      <c r="K2" s="6" t="s">
        <v>1448</v>
      </c>
    </row>
    <row r="3" customFormat="false" ht="23.25" hidden="false" customHeight="true" outlineLevel="0" collapsed="false">
      <c r="A3" s="6" t="s">
        <v>1449</v>
      </c>
      <c r="B3" s="6" t="s">
        <v>4</v>
      </c>
      <c r="C3" s="6" t="s">
        <v>1270</v>
      </c>
      <c r="D3" s="6" t="s">
        <v>866</v>
      </c>
      <c r="E3" s="8" t="s">
        <v>1450</v>
      </c>
      <c r="F3" s="6" t="s">
        <v>1451</v>
      </c>
      <c r="G3" s="6" t="s">
        <v>1452</v>
      </c>
      <c r="H3" s="6" t="s">
        <v>1453</v>
      </c>
      <c r="I3" s="6" t="s">
        <v>1454</v>
      </c>
      <c r="J3" s="6" t="s">
        <v>1447</v>
      </c>
      <c r="K3" s="6" t="s">
        <v>1455</v>
      </c>
    </row>
    <row r="4" customFormat="false" ht="23.25" hidden="false" customHeight="true" outlineLevel="0" collapsed="false">
      <c r="A4" s="6" t="s">
        <v>1456</v>
      </c>
      <c r="B4" s="6" t="s">
        <v>4</v>
      </c>
      <c r="C4" s="6" t="s">
        <v>184</v>
      </c>
      <c r="D4" s="6" t="s">
        <v>185</v>
      </c>
      <c r="E4" s="8" t="s">
        <v>1457</v>
      </c>
      <c r="F4" s="6" t="s">
        <v>1458</v>
      </c>
      <c r="G4" s="6" t="s">
        <v>1459</v>
      </c>
      <c r="H4" s="6" t="s">
        <v>1460</v>
      </c>
      <c r="I4" s="6" t="s">
        <v>55</v>
      </c>
      <c r="J4" s="6" t="s">
        <v>1461</v>
      </c>
      <c r="K4" s="6" t="s">
        <v>1462</v>
      </c>
    </row>
    <row r="5" customFormat="false" ht="34.5" hidden="false" customHeight="true" outlineLevel="0" collapsed="false">
      <c r="A5" s="6" t="s">
        <v>1463</v>
      </c>
      <c r="B5" s="6" t="s">
        <v>9</v>
      </c>
      <c r="C5" s="6" t="s">
        <v>1054</v>
      </c>
      <c r="D5" s="6" t="s">
        <v>1026</v>
      </c>
      <c r="E5" s="8" t="s">
        <v>1292</v>
      </c>
      <c r="F5" s="6" t="s">
        <v>1464</v>
      </c>
      <c r="G5" s="6" t="s">
        <v>1465</v>
      </c>
      <c r="H5" s="6" t="s">
        <v>1460</v>
      </c>
      <c r="I5" s="6" t="s">
        <v>55</v>
      </c>
      <c r="J5" s="6" t="s">
        <v>1466</v>
      </c>
      <c r="K5" s="6" t="s">
        <v>1467</v>
      </c>
    </row>
    <row r="6" customFormat="false" ht="23.25" hidden="false" customHeight="true" outlineLevel="0" collapsed="false">
      <c r="A6" s="6" t="s">
        <v>1468</v>
      </c>
      <c r="B6" s="6" t="s">
        <v>6</v>
      </c>
      <c r="C6" s="6" t="s">
        <v>1469</v>
      </c>
      <c r="D6" s="6" t="s">
        <v>866</v>
      </c>
      <c r="E6" s="8" t="s">
        <v>1450</v>
      </c>
      <c r="F6" s="6" t="s">
        <v>1470</v>
      </c>
      <c r="G6" s="6" t="s">
        <v>1471</v>
      </c>
      <c r="H6" s="6" t="s">
        <v>1453</v>
      </c>
      <c r="I6" s="6" t="s">
        <v>55</v>
      </c>
      <c r="J6" s="6" t="s">
        <v>1461</v>
      </c>
      <c r="K6" s="6"/>
    </row>
    <row r="7" customFormat="false" ht="34.5" hidden="false" customHeight="true" outlineLevel="0" collapsed="false">
      <c r="A7" s="6" t="s">
        <v>1472</v>
      </c>
      <c r="B7" s="6" t="s">
        <v>6</v>
      </c>
      <c r="C7" s="6" t="s">
        <v>1473</v>
      </c>
      <c r="D7" s="6" t="s">
        <v>252</v>
      </c>
      <c r="E7" s="8" t="s">
        <v>1474</v>
      </c>
      <c r="F7" s="6" t="s">
        <v>1475</v>
      </c>
      <c r="G7" s="6" t="s">
        <v>1476</v>
      </c>
      <c r="H7" s="6" t="s">
        <v>1453</v>
      </c>
      <c r="I7" s="6" t="s">
        <v>55</v>
      </c>
      <c r="J7" s="6" t="s">
        <v>1461</v>
      </c>
      <c r="K7" s="6" t="s">
        <v>1477</v>
      </c>
    </row>
    <row r="8" customFormat="false" ht="23.25" hidden="false" customHeight="true" outlineLevel="0" collapsed="false">
      <c r="A8" s="6" t="s">
        <v>1478</v>
      </c>
      <c r="B8" s="6" t="s">
        <v>4</v>
      </c>
      <c r="C8" s="6" t="s">
        <v>1479</v>
      </c>
      <c r="D8" s="6" t="s">
        <v>1366</v>
      </c>
      <c r="E8" s="8" t="s">
        <v>1480</v>
      </c>
      <c r="F8" s="6" t="s">
        <v>1481</v>
      </c>
      <c r="G8" s="6" t="s">
        <v>1482</v>
      </c>
      <c r="H8" s="6" t="s">
        <v>1453</v>
      </c>
      <c r="I8" s="6" t="s">
        <v>55</v>
      </c>
      <c r="J8" s="6" t="s">
        <v>1447</v>
      </c>
      <c r="K8" s="6" t="s">
        <v>1483</v>
      </c>
    </row>
    <row r="9" customFormat="false" ht="23.25" hidden="false" customHeight="true" outlineLevel="0" collapsed="false">
      <c r="A9" s="6" t="s">
        <v>1484</v>
      </c>
      <c r="B9" s="6" t="s">
        <v>4</v>
      </c>
      <c r="C9" s="6" t="s">
        <v>1485</v>
      </c>
      <c r="D9" s="6" t="s">
        <v>172</v>
      </c>
      <c r="E9" s="8" t="s">
        <v>1486</v>
      </c>
      <c r="F9" s="6" t="s">
        <v>1487</v>
      </c>
      <c r="G9" s="6" t="s">
        <v>1488</v>
      </c>
      <c r="H9" s="6" t="s">
        <v>1453</v>
      </c>
      <c r="I9" s="6" t="s">
        <v>55</v>
      </c>
      <c r="J9" s="6" t="s">
        <v>1447</v>
      </c>
      <c r="K9" s="6"/>
    </row>
    <row r="10" customFormat="false" ht="23.25" hidden="false" customHeight="true" outlineLevel="0" collapsed="false">
      <c r="A10" s="6" t="s">
        <v>1489</v>
      </c>
      <c r="B10" s="6" t="s">
        <v>9</v>
      </c>
      <c r="C10" s="6" t="s">
        <v>195</v>
      </c>
      <c r="D10" s="6" t="s">
        <v>196</v>
      </c>
      <c r="E10" s="8" t="s">
        <v>1490</v>
      </c>
      <c r="F10" s="6" t="s">
        <v>1491</v>
      </c>
      <c r="G10" s="6" t="s">
        <v>1492</v>
      </c>
      <c r="H10" s="6" t="s">
        <v>1453</v>
      </c>
      <c r="I10" s="6" t="s">
        <v>55</v>
      </c>
      <c r="J10" s="6" t="s">
        <v>1461</v>
      </c>
      <c r="K10" s="6" t="s">
        <v>1493</v>
      </c>
    </row>
    <row r="11" customFormat="false" ht="34.5" hidden="false" customHeight="true" outlineLevel="0" collapsed="false">
      <c r="A11" s="6" t="s">
        <v>1494</v>
      </c>
      <c r="B11" s="6" t="s">
        <v>5</v>
      </c>
      <c r="C11" s="6" t="s">
        <v>1495</v>
      </c>
      <c r="D11" s="6" t="s">
        <v>1496</v>
      </c>
      <c r="E11" s="8" t="s">
        <v>1497</v>
      </c>
      <c r="F11" s="6" t="s">
        <v>1498</v>
      </c>
      <c r="G11" s="6" t="s">
        <v>1499</v>
      </c>
      <c r="H11" s="6" t="s">
        <v>1453</v>
      </c>
      <c r="I11" s="6" t="s">
        <v>55</v>
      </c>
      <c r="J11" s="6" t="s">
        <v>1461</v>
      </c>
      <c r="K11" s="6" t="s">
        <v>1500</v>
      </c>
    </row>
    <row r="12" customFormat="false" ht="23.25" hidden="false" customHeight="true" outlineLevel="0" collapsed="false">
      <c r="A12" s="6" t="s">
        <v>1501</v>
      </c>
      <c r="B12" s="6" t="s">
        <v>5</v>
      </c>
      <c r="C12" s="6" t="s">
        <v>1502</v>
      </c>
      <c r="D12" s="6" t="s">
        <v>252</v>
      </c>
      <c r="E12" s="8" t="s">
        <v>1503</v>
      </c>
      <c r="F12" s="6" t="s">
        <v>1504</v>
      </c>
      <c r="G12" s="6" t="s">
        <v>1505</v>
      </c>
      <c r="H12" s="6" t="s">
        <v>1453</v>
      </c>
      <c r="I12" s="6" t="s">
        <v>55</v>
      </c>
      <c r="J12" s="6" t="s">
        <v>1461</v>
      </c>
      <c r="K12" s="6" t="s">
        <v>1506</v>
      </c>
    </row>
    <row r="13" customFormat="false" ht="23.25" hidden="false" customHeight="true" outlineLevel="0" collapsed="false">
      <c r="A13" s="6" t="s">
        <v>1507</v>
      </c>
      <c r="B13" s="6" t="s">
        <v>6</v>
      </c>
      <c r="C13" s="6" t="s">
        <v>1508</v>
      </c>
      <c r="D13" s="6" t="s">
        <v>1388</v>
      </c>
      <c r="E13" s="8" t="s">
        <v>1509</v>
      </c>
      <c r="F13" s="6" t="s">
        <v>1510</v>
      </c>
      <c r="G13" s="6" t="s">
        <v>1511</v>
      </c>
      <c r="H13" s="6" t="s">
        <v>1453</v>
      </c>
      <c r="I13" s="6" t="s">
        <v>55</v>
      </c>
      <c r="J13" s="6" t="s">
        <v>1466</v>
      </c>
      <c r="K13" s="6" t="s">
        <v>1512</v>
      </c>
    </row>
    <row r="14" customFormat="false" ht="23.25" hidden="false" customHeight="true" outlineLevel="0" collapsed="false">
      <c r="A14" s="6" t="s">
        <v>1513</v>
      </c>
      <c r="B14" s="6" t="s">
        <v>6</v>
      </c>
      <c r="C14" s="6" t="s">
        <v>1514</v>
      </c>
      <c r="D14" s="6" t="s">
        <v>185</v>
      </c>
      <c r="E14" s="8" t="s">
        <v>1515</v>
      </c>
      <c r="F14" s="6" t="s">
        <v>1516</v>
      </c>
      <c r="G14" s="6" t="s">
        <v>1517</v>
      </c>
      <c r="H14" s="6" t="s">
        <v>1453</v>
      </c>
      <c r="I14" s="6" t="s">
        <v>55</v>
      </c>
      <c r="J14" s="6" t="s">
        <v>1466</v>
      </c>
      <c r="K14" s="6" t="s">
        <v>1518</v>
      </c>
    </row>
    <row r="15" customFormat="false" ht="34.5" hidden="false" customHeight="true" outlineLevel="0" collapsed="false">
      <c r="A15" s="6" t="s">
        <v>1519</v>
      </c>
      <c r="B15" s="6" t="s">
        <v>9</v>
      </c>
      <c r="C15" s="6" t="s">
        <v>1520</v>
      </c>
      <c r="D15" s="6" t="s">
        <v>1521</v>
      </c>
      <c r="E15" s="8" t="s">
        <v>1522</v>
      </c>
      <c r="F15" s="6" t="s">
        <v>1523</v>
      </c>
      <c r="G15" s="6" t="s">
        <v>1524</v>
      </c>
      <c r="H15" s="6" t="s">
        <v>1453</v>
      </c>
      <c r="I15" s="6" t="s">
        <v>55</v>
      </c>
      <c r="J15" s="6" t="s">
        <v>1461</v>
      </c>
      <c r="K15" s="6" t="s">
        <v>1525</v>
      </c>
    </row>
    <row r="16" customFormat="false" ht="34.5" hidden="false" customHeight="true" outlineLevel="0" collapsed="false">
      <c r="A16" s="6" t="s">
        <v>1526</v>
      </c>
      <c r="B16" s="6" t="s">
        <v>9</v>
      </c>
      <c r="C16" s="6" t="s">
        <v>1520</v>
      </c>
      <c r="D16" s="6" t="s">
        <v>1521</v>
      </c>
      <c r="E16" s="8" t="s">
        <v>1527</v>
      </c>
      <c r="F16" s="6" t="s">
        <v>1528</v>
      </c>
      <c r="G16" s="6" t="s">
        <v>1529</v>
      </c>
      <c r="H16" s="6" t="s">
        <v>1453</v>
      </c>
      <c r="I16" s="6" t="s">
        <v>55</v>
      </c>
      <c r="J16" s="6" t="s">
        <v>1461</v>
      </c>
      <c r="K16" s="6" t="s">
        <v>1530</v>
      </c>
    </row>
    <row r="17" customFormat="false" ht="34.5" hidden="false" customHeight="true" outlineLevel="0" collapsed="false">
      <c r="A17" s="6" t="s">
        <v>1531</v>
      </c>
      <c r="B17" s="6" t="s">
        <v>4</v>
      </c>
      <c r="C17" s="6" t="s">
        <v>227</v>
      </c>
      <c r="D17" s="6" t="s">
        <v>228</v>
      </c>
      <c r="E17" s="8" t="s">
        <v>1532</v>
      </c>
      <c r="F17" s="6" t="s">
        <v>1533</v>
      </c>
      <c r="G17" s="6" t="s">
        <v>1534</v>
      </c>
      <c r="H17" s="6" t="s">
        <v>1453</v>
      </c>
      <c r="I17" s="6" t="s">
        <v>55</v>
      </c>
      <c r="J17" s="6" t="s">
        <v>1447</v>
      </c>
      <c r="K17" s="6" t="s">
        <v>1535</v>
      </c>
    </row>
    <row r="18" customFormat="false" ht="45.75" hidden="false" customHeight="true" outlineLevel="0" collapsed="false">
      <c r="A18" s="6" t="s">
        <v>1536</v>
      </c>
      <c r="B18" s="6" t="s">
        <v>4</v>
      </c>
      <c r="C18" s="6" t="s">
        <v>227</v>
      </c>
      <c r="D18" s="6" t="s">
        <v>241</v>
      </c>
      <c r="E18" s="8" t="s">
        <v>1537</v>
      </c>
      <c r="F18" s="6" t="s">
        <v>1538</v>
      </c>
      <c r="G18" s="6" t="s">
        <v>1539</v>
      </c>
      <c r="H18" s="6" t="s">
        <v>1453</v>
      </c>
      <c r="I18" s="6" t="s">
        <v>55</v>
      </c>
      <c r="J18" s="6" t="s">
        <v>1461</v>
      </c>
      <c r="K18" s="6" t="s">
        <v>1540</v>
      </c>
    </row>
    <row r="19" customFormat="false" ht="23.25" hidden="false" customHeight="true" outlineLevel="0" collapsed="false">
      <c r="A19" s="6" t="s">
        <v>1541</v>
      </c>
      <c r="B19" s="6" t="s">
        <v>9</v>
      </c>
      <c r="C19" s="6" t="s">
        <v>1542</v>
      </c>
      <c r="D19" s="6" t="s">
        <v>1521</v>
      </c>
      <c r="E19" s="8" t="s">
        <v>1543</v>
      </c>
      <c r="F19" s="6" t="s">
        <v>1544</v>
      </c>
      <c r="G19" s="6" t="s">
        <v>1545</v>
      </c>
      <c r="H19" s="6" t="s">
        <v>1453</v>
      </c>
      <c r="I19" s="6" t="s">
        <v>55</v>
      </c>
      <c r="J19" s="6" t="s">
        <v>1447</v>
      </c>
      <c r="K19" s="6" t="s">
        <v>1546</v>
      </c>
    </row>
    <row r="20" customFormat="false" ht="34.5" hidden="false" customHeight="true" outlineLevel="0" collapsed="false">
      <c r="A20" s="6" t="s">
        <v>1547</v>
      </c>
      <c r="B20" s="6" t="s">
        <v>9</v>
      </c>
      <c r="C20" s="6" t="s">
        <v>1485</v>
      </c>
      <c r="D20" s="6" t="s">
        <v>172</v>
      </c>
      <c r="E20" s="8" t="s">
        <v>1548</v>
      </c>
      <c r="F20" s="6" t="s">
        <v>1549</v>
      </c>
      <c r="G20" s="6" t="s">
        <v>1550</v>
      </c>
      <c r="H20" s="6" t="s">
        <v>1551</v>
      </c>
      <c r="I20" s="6" t="s">
        <v>1454</v>
      </c>
      <c r="J20" s="6" t="s">
        <v>1461</v>
      </c>
      <c r="K20" s="6" t="s">
        <v>1552</v>
      </c>
    </row>
    <row r="21" customFormat="false" ht="45.75" hidden="false" customHeight="true" outlineLevel="0" collapsed="false">
      <c r="A21" s="6" t="s">
        <v>1553</v>
      </c>
      <c r="B21" s="6" t="s">
        <v>9</v>
      </c>
      <c r="C21" s="6" t="s">
        <v>1554</v>
      </c>
      <c r="D21" s="6" t="s">
        <v>1555</v>
      </c>
      <c r="E21" s="8" t="s">
        <v>1556</v>
      </c>
      <c r="F21" s="6" t="s">
        <v>1557</v>
      </c>
      <c r="G21" s="6" t="s">
        <v>1558</v>
      </c>
      <c r="H21" s="6" t="s">
        <v>1551</v>
      </c>
      <c r="I21" s="6" t="s">
        <v>88</v>
      </c>
      <c r="J21" s="6" t="s">
        <v>1466</v>
      </c>
      <c r="K21" s="6" t="s">
        <v>1559</v>
      </c>
    </row>
    <row r="22" customFormat="false" ht="34.5" hidden="false" customHeight="true" outlineLevel="0" collapsed="false">
      <c r="A22" s="6" t="s">
        <v>1560</v>
      </c>
      <c r="B22" s="6" t="s">
        <v>9</v>
      </c>
      <c r="C22" s="6" t="s">
        <v>1561</v>
      </c>
      <c r="D22" s="6" t="s">
        <v>196</v>
      </c>
      <c r="E22" s="8" t="s">
        <v>1562</v>
      </c>
      <c r="F22" s="6" t="s">
        <v>1563</v>
      </c>
      <c r="G22" s="6" t="s">
        <v>1564</v>
      </c>
      <c r="H22" s="6" t="s">
        <v>1565</v>
      </c>
      <c r="I22" s="6" t="s">
        <v>88</v>
      </c>
      <c r="J22" s="6" t="s">
        <v>1466</v>
      </c>
      <c r="K22" s="6" t="s">
        <v>1566</v>
      </c>
    </row>
    <row r="23" customFormat="false" ht="34.5" hidden="false" customHeight="true" outlineLevel="0" collapsed="false">
      <c r="A23" s="6" t="s">
        <v>1567</v>
      </c>
      <c r="B23" s="6" t="s">
        <v>9</v>
      </c>
      <c r="C23" s="6" t="s">
        <v>1568</v>
      </c>
      <c r="D23" s="6" t="s">
        <v>1555</v>
      </c>
      <c r="E23" s="8" t="s">
        <v>1569</v>
      </c>
      <c r="F23" s="6" t="s">
        <v>1570</v>
      </c>
      <c r="G23" s="6" t="s">
        <v>1571</v>
      </c>
      <c r="H23" s="6" t="s">
        <v>1565</v>
      </c>
      <c r="I23" s="6" t="s">
        <v>88</v>
      </c>
      <c r="J23" s="6" t="s">
        <v>1466</v>
      </c>
      <c r="K23" s="6" t="s">
        <v>1572</v>
      </c>
    </row>
    <row r="24" customFormat="false" ht="79.5" hidden="false" customHeight="true" outlineLevel="0" collapsed="false">
      <c r="A24" s="6" t="s">
        <v>1573</v>
      </c>
      <c r="B24" s="6" t="s">
        <v>4</v>
      </c>
      <c r="C24" s="6" t="s">
        <v>184</v>
      </c>
      <c r="D24" s="6" t="s">
        <v>185</v>
      </c>
      <c r="E24" s="8" t="s">
        <v>1574</v>
      </c>
      <c r="F24" s="6" t="s">
        <v>1575</v>
      </c>
      <c r="G24" s="6" t="s">
        <v>1576</v>
      </c>
      <c r="H24" s="6" t="s">
        <v>1565</v>
      </c>
      <c r="I24" s="6" t="s">
        <v>1454</v>
      </c>
      <c r="J24" s="6" t="s">
        <v>1461</v>
      </c>
      <c r="K24" s="6" t="s">
        <v>1577</v>
      </c>
    </row>
    <row r="25" customFormat="false" ht="34.5" hidden="false" customHeight="true" outlineLevel="0" collapsed="false">
      <c r="A25" s="6" t="s">
        <v>1578</v>
      </c>
      <c r="B25" s="6" t="s">
        <v>9</v>
      </c>
      <c r="C25" s="6" t="s">
        <v>227</v>
      </c>
      <c r="D25" s="6" t="s">
        <v>241</v>
      </c>
      <c r="E25" s="8" t="s">
        <v>1579</v>
      </c>
      <c r="F25" s="6" t="s">
        <v>1580</v>
      </c>
      <c r="G25" s="6" t="s">
        <v>1581</v>
      </c>
      <c r="H25" s="6" t="s">
        <v>1565</v>
      </c>
      <c r="I25" s="6" t="s">
        <v>88</v>
      </c>
      <c r="J25" s="6" t="s">
        <v>1466</v>
      </c>
      <c r="K25" s="6" t="s">
        <v>1582</v>
      </c>
    </row>
    <row r="26" customFormat="false" ht="45.75" hidden="false" customHeight="true" outlineLevel="0" collapsed="false">
      <c r="A26" s="6" t="s">
        <v>1583</v>
      </c>
      <c r="B26" s="6" t="s">
        <v>9</v>
      </c>
      <c r="C26" s="6" t="s">
        <v>1584</v>
      </c>
      <c r="D26" s="6" t="s">
        <v>121</v>
      </c>
      <c r="E26" s="8" t="s">
        <v>1585</v>
      </c>
      <c r="F26" s="6" t="s">
        <v>1586</v>
      </c>
      <c r="G26" s="6" t="s">
        <v>1587</v>
      </c>
      <c r="H26" s="6" t="s">
        <v>1565</v>
      </c>
      <c r="I26" s="6" t="s">
        <v>88</v>
      </c>
      <c r="J26" s="6" t="s">
        <v>1461</v>
      </c>
      <c r="K26" s="6" t="s">
        <v>1588</v>
      </c>
    </row>
    <row r="27" customFormat="false" ht="68.25" hidden="false" customHeight="true" outlineLevel="0" collapsed="false">
      <c r="A27" s="6" t="s">
        <v>1589</v>
      </c>
      <c r="B27" s="6" t="s">
        <v>9</v>
      </c>
      <c r="C27" s="6" t="s">
        <v>542</v>
      </c>
      <c r="D27" s="6" t="s">
        <v>447</v>
      </c>
      <c r="E27" s="8" t="s">
        <v>1590</v>
      </c>
      <c r="F27" s="6" t="s">
        <v>1591</v>
      </c>
      <c r="G27" s="6" t="s">
        <v>1592</v>
      </c>
      <c r="H27" s="6" t="s">
        <v>1565</v>
      </c>
      <c r="I27" s="6" t="s">
        <v>1454</v>
      </c>
      <c r="J27" s="6" t="s">
        <v>1461</v>
      </c>
      <c r="K27" s="6" t="s">
        <v>1593</v>
      </c>
    </row>
    <row r="28" customFormat="false" ht="57" hidden="false" customHeight="true" outlineLevel="0" collapsed="false">
      <c r="A28" s="6" t="s">
        <v>1594</v>
      </c>
      <c r="B28" s="6" t="s">
        <v>9</v>
      </c>
      <c r="C28" s="6" t="s">
        <v>1595</v>
      </c>
      <c r="D28" s="6" t="s">
        <v>634</v>
      </c>
      <c r="E28" s="8" t="s">
        <v>1596</v>
      </c>
      <c r="F28" s="6" t="s">
        <v>1597</v>
      </c>
      <c r="G28" s="6" t="s">
        <v>1598</v>
      </c>
      <c r="H28" s="6" t="s">
        <v>1599</v>
      </c>
      <c r="I28" s="6" t="s">
        <v>88</v>
      </c>
      <c r="J28" s="6" t="s">
        <v>1461</v>
      </c>
      <c r="K28" s="6" t="s">
        <v>1600</v>
      </c>
    </row>
    <row r="29" customFormat="false" ht="68.25" hidden="false" customHeight="true" outlineLevel="0" collapsed="false">
      <c r="A29" s="6" t="s">
        <v>1601</v>
      </c>
      <c r="B29" s="6" t="s">
        <v>9</v>
      </c>
      <c r="C29" s="6" t="s">
        <v>1602</v>
      </c>
      <c r="D29" s="6" t="s">
        <v>1603</v>
      </c>
      <c r="E29" s="8" t="s">
        <v>1604</v>
      </c>
      <c r="F29" s="6" t="s">
        <v>1605</v>
      </c>
      <c r="G29" s="6" t="s">
        <v>1606</v>
      </c>
      <c r="H29" s="6" t="s">
        <v>1599</v>
      </c>
      <c r="I29" s="6" t="s">
        <v>88</v>
      </c>
      <c r="J29" s="6" t="s">
        <v>1461</v>
      </c>
      <c r="K29" s="6" t="s">
        <v>1607</v>
      </c>
    </row>
    <row r="30" customFormat="false" ht="68.25" hidden="false" customHeight="true" outlineLevel="0" collapsed="false">
      <c r="A30" s="6" t="s">
        <v>1608</v>
      </c>
      <c r="B30" s="6" t="s">
        <v>9</v>
      </c>
      <c r="C30" s="6" t="s">
        <v>1609</v>
      </c>
      <c r="D30" s="6" t="s">
        <v>1603</v>
      </c>
      <c r="E30" s="8" t="s">
        <v>1610</v>
      </c>
      <c r="F30" s="6" t="s">
        <v>1611</v>
      </c>
      <c r="G30" s="6" t="s">
        <v>1612</v>
      </c>
      <c r="H30" s="6" t="s">
        <v>1613</v>
      </c>
      <c r="I30" s="6" t="s">
        <v>1454</v>
      </c>
      <c r="J30" s="6" t="s">
        <v>1461</v>
      </c>
      <c r="K30" s="6" t="s">
        <v>1614</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1615</v>
      </c>
      <c r="B1" s="15"/>
    </row>
    <row r="2" customFormat="false" ht="15" hidden="false" customHeight="true" outlineLevel="0" collapsed="false">
      <c r="A2" s="16"/>
      <c r="B2" s="15"/>
    </row>
    <row r="3" customFormat="false" ht="15" hidden="false" customHeight="true" outlineLevel="0" collapsed="false">
      <c r="A3" s="16" t="s">
        <v>1616</v>
      </c>
      <c r="B3" s="15" t="s">
        <v>1617</v>
      </c>
    </row>
    <row r="4" customFormat="false" ht="23.25" hidden="false" customHeight="true" outlineLevel="0" collapsed="false">
      <c r="A4" s="16" t="s">
        <v>1440</v>
      </c>
      <c r="B4" s="15" t="s">
        <v>1618</v>
      </c>
    </row>
    <row r="5" customFormat="false" ht="23.25" hidden="false" customHeight="true" outlineLevel="0" collapsed="false">
      <c r="A5" s="16" t="s">
        <v>1619</v>
      </c>
      <c r="B5" s="15" t="s">
        <v>1620</v>
      </c>
    </row>
    <row r="6" customFormat="false" ht="15" hidden="false" customHeight="true" outlineLevel="0" collapsed="false">
      <c r="A6" s="16" t="s">
        <v>1621</v>
      </c>
      <c r="B6" s="15" t="s">
        <v>1622</v>
      </c>
    </row>
    <row r="7" customFormat="false" ht="15" hidden="false" customHeight="true" outlineLevel="0" collapsed="false">
      <c r="A7" s="16"/>
      <c r="B7" s="15"/>
    </row>
    <row r="8" customFormat="false" ht="15" hidden="false" customHeight="true" outlineLevel="0" collapsed="false">
      <c r="A8" s="16" t="s">
        <v>1623</v>
      </c>
      <c r="B8" s="15"/>
    </row>
    <row r="9" customFormat="false" ht="15" hidden="false" customHeight="true" outlineLevel="0" collapsed="false">
      <c r="A9" s="16" t="s">
        <v>4</v>
      </c>
      <c r="B9" s="15" t="s">
        <v>1624</v>
      </c>
    </row>
    <row r="10" customFormat="false" ht="15" hidden="false" customHeight="true" outlineLevel="0" collapsed="false">
      <c r="A10" s="16" t="s">
        <v>5</v>
      </c>
      <c r="B10" s="15" t="s">
        <v>1625</v>
      </c>
    </row>
    <row r="11" customFormat="false" ht="15" hidden="false" customHeight="true" outlineLevel="0" collapsed="false">
      <c r="A11" s="16" t="s">
        <v>6</v>
      </c>
      <c r="B11" s="15" t="s">
        <v>1626</v>
      </c>
    </row>
    <row r="12" customFormat="false" ht="15" hidden="false" customHeight="true" outlineLevel="0" collapsed="false">
      <c r="A12" s="16" t="s">
        <v>7</v>
      </c>
      <c r="B12" s="15" t="s">
        <v>1627</v>
      </c>
    </row>
    <row r="13" customFormat="false" ht="15" hidden="false" customHeight="true" outlineLevel="0" collapsed="false">
      <c r="A13" s="16" t="s">
        <v>8</v>
      </c>
      <c r="B13" s="15" t="s">
        <v>1628</v>
      </c>
    </row>
    <row r="14" customFormat="false" ht="15" hidden="false" customHeight="true" outlineLevel="0" collapsed="false">
      <c r="A14" s="16"/>
      <c r="B14" s="15"/>
    </row>
    <row r="15" customFormat="false" ht="15" hidden="false" customHeight="true" outlineLevel="0" collapsed="false">
      <c r="A15" s="16" t="s">
        <v>1629</v>
      </c>
      <c r="B15" s="15"/>
    </row>
    <row r="16" customFormat="false" ht="15" hidden="false" customHeight="true" outlineLevel="0" collapsed="false">
      <c r="A16" s="16" t="s">
        <v>1630</v>
      </c>
      <c r="B16" s="15" t="s">
        <v>1631</v>
      </c>
    </row>
    <row r="17" customFormat="false" ht="15" hidden="false" customHeight="true" outlineLevel="0" collapsed="false">
      <c r="A17" s="16" t="s">
        <v>1632</v>
      </c>
      <c r="B17" s="15" t="s">
        <v>1633</v>
      </c>
    </row>
    <row r="18" customFormat="false" ht="15" hidden="false" customHeight="true" outlineLevel="0" collapsed="false">
      <c r="A18" s="16" t="s">
        <v>1634</v>
      </c>
      <c r="B18" s="15" t="s">
        <v>1635</v>
      </c>
    </row>
    <row r="19" customFormat="false" ht="15" hidden="false" customHeight="true" outlineLevel="0" collapsed="false">
      <c r="A19" s="16" t="s">
        <v>1636</v>
      </c>
      <c r="B19" s="15" t="s">
        <v>1637</v>
      </c>
    </row>
    <row r="20" customFormat="false" ht="15" hidden="false" customHeight="true" outlineLevel="0" collapsed="false">
      <c r="A20" s="16" t="s">
        <v>1638</v>
      </c>
      <c r="B20" s="15" t="s">
        <v>1639</v>
      </c>
    </row>
    <row r="21" customFormat="false" ht="15" hidden="false" customHeight="true" outlineLevel="0" collapsed="false">
      <c r="A21" s="16" t="s">
        <v>1640</v>
      </c>
      <c r="B21" s="15" t="s">
        <v>1641</v>
      </c>
    </row>
    <row r="22" customFormat="false" ht="15" hidden="false" customHeight="true" outlineLevel="0" collapsed="false">
      <c r="A22" s="16" t="s">
        <v>1642</v>
      </c>
      <c r="B22" s="15" t="s">
        <v>1643</v>
      </c>
    </row>
    <row r="23" customFormat="false" ht="15" hidden="false" customHeight="true" outlineLevel="0" collapsed="false">
      <c r="A23" s="16"/>
      <c r="B23" s="15"/>
    </row>
    <row r="24" customFormat="false" ht="15" hidden="false" customHeight="true" outlineLevel="0" collapsed="false">
      <c r="A24" s="16" t="s">
        <v>1644</v>
      </c>
      <c r="B24" s="15" t="s">
        <v>1645</v>
      </c>
    </row>
    <row r="25" customFormat="false" ht="23.25" hidden="false" customHeight="true" outlineLevel="0" collapsed="false">
      <c r="A25" s="16" t="s">
        <v>1646</v>
      </c>
      <c r="B25" s="15" t="s">
        <v>1647</v>
      </c>
    </row>
    <row r="26" customFormat="false" ht="15" hidden="false" customHeight="true" outlineLevel="0" collapsed="false">
      <c r="A26" s="16" t="s">
        <v>1648</v>
      </c>
      <c r="B26" s="15" t="s">
        <v>1649</v>
      </c>
    </row>
    <row r="27" customFormat="false" ht="23.25" hidden="false" customHeight="true" outlineLevel="0" collapsed="false">
      <c r="A27" s="16" t="s">
        <v>1650</v>
      </c>
      <c r="B27" s="15" t="s">
        <v>1651</v>
      </c>
    </row>
    <row r="28" customFormat="false" ht="23.25" hidden="false" customHeight="true" outlineLevel="0" collapsed="false">
      <c r="A28" s="16" t="s">
        <v>1652</v>
      </c>
      <c r="B28" s="15" t="s">
        <v>1653</v>
      </c>
    </row>
    <row r="29" customFormat="false" ht="15" hidden="false" customHeight="true" outlineLevel="0" collapsed="false">
      <c r="A29" s="16"/>
      <c r="B29" s="15"/>
    </row>
    <row r="30" customFormat="false" ht="15" hidden="false" customHeight="true" outlineLevel="0" collapsed="false">
      <c r="A30" s="16" t="s">
        <v>1654</v>
      </c>
      <c r="B30" s="15"/>
    </row>
    <row r="31" customFormat="false" ht="15" hidden="false" customHeight="true" outlineLevel="0" collapsed="false">
      <c r="A31" s="16" t="s">
        <v>1655</v>
      </c>
      <c r="B31" s="15" t="s">
        <v>1656</v>
      </c>
    </row>
    <row r="32" customFormat="false" ht="34.5" hidden="false" customHeight="true" outlineLevel="0" collapsed="false">
      <c r="A32" s="16" t="s">
        <v>1657</v>
      </c>
      <c r="B32" s="15" t="s">
        <v>1658</v>
      </c>
    </row>
    <row r="34" customFormat="false" ht="23.25" hidden="false" customHeight="true" outlineLevel="0" collapsed="false">
      <c r="A34" s="3" t="s">
        <v>1659</v>
      </c>
      <c r="B34" s="15" t="s">
        <v>1660</v>
      </c>
    </row>
    <row r="36" customFormat="false" ht="45.75" hidden="false" customHeight="true" outlineLevel="0" collapsed="false">
      <c r="A36" s="17" t="s">
        <v>1661</v>
      </c>
      <c r="B36" s="15" t="s">
        <v>1662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1663</v>
      </c>
      <c r="B1" s="3" t="s">
        <v>1664</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1665</v>
      </c>
      <c r="B2" s="4" t="s">
        <v>1666</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1667</v>
      </c>
      <c r="B3" s="4" t="s">
        <v>1668</v>
      </c>
      <c r="C3" s="4"/>
      <c r="D3" s="4" t="s">
        <v>5</v>
      </c>
      <c r="E3" s="4" t="s">
        <v>55</v>
      </c>
      <c r="F3" s="4" t="s">
        <v>1669</v>
      </c>
      <c r="G3" s="4" t="s">
        <v>1670</v>
      </c>
      <c r="H3" s="4" t="s">
        <v>116</v>
      </c>
      <c r="I3" s="4" t="s">
        <v>85</v>
      </c>
      <c r="J3" s="4" t="s">
        <v>206</v>
      </c>
      <c r="K3" s="4" t="s">
        <v>14</v>
      </c>
      <c r="L3" s="4" t="s">
        <v>55</v>
      </c>
      <c r="M3" s="4" t="s">
        <v>55</v>
      </c>
      <c r="N3" s="4" t="s">
        <v>434</v>
      </c>
      <c r="O3" s="4" t="s">
        <v>1671</v>
      </c>
    </row>
    <row r="4" customFormat="false" ht="15" hidden="false" customHeight="true" outlineLevel="0" collapsed="false">
      <c r="A4" s="18" t="s">
        <v>1672</v>
      </c>
      <c r="B4" s="4" t="s">
        <v>1673</v>
      </c>
      <c r="C4" s="4"/>
      <c r="D4" s="4" t="s">
        <v>6</v>
      </c>
      <c r="E4" s="4"/>
      <c r="F4" s="4" t="s">
        <v>59</v>
      </c>
      <c r="G4" s="4" t="s">
        <v>1674</v>
      </c>
      <c r="H4" s="4" t="s">
        <v>1675</v>
      </c>
      <c r="I4" s="4" t="s">
        <v>815</v>
      </c>
      <c r="J4" s="4" t="s">
        <v>70</v>
      </c>
      <c r="K4" s="4" t="s">
        <v>15</v>
      </c>
      <c r="L4" s="4" t="s">
        <v>72</v>
      </c>
      <c r="M4" s="4" t="s">
        <v>141</v>
      </c>
      <c r="N4" s="4" t="s">
        <v>1676</v>
      </c>
      <c r="O4" s="4" t="s">
        <v>9</v>
      </c>
    </row>
    <row r="5" customFormat="false" ht="15" hidden="false" customHeight="true" outlineLevel="0" collapsed="false">
      <c r="A5" s="18" t="s">
        <v>1677</v>
      </c>
      <c r="B5" s="4" t="s">
        <v>1678</v>
      </c>
      <c r="C5" s="4"/>
      <c r="D5" s="4" t="s">
        <v>7</v>
      </c>
      <c r="E5" s="4"/>
      <c r="F5" s="4"/>
      <c r="G5" s="4" t="s">
        <v>73</v>
      </c>
      <c r="H5" s="4" t="s">
        <v>1679</v>
      </c>
      <c r="I5" s="4" t="s">
        <v>174</v>
      </c>
      <c r="J5" s="4" t="s">
        <v>87</v>
      </c>
      <c r="K5" s="4" t="s">
        <v>16</v>
      </c>
      <c r="L5" s="4"/>
      <c r="M5" s="4" t="s">
        <v>72</v>
      </c>
      <c r="N5" s="4" t="s">
        <v>90</v>
      </c>
      <c r="O5" s="4" t="s">
        <v>1680</v>
      </c>
    </row>
    <row r="6" customFormat="false" ht="15" hidden="false" customHeight="true" outlineLevel="0" collapsed="false">
      <c r="A6" s="18" t="s">
        <v>1681</v>
      </c>
      <c r="B6" s="4" t="s">
        <v>1682</v>
      </c>
      <c r="C6" s="4"/>
      <c r="D6" s="4" t="s">
        <v>8</v>
      </c>
      <c r="E6" s="4"/>
      <c r="F6" s="4"/>
      <c r="G6" s="4"/>
      <c r="H6" s="4" t="s">
        <v>1683</v>
      </c>
      <c r="I6" s="4" t="s">
        <v>139</v>
      </c>
      <c r="J6" s="4" t="s">
        <v>267</v>
      </c>
      <c r="K6" s="4"/>
      <c r="L6" s="4"/>
      <c r="M6" s="4"/>
      <c r="N6" s="4" t="s">
        <v>73</v>
      </c>
      <c r="O6" s="4"/>
    </row>
    <row r="7" customFormat="false" ht="15" hidden="false" customHeight="true" outlineLevel="0" collapsed="false">
      <c r="A7" s="18" t="s">
        <v>1684</v>
      </c>
      <c r="B7" s="4" t="s">
        <v>1685</v>
      </c>
      <c r="C7" s="4"/>
      <c r="D7" s="4" t="s">
        <v>9</v>
      </c>
      <c r="E7" s="4"/>
      <c r="F7" s="4"/>
      <c r="G7" s="4"/>
      <c r="H7" s="4"/>
      <c r="I7" s="4" t="s">
        <v>187</v>
      </c>
      <c r="J7" s="4" t="s">
        <v>231</v>
      </c>
      <c r="K7" s="4"/>
      <c r="L7" s="4"/>
      <c r="M7" s="4"/>
      <c r="N7" s="4" t="s">
        <v>736</v>
      </c>
      <c r="O7" s="4"/>
    </row>
    <row r="8" customFormat="false" ht="15" hidden="false" customHeight="true" outlineLevel="0" collapsed="false">
      <c r="A8" s="18" t="s">
        <v>1686</v>
      </c>
      <c r="B8" s="4" t="s">
        <v>1687</v>
      </c>
      <c r="C8" s="4"/>
      <c r="D8" s="4"/>
      <c r="E8" s="4"/>
      <c r="F8" s="4"/>
      <c r="G8" s="4"/>
      <c r="H8" s="4"/>
      <c r="I8" s="4" t="s">
        <v>279</v>
      </c>
      <c r="J8" s="4" t="s">
        <v>1028</v>
      </c>
      <c r="K8" s="4"/>
      <c r="L8" s="4"/>
      <c r="M8" s="4"/>
      <c r="N8" s="4"/>
      <c r="O8" s="4"/>
    </row>
    <row r="9" customFormat="false" ht="15" hidden="false" customHeight="true" outlineLevel="0" collapsed="false">
      <c r="A9" s="18" t="s">
        <v>1688</v>
      </c>
      <c r="B9" s="4" t="s">
        <v>1685</v>
      </c>
      <c r="C9" s="4"/>
      <c r="D9" s="4"/>
      <c r="E9" s="4"/>
      <c r="F9" s="4"/>
      <c r="G9" s="4"/>
      <c r="H9" s="4"/>
      <c r="I9" s="4" t="s">
        <v>254</v>
      </c>
      <c r="J9" s="4" t="s">
        <v>124</v>
      </c>
      <c r="K9" s="4"/>
      <c r="L9" s="4"/>
      <c r="M9" s="4"/>
      <c r="N9" s="4"/>
      <c r="O9" s="4"/>
    </row>
    <row r="10" customFormat="false" ht="15" hidden="false" customHeight="true" outlineLevel="0" collapsed="false">
      <c r="A10" s="18" t="s">
        <v>1689</v>
      </c>
      <c r="B10" s="4" t="s">
        <v>1690</v>
      </c>
      <c r="C10" s="4"/>
      <c r="D10" s="4"/>
      <c r="E10" s="4"/>
      <c r="F10" s="4"/>
      <c r="G10" s="4"/>
      <c r="H10" s="4"/>
      <c r="I10" s="4" t="s">
        <v>217</v>
      </c>
      <c r="J10" s="4" t="s">
        <v>395</v>
      </c>
      <c r="K10" s="4"/>
      <c r="L10" s="4"/>
      <c r="M10" s="4"/>
      <c r="N10" s="4"/>
      <c r="O10" s="4"/>
    </row>
    <row r="11" customFormat="false" ht="15" hidden="false" customHeight="true" outlineLevel="0" collapsed="false">
      <c r="A11" s="18" t="s">
        <v>1691</v>
      </c>
      <c r="B11" s="4" t="s">
        <v>1692</v>
      </c>
      <c r="C11" s="4"/>
      <c r="D11" s="4"/>
      <c r="E11" s="4"/>
      <c r="F11" s="4"/>
      <c r="G11" s="4"/>
      <c r="H11" s="4"/>
      <c r="I11" s="4"/>
      <c r="J11" s="4" t="s">
        <v>140</v>
      </c>
      <c r="K11" s="4"/>
      <c r="L11" s="4"/>
      <c r="M11" s="4"/>
      <c r="N11" s="4"/>
      <c r="O11" s="4"/>
    </row>
    <row r="12" customFormat="false" ht="15" hidden="false" customHeight="true" outlineLevel="0" collapsed="false">
      <c r="A12" s="18" t="s">
        <v>1693</v>
      </c>
      <c r="B12" s="4" t="s">
        <v>1694</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1695</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2026-10-31T09:29:56Z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