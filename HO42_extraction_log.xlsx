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Events!$A$1:$AI$301</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<sst xmlns="http://schemas.openxmlformats.org/spreadsheetml/2006/main" count="8355" uniqueCount="3722">
  <si>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</si>
  <si>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</si>
  <si>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</si>
  <si>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</si>
  <si>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</si>
  <si>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</si>
  <si>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</si>
  <si>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</si>
  <si>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</si>
  <si>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</si>
  <si>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</si>
  <si>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</si>
  <si>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</si>
  <si>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</si>
  <si>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</si>
  <si>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</si>
  <si>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</si>
  <si>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</si>
  <si>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</si>
  <si>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</si>
  <si>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</si>
  <si>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</si>
  <si>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</si>
  <si>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</si>
  <si>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</si>
  <si>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</si>
  <si>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</si>
  <si>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</si>
  <si>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</si>
  <si>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</si>
  <si>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</si>
  <si>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</si>
  <si>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</si>
  <si>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</si>
  <si>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</si>
  <si>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</si>
  <si>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</si>
  <si>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</si>
  <si>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</si>
  <si>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</si>
  <si>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</si>
  <si>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</si>
  <si>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</si>
  <si>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</si>
  <si>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</si>
  <si>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</si>
  <si>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</si>
  <si>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</si>
  <si>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</si>
  <si>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</si>
  <si>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</si>
  <si>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</si>
  <si>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</si>
  <si>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</si>
  <si>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</si>
  <si>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</si>
  <si>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</si>
  <si>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</si>
  <si>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</si>
  <si>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</si>
  <si>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</si>
  <si>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</si>
  <si>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</si>
  <si>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</si>
  <si>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</si>
  <si>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</si>
  <si>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</si>
  <si>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</si>
  <si>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</si>
  <si>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</si>
  <si>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</si>
  <si>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</si>
  <si>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</si>
  <si>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</si>
  <si>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</si>
  <si>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</si>
  <si>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</si>
  <si>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</si>
  <si>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</si>
  <si>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</si>
  <si>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</si>
  <si>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</si>
  <si>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</si>
  <si>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</si>
  <si>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</si>
  <si>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</si>
  <si>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</si>
  <si>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</si>
  <si>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</si>
  <si>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</si>
  <si>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</si>
  <si>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</si>
  <si>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</si>
  <si>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</si>
  <si>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</si>
  <si>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</si>
  <si>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</si>
  <si>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</si>
  <si>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</si>
  <si>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</si>
  <si>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</si>
  <si>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</si>
  <si>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</si>
  <si>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</si>
  <si>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</si>
  <si>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</si>
  <si>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</si>
  <si>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</si>
  <si>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</si>
  <si>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</si>
  <si>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</si>
  <si>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</si>
  <si>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</si>
  <si>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</si>
  <si>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</si>
  <si>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</si>
  <si>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</si>
  <si>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</si>
  <si>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</si>
  <si>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</si>
  <si>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</si>
  <si>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</si>
  <si>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</si>
  <si>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</si>
  <si>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</si>
  <si>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</si>
  <si>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</si>
  <si>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</si>
  <si>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</si>
  <si>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</si>
  <si>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</si>
  <si>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</si>
  <si>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</si>
  <si>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</si>
  <si>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</si>
  <si>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</si>
  <si>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</si>
  <si>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</si>
  <si>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</si>
  <si>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</si>
  <si>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</si>
  <si>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</si>
  <si>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</si>
  <si>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</si>
  <si>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</si>
  <si>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</si>
  <si>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</si>
  <si>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</si>
  <si>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</si>
  <si>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</si>
  <si>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</si>
  <si>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</si>
  <si>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</si>
  <si>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</si>
  <si>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</si>
  <si>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</si>
  <si>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</si>
  <si>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</si>
  <si>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</si>
  <si>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</si>
  <si>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</si>
  <si>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</si>
  <si>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</si>
  <si>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</si>
  <si>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</si>
  <si>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</si>
  <si>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</si>
  <si>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</si>
  <si>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</si>
  <si>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</si>
  <si>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</si>
  <si>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</si>
  <si>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</si>
  <si>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</si>
  <si>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</si>
  <si>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</si>
  <si>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</si>
  <si>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</si>
  <si>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</si>
  <si>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</si>
  <si>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</si>
  <si>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</si>
  <si>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</si>
  <si>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</si>
  <si>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</si>
  <si>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</si>
  <si>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</si>
  <si>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</si>
  <si>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</si>
  <si>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</si>
  <si>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</si>
  <si>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</si>
  <si>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</si>
  <si>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</si>
  <si>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</si>
  <si>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</si>
  <si>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</si>
  <si>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</si>
  <si>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</si>
  <si>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</si>
  <si>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</si>
  <si>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</si>
  <si>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</si>
  <si>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</si>
  <si>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</si>
  <si>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</si>
  <si>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</si>
  <si>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</si>
  <si>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</si>
  <si>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</si>
  <si>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</si>
  <si>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</si>
  <si>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</si>
  <si>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</si>
  <si>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</si>
  <si>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</si>
  <si>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</si>
  <si>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</si>
  <si>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</si>
  <si>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</si>
  <si>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</si>
  <si>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</si>
  <si>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</si>
  <si>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</si>
  <si>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</si>
  <si>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</si>
  <si>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</si>
  <si>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</si>
  <si>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</si>
  <si>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</si>
  <si>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</si>
  <si>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</si>
  <si>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</si>
  <si>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</si>
  <si>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</si>
  <si>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</si>
  <si>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</si>
  <si>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</si>
  <si>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</si>
  <si>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</si>
  <si>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</si>
  <si>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</si>
  <si>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</si>
  <si>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</si>
  <si>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</si>
  <si>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</si>
  <si>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</si>
  <si>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</si>
  <si>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</si>
  <si>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</si>
  <si>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</si>
  <si>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</si>
  <si>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</si>
  <si>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</si>
  <si>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</si>
  <si>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</si>
  <si>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</si>
  <si>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</si>
  <si>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</si>
  <si>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</si>
  <si>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</si>
  <si>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</si>
  <si>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</si>
  <si>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</si>
  <si>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</si>
  <si>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</si>
  <si>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</si>
  <si>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</si>
  <si>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</si>
  <si>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</si>
  <si>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</si>
  <si>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</si>
  <si>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</si>
  <si>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</si>
  <si>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</si>
  <si>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</si>
  <si>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</si>
  <si>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</si>
  <si>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</si>
  <si>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</si>
  <si>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</si>
  <si>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</si>
  <si>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</si>
  <si>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</si>
  <si>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</si>
  <si>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</si>
  <si>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</si>
  <si>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</si>
  <si>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</si>
  <si>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</si>
  <si>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</si>
  <si>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</si>
  <si>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</si>
  <si>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</si>
  <si>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</si>
  <si>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</si>
  <si>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</si>
  <si>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</si>
  <si>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</si>
  <si>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</si>
  <si>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</si>
  <si>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</si>
  <si>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</si>
  <si>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</si>
  <si>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</si>
  <si>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</si>
  <si>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</si>
  <si>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</si>
  <si>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</si>
  <si>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</si>
  <si>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</si>
  <si>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</si>
  <si>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</si>
  <si>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</si>
  <si>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</si>
  <si>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</si>
  <si>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</si>
  <si>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</si>
  <si>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</si>
  <si>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</si>
  <si>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</si>
  <si>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</si>
  <si>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</si>
  <si>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</si>
  <si>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</si>
  <si>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</si>
  <si>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</si>
  <si>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</si>
  <si>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</si>
  <si>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</si>
  <si>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</si>
  <si>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</si>
  <si>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</si>
  <si>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</si>
  <si>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</si>
  <si>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</si>
  <si>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</si>
  <si>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</si>
  <si>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</si>
  <si>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</si>
  <si>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</si>
  <si>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</si>
  <si>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</si>
  <si>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</si>
  <si>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</si>
  <si>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</si>
  <si>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</si>
  <si>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</si>
  <si>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</si>
  <si>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</si>
  <si>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</si>
  <si>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</si>
  <si>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</si>
  <si>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</si>
  <si>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</si>
  <si>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</si>
  <si>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</si>
  <si>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</si>
  <si>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</si>
  <si>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</si>
  <si>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</si>
  <si>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</si>
  <si>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</si>
  <si>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</si>
  <si>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</si>
  <si>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</si>
  <si>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</si>
  <si>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</si>
  <si>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</si>
  <si>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</si>
  <si>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</si>
  <si>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</si>
  <si>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</si>
  <si>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</si>
  <si>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</si>
  <si>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</si>
  <si>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</si>
  <si>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</si>
  <si>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</si>
  <si>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</si>
  <si>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</si>
  <si>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</si>
  <si>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</si>
  <si>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</si>
  <si>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</si>
  <si>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</si>
  <si>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</si>
  <si>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</si>
  <si>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</si>
  <si>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</si>
  <si>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</si>
  <si>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</si>
  <si>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</si>
  <si>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</si>
  <si>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</si>
  <si>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</si>
  <si>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</si>
  <si>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</si>
  <si>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</si>
  <si>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</si>
  <si>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</si>
  <si>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</si>
  <si>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</si>
  <si>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</si>
  <si>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</si>
  <si>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</si>
  <si>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</si>
  <si>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</si>
  <si>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</si>
  <si>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</si>
  <si>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</si>
  <si>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</si>
  <si>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</si>
  <si>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</si>
  <si>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</si>
  <si>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</si>
  <si>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</si>
  <si>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</si>
  <si>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</si>
  <si>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</si>
  <si>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</si>
  <si>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</si>
  <si>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</si>
  <si>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</si>
  <si>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</si>
  <si>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</si>
  <si>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</si>
  <si>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</si>
  <si>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</si>
  <si>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</si>
  <si>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</si>
  <si>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</si>
  <si>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</si>
  <si>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</si>
  <si>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</si>
  <si>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</si>
  <si>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</si>
  <si>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</si>
  <si>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</si>
  <si>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</si>
  <si>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</si>
  <si>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</si>
  <si>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</si>
  <si>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</si>
  <si>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</si>
  <si>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</si>
  <si>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</si>
  <si>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</si>
  <si>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</si>
  <si>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</si>
  <si>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</si>
  <si>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</si>
  <si>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</si>
  <si>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</si>
  <si>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</si>
  <si>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</si>
  <si>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</si>
  <si>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</si>
  <si>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</si>
  <si>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</si>
  <si>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</si>
  <si>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</si>
  <si>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</si>
  <si>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</si>
  <si>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</si>
  <si>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</si>
  <si>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</si>
  <si>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</si>
  <si>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</si>
  <si>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</si>
  <si>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</si>
  <si>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</si>
  <si>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</si>
  <si>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</si>
  <si>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</si>
  <si>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</si>
  <si>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</si>
  <si>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</si>
  <si>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</si>
  <si>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</si>
  <si>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</si>
  <si>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</si>
  <si>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</si>
  <si>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</si>
  <si>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</si>
  <si>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</si>
  <si>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</si>
  <si>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</si>
  <si>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</si>
  <si>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</si>
  <si>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</si>
  <si>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</si>
  <si>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</si>
  <si>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</si>
  <si>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</si>
  <si>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</si>
  <si>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</si>
  <si>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</si>
  <si>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</si>
  <si>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</si>
  <si>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</si>
  <si>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</si>
  <si>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</si>
  <si>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</si>
  <si>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</si>
  <si>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</si>
  <si>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</si>
  <si>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</si>
  <si>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</si>
  <si>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</si>
  <si>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</si>
  <si>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</si>
  <si>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</si>
  <si>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</si>
  <si>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</si>
  <si>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</si>
  <si>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</si>
  <si>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</si>
  <si>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</si>
  <si>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</si>
  <si>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</si>
  <si>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</si>
  <si>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</si>
  <si>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</si>
  <si>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</si>
  <si>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</si>
  <si>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</si>
  <si>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</si>
  <si>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</si>
  <si>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</si>
  <si>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</si>
  <si>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</si>
  <si>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</si>
  <si>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</si>
  <si>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</si>
  <si>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</si>
  <si>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</si>
  <si>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</si>
  <si>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</si>
  <si>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</si>
  <si>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</si>
  <si>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</si>
  <si>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</si>
  <si>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</si>
  <si>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</si>
  <si>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</si>
  <si>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</si>
  <si>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</si>
  <si>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</si>
  <si>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</si>
  <si>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</si>
  <si>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</si>
  <si>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</si>
  <si>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</si>
  <si>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</si>
  <si>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</si>
  <si>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</si>
  <si>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</si>
  <si>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</si>
  <si>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</si>
  <si>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</si>
  <si>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</si>
  <si>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</si>
  <si>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</si>
  <si>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</si>
  <si>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</si>
  <si>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</si>
  <si>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</si>
  <si>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</si>
  <si>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</si>
  <si>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</si>
  <si>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</si>
  <si>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</si>
  <si>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</si>
  <si>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</si>
  <si>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</si>
  <si>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</si>
  <si>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</si>
  <si>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</si>
  <si>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</si>
  <si>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</si>
  <si>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</si>
  <si>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</si>
  <si>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</si>
  <si>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</si>
  <si>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</si>
  <si>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</si>
  <si>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</si>
  <si>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</si>
  <si>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</si>
  <si>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</si>
  <si>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</si>
  <si>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</si>
  <si>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</si>
  <si>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</si>
  <si>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</si>
  <si>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</si>
  <si>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</si>
  <si>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</si>
  <si>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</si>
  <si>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</si>
  <si>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</si>
  <si>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</si>
  <si>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</si>
  <si>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</si>
  <si>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</si>
  <si>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</si>
  <si>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</si>
  <si>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</si>
  <si>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</si>
  <si>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</si>
  <si>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</si>
  <si>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</si>
  <si>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</si>
  <si>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</si>
  <si>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</si>
  <si>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</si>
  <si>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</si>
  <si>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</si>
  <si>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</si>
  <si>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</si>
  <si>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</si>
  <si>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</si>
  <si>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</si>
  <si>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</si>
  <si>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</si>
  <si>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</si>
  <si>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</si>
  <si>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</si>
  <si>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</si>
  <si>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</si>
  <si>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</si>
  <si>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</si>
  <si>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</si>
  <si>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</si>
  <si>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</si>
  <si>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</si>
  <si>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</si>
  <si>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</si>
  <si>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</si>
  <si>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</si>
  <si>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</si>
  <si>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</si>
  <si>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</si>
  <si>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</si>
  <si>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</si>
  <si>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</si>
  <si>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</si>
  <si>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</si>
  <si>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</si>
  <si>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</si>
  <si>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</si>
  <si>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</si>
  <si>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</si>
  <si>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</si>
  <si>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</si>
  <si>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</si>
  <si>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</si>
  <si>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</si>
  <si>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</si>
  <si>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</si>
  <si>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</si>
  <si>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</si>
  <si>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</si>
  <si>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</si>
  <si>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</si>
  <si>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</si>
  <si>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</si>
  <si>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</si>
  <si>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</si>
  <si>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</si>
  <si>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</si>
  <si>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</si>
  <si>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</si>
  <si>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</si>
  <si>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</si>
  <si>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</si>
  <si>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</si>
  <si>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</si>
  <si>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</si>
  <si>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</si>
  <si>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</si>
  <si>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</si>
  <si>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</si>
  <si>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</si>
  <si>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</si>
  <si>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</si>
  <si>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</si>
  <si>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</si>
  <si>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</si>
  <si>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</si>
  <si>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</si>
  <si>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</si>
  <si>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</si>
  <si>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</si>
  <si>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</si>
  <si>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</si>
  <si>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</si>
  <si>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</si>
  <si>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</si>
  <si>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</si>
  <si>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</si>
  <si>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</si>
  <si>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</si>
  <si>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</si>
  <si>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</si>
  <si>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</si>
  <si>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</si>
  <si>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</si>
  <si>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</si>
  <si>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</si>
  <si>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</si>
  <si>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</si>
  <si>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</si>
  <si>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</si>
  <si>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</si>
  <si>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</si>
  <si>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</si>
  <si>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</si>
  <si>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</si>
  <si>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</si>
  <si>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</si>
  <si>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</si>
  <si>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</si>
  <si>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</si>
  <si>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</si>
  <si>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</si>
  <si>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</si>
  <si>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</si>
  <si>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</si>
  <si>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</si>
  <si>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</si>
  <si>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</si>
  <si>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</si>
  <si>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</si>
  <si>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</si>
  <si>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</si>
  <si>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</si>
  <si>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</si>
  <si>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</si>
  <si>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</si>
  <si>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</si>
  <si>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</si>
  <si>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</si>
  <si>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</si>
  <si>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</si>
  <si>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</si>
  <si>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</si>
  <si>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</si>
  <si>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</si>
  <si>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</si>
  <si>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</si>
  <si>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</si>
  <si>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</si>
  <si>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</si>
  <si>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</si>
  <si>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</si>
  <si>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</si>
  <si>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</si>
  <si>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</si>
  <si>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</si>
  <si>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</si>
  <si>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</si>
  <si>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</si>
  <si>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</si>
  <si>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</si>
  <si>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</si>
  <si>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</si>
  <si>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</si>
  <si>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</si>
  <si>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</si>
  <si>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</si>
  <si>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</si>
  <si>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</si>
  <si>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</si>
  <si>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</si>
  <si>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</si>
  <si>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</si>
  <si>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</si>
  <si>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</si>
  <si>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</si>
  <si>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</si>
  <si>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</si>
  <si>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</si>
  <si>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</si>
  <si>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</si>
  <si>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</si>
  <si>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</si>
  <si>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</si>
  <si>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</si>
  <si>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</si>
  <si>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</si>
  <si>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</si>
  <si>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</si>
  <si>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</si>
  <si>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</si>
  <si>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</si>
  <si>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</si>
  <si>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</si>
  <si>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</si>
  <si>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</si>
  <si>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</si>
  <si>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</si>
  <si>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</si>
  <si>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</si>
  <si>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</si>
  <si>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</si>
  <si>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</si>
  <si>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</si>
  <si>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</si>
  <si>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</si>
  <si>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</si>
  <si>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</si>
  <si>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</si>
  <si>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</si>
  <si>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</si>
  <si>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</si>
  <si>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</si>
  <si>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</si>
  <si>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</si>
  <si>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</si>
  <si>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</si>
  <si>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</si>
  <si>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</si>
  <si>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</si>
  <si>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</si>
  <si>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</si>
  <si>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</si>
  <si>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</si>
  <si>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</si>
  <si>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</si>
  <si>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</si>
  <si>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</si>
  <si>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</si>
  <si>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</si>
  <si>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</si>
  <si>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</si>
  <si>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</si>
  <si>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</si>
  <si>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</si>
  <si>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</si>
  <si>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</si>
  <si>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</si>
  <si>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</si>
  <si>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</si>
  <si>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</si>
  <si>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</si>
  <si>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</si>
  <si>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</si>
  <si>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</si>
  <si>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</si>
  <si>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</si>
  <si>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</si>
  <si>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</si>
  <si>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</si>
  <si>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</si>
  <si>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</si>
  <si>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</si>
  <si>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</si>
  <si>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</si>
  <si>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</si>
  <si>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</si>
  <si>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</si>
  <si>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</si>
  <si>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</si>
  <si>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</si>
  <si>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</si>
  <si>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</si>
  <si>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</si>
  <si>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</si>
  <si>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</si>
  <si>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</si>
  <si>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</si>
  <si>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</si>
  <si>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</si>
  <si>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</si>
  <si>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</si>
  <si>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</si>
  <si>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</si>
  <si>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</si>
  <si>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</si>
  <si>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</si>
  <si>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</si>
  <si>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</si>
  <si>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</si>
  <si>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</si>
  <si>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</si>
  <si>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</si>
  <si>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</si>
  <si>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</si>
  <si>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</si>
  <si>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</si>
  <si>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</si>
  <si>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</si>
  <si>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</si>
  <si>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</si>
  <si>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</si>
  <si>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</si>
  <si>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</si>
  <si>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</si>
  <si>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</si>
  <si>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</si>
  <si>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</si>
  <si>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</si>
  <si>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</si>
  <si>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</si>
  <si>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</si>
  <si>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</si>
  <si>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</si>
  <si>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</si>
  <si>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</si>
  <si>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</si>
  <si>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</si>
  <si>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</si>
  <si>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</si>
  <si>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</si>
  <si>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</si>
  <si>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</si>
  <si>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</si>
  <si>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</si>
  <si>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</si>
  <si>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</si>
  <si>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</si>
  <si>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</si>
  <si>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</si>
  <si>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</si>
  <si>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</si>
  <si>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</si>
  <si>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</si>
  <si>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</si>
  <si>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</si>
  <si>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</si>
  <si>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</si>
  <si>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</si>
  <si>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</si>
  <si>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</si>
  <si>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</si>
  <si>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</si>
  <si>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</si>
  <si>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</si>
  <si>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</si>
  <si>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</si>
  <si>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</si>
  <si>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</si>
  <si>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</si>
  <si>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</si>
  <si>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</si>
  <si>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</si>
  <si>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</si>
  <si>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</si>
  <si>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</si>
  <si>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</si>
  <si>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</si>
  <si>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</si>
  <si>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</si>
  <si>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</si>
  <si>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</si>
  <si>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</si>
  <si>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</si>
  <si>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</si>
  <si>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</si>
  <si>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</si>
  <si>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</si>
  <si>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</si>
  <si>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</si>
  <si>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</si>
  <si>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</si>
  <si>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</si>
  <si>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</si>
  <si>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</si>
  <si>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</si>
  <si>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</si>
  <si>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</si>
  <si>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</si>
  <si>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</si>
  <si>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</si>
  <si>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</si>
  <si>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</si>
  <si>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</si>
  <si>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</si>
  <si>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</si>
  <si>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</si>
  <si>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</si>
  <si>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</si>
  <si>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</si>
  <si>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</si>
  <si>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</si>
  <si>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</si>
  <si>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</si>
  <si>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</si>
  <si>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</si>
  <si>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</si>
  <si>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</si>
  <si>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</si>
  <si>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</si>
  <si>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</si>
  <si>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</si>
  <si>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</si>
  <si>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</si>
  <si>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</si>
  <si>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</si>
  <si>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</si>
  <si>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</si>
  <si>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</si>
  <si>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</si>
  <si>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</si>
  <si>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</si>
  <si>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</si>
  <si>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</si>
  <si>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</si>
  <si>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</si>
  <si>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</si>
  <si>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</si>
  <si>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</si>
  <si>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</si>
  <si>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</si>
  <si>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</si>
  <si>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</si>
  <si>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</si>
  <si>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</si>
  <si>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</si>
  <si>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</si>
  <si>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</si>
  <si>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</si>
  <si>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</si>
  <si>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</si>
  <si>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</si>
  <si>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</si>
  <si>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</si>
  <si>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</si>
  <si>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</si>
  <si>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</si>
  <si>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</si>
  <si>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</si>
  <si>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</si>
  <si>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</si>
  <si>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</si>
  <si>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</si>
  <si>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</si>
  <si>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</si>
  <si>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</si>
  <si>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</si>
  <si>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</si>
  <si>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</si>
  <si>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</si>
  <si>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</si>
  <si>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</si>
  <si>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</si>
  <si>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</si>
  <si>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</si>
  <si>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</si>
  <si>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</si>
  <si>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</si>
  <si>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</si>
  <si>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</si>
  <si>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</si>
  <si>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</si>
  <si>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</si>
  <si>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</si>
  <si>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</si>
  <si>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</si>
  <si>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</si>
  <si>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</si>
  <si>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</si>
  <si>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</si>
  <si>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</si>
  <si>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</si>
  <si>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</si>
  <si>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</si>
  <si>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</si>
  <si>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</si>
  <si>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</si>
  <si>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</si>
  <si>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</si>
  <si>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</si>
  <si>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</si>
  <si>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</si>
  <si>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</si>
  <si>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</si>
  <si>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</si>
  <si>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</si>
  <si>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</si>
  <si>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</si>
  <si>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</si>
  <si>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</si>
  <si>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</si>
  <si>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</si>
  <si>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</si>
  <si>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</si>
  <si>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</si>
  <si>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</si>
  <si>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</si>
  <si>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</si>
  <si>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</si>
  <si>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</si>
  <si>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</si>
  <si>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</si>
  <si>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</si>
  <si>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</si>
  <si>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</si>
  <si>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</si>
  <si>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</si>
  <si>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</si>
  <si>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</si>
  <si>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</si>
  <si>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</si>
  <si>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</si>
  <si>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</si>
  <si>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</si>
  <si>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</si>
  <si>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</si>
  <si>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</si>
  <si>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</si>
  <si>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</si>
  <si>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</si>
  <si>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</si>
  <si>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</si>
  <si>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</si>
  <si>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</si>
  <si>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</si>
  <si>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</si>
  <si>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</si>
  <si>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</si>
  <si>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</si>
  <si>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</si>
  <si>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</si>
  <si>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</si>
  <si>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</si>
  <si>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</si>
  <si>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</si>
  <si>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</si>
  <si>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</si>
  <si>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</si>
  <si>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</si>
  <si>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</si>
  <si>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</si>
  <si>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</si>
  <si>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</si>
  <si>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</si>
  <si>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</si>
  <si>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</si>
  <si>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</si>
  <si>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</si>
  <si>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</si>
  <si>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</si>
  <si>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</si>
  <si>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</si>
  <si>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</si>
  <si>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</si>
  <si>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</si>
  <si>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</si>
  <si>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</si>
  <si>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</si>
  <si>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</si>
  <si>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</si>
  <si>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</si>
  <si>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</si>
  <si>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</si>
  <si>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</si>
  <si>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</si>
  <si>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</si>
  <si>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</si>
  <si>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</si>
  <si>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</si>
  <si>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</si>
  <si>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</si>
  <si>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</si>
  <si>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</si>
  <si>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</si>
  <si>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</si>
  <si>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</si>
  <si>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</si>
  <si>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</si>
  <si>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</si>
  <si>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</si>
  <si>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</si>
  <si>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</si>
  <si>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</si>
  <si>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</si>
  <si>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</si>
  <si>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</si>
  <si>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</si>
  <si>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</si>
  <si>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</si>
  <si>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</si>
  <si>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</si>
  <si>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</si>
  <si>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</si>
  <si>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</si>
  <si>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</si>
  <si>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</si>
  <si>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</si>
  <si>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</si>
  <si>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</si>
  <si>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</si>
  <si>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</si>
  <si>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</si>
  <si>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</si>
  <si>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</si>
  <si>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</si>
  <si>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</si>
  <si>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</si>
  <si>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</si>
  <si>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</si>
  <si>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</si>
  <si>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</si>
  <si>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</si>
  <si>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</si>
  <si>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</si>
  <si>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</si>
  <si>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</si>
  <si>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</si>
  <si>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</si>
  <si>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</si>
  <si>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</si>
  <si>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</si>
  <si>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</si>
  <si>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</si>
  <si>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</si>
  <si>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</si>
  <si>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</si>
  <si>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</si>
  <si>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</si>
  <si>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</si>
  <si>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</si>
  <si>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</si>
  <si>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</si>
  <si>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</si>
  <si>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</si>
  <si>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</si>
  <si>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</si>
  <si>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</si>
  <si>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</si>
  <si>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</si>
  <si>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</si>
  <si>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</si>
  <si>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</si>
  <si>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</si>
  <si>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</si>
  <si>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</si>
  <si>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</si>
  <si>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</si>
  <si>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</si>
  <si>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</si>
  <si>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</si>
  <si>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</si>
  <si>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</si>
  <si>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</si>
  <si>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</si>
  <si>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</si>
  <si>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</si>
  <si>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</si>
  <si>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</si>
  <si>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</si>
  <si>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</si>
  <si>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</si>
  <si>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</si>
  <si>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</si>
  <si>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</si>
  <si>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</si>
  <si>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</si>
  <si>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</si>
  <si>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</si>
  <si>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</si>
  <si>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</si>
  <si>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</si>
  <si>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</si>
  <si>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</si>
  <si>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</si>
  <si>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</si>
  <si>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</si>
  <si>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</si>
  <si>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</si>
  <si>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</si>
  <si>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</si>
  <si>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</si>
  <si>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</si>
  <si>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</si>
  <si>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</si>
  <si>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</si>
  <si>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</si>
  <si>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</si>
  <si>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</si>
  <si>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</si>
  <si>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</si>
  <si>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</si>
  <si>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</si>
  <si>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</si>
  <si>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</si>
  <si>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</si>
  <si>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</si>
  <si>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</si>
  <si>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</si>
  <si>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</si>
  <si>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</si>
  <si>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</si>
  <si>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</si>
  <si>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</si>
  <si>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</si>
  <si>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</si>
  <si>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</si>
  <si>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</si>
  <si>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</si>
  <si>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</si>
  <si>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</si>
  <si>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</si>
  <si>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</si>
  <si>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</si>
  <si>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</si>
  <si>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</si>
  <si>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</si>
  <si>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</si>
  <si>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</si>
  <si>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</si>
  <si>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</si>
  <si>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</si>
  <si>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</si>
  <si>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</si>
  <si>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</si>
  <si>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</si>
  <si>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</si>
  <si>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</si>
  <si>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</si>
  <si>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</si>
  <si>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</si>
  <si>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</si>
  <si>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</si>
  <si>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</si>
  <si>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</si>
  <si>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</si>
  <si>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</si>
  <si>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</si>
  <si>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</si>
  <si>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</si>
  <si>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</si>
  <si>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</si>
  <si>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</si>
  <si>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</si>
  <si>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</si>
  <si>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</si>
  <si>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</si>
  <si>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</si>
  <si>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</si>
  <si>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</si>
  <si>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</si>
  <si>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</si>
  <si>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</si>
  <si>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</si>
  <si>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</si>
  <si>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</si>
  <si>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</si>
  <si>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</si>
  <si>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</si>
  <si>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</si>
  <si>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</si>
  <si>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</si>
  <si>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</si>
  <si>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</si>
  <si>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</si>
  <si>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</si>
  <si>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</si>
  <si>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</si>
  <si>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</si>
  <si>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</si>
  <si>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</si>
  <si>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</si>
  <si>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</si>
  <si>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</si>
  <si>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</si>
  <si>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</si>
  <si>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</si>
  <si>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</si>
  <si>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</si>
  <si>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</si>
  <si>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</si>
  <si>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</si>
  <si>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</si>
  <si>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</si>
  <si>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</si>
  <si>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</si>
  <si>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</si>
  <si>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</si>
  <si>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</si>
  <si>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</si>
  <si>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</si>
  <si>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</si>
  <si>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</si>
  <si>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</si>
  <si>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</si>
  <si>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</si>
  <si>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</si>
  <si>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</si>
  <si>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</si>
  <si>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</si>
  <si>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</si>
  <si>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</si>
  <si>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</si>
  <si>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</si>
  <si>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</si>
  <si>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</si>
  <si>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</si>
  <si>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</si>
  <si>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</si>
  <si>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</si>
  <si>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</si>
  <si>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</si>
  <si>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</si>
  <si>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</si>
  <si>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</si>
  <si>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</si>
  <si>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</si>
  <si>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</si>
  <si>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</si>
  <si>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</si>
  <si>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</si>
  <si>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</si>
  <si>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</si>
  <si>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</si>
  <si>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HO42-0111</t>
  </si>
  <si>
    <t xml:space="preserve">E94</t>
  </si>
  <si>
    <t xml:space="preserve">HO 42/53</t>
  </si>
  <si>
    <t xml:space="preserve">HO-42-53_01.pdf</t>
  </si>
  <si>
    <t xml:space="preserve">29-31</t>
  </si>
  <si>
    <t xml:space="preserve">ff.24-26</t>
  </si>
  <si>
    <t xml:space="preserve">Trentham, 2 Nov 1800: apprehensions 'of very serious disturbances arising among the manufacturers in the Potteries - great numbers of the Volunteer Associations have declared that they will not act against those who rise on account of the high Price of Provisions - &amp; the only regular troops within fifteen miles of the Place are half a troop of the 17th Light Dragoons - this number, even if we had active &amp; vigilant Magistrates near at hand would not be sufficient to check any disturbance ... in this very populous part of the County'. Want of magistrates: 'it might be a whole day before any Justice could be brought'. Anonymous letters warn of 'a general insurrection ... the middle of Novr is the Period beyond which they will not bear their sufferings'. 'Your Grace will understand I am making no formal application for more Troops to be sent into this Country, but ... it will be for your Grace to determine whether any such Reinforcement of Troops will be expedient.'</t>
  </si>
  <si>
    <t xml:space="preserve">2 Nov 1800</t>
  </si>
  <si>
    <t xml:space="preserve">1800-11-02</t>
  </si>
  <si>
    <t xml:space="preserve">Trentham / the Potteries</t>
  </si>
  <si>
    <t xml:space="preserve">Stoke-on-Trent (Potteries)</t>
  </si>
  <si>
    <t xml:space="preserve">Granville Leveson Gower</t>
  </si>
  <si>
    <t xml:space="preserve">Reinforcement of troops (unspecified); explicitly 'no formal application'</t>
  </si>
  <si>
    <t xml:space="preserve">Portland (copy), Whitehall 6 Nov 1800: 'two Troops are already ordered to Stone, and as many to Newcastle under Line, and that if it is your opinion that that Force is not sufficient such an addition will be made to it as will enable the Magistrates to give effect to the Law'.</t>
  </si>
  <si>
    <t xml:space="preserve">1800-11-06</t>
  </si>
  <si>
    <t xml:space="preserve">BORDERLINE: informal request, leaves decision to HS. Writes in absence of his brother (CHECK: Earl Gower). Volunteers refuse to act on provisions riots (cf. Sheffield, Bolton 1800). CHECK: writer role (MP for Staffs 1799-). Response: copy of Portland reply in HO 42/53 ff.140-142 (53_03 pp.36-38): troops ordered to Stone and Newcastle-under-Lyme. Related: John Massey, Newcastle(-under-Lyme) 5 Nov 1800, forwarded by Earl Gower 8 Nov (HO 42/53 ff.194-197; 53_04 pp.23-27): plans to subvert government, "many of the volunteers are corrupted &amp; would instantly join the Insurgents"; proposes a General Officer inspect corps and "disarm such suspicious men" ("It is the Infantry Volunteers that are mostly suspected"). Follow-up (53_05): HO circulars to LLs of Chester, Derby, Lancaster, Leicester, Salop, Stafford, Warwick, Worcester, 11 Nov and c.13 Nov 1800 (ff.244, 271-274): "The representations which have been made from various Parts of that extensive District" led Government "to send a considerable Reinforcement"; Maj-Gen Nicholls HQ Stafford, Maj-Gen Staveley at Birmingham; magistrates may apply to either directly. Bishton (Staffs) 14 Nov (f.299): "The Stafford Military Association has been dissolved, and it is apprehended that many others are not to be relied upon." Legge (Aston Hall, Birmingham) 23 Nov (53_07 ff.404-405): Birmingham magistrates "rather hurt at so great an addition of military being sent at a time when all was quiet &amp; no representations of theirs had pointed out the Necessity of such a Measure"; Cheshire Militia by forced marches, additional cavalry and Staveley's HQ "has given an alarm, that did not before exist". I.e. the reinforcement overshot Birmingham: unrequested troops there.</t>
  </si>
  <si>
    <t xml:space="preserve">HO42-0112</t>
  </si>
  <si>
    <t xml:space="preserve">E95</t>
  </si>
  <si>
    <t xml:space="preserve">HO-42-53_06.pdf</t>
  </si>
  <si>
    <t xml:space="preserve">ff.314-315</t>
  </si>
  <si>
    <t xml:space="preserve">Calverton near Nottingham, 15 Nov 1800 (reporting 2-3 Sep 1800): 'On the second of Sept last a riotous Mob from Arnold or Nottingham or both came to this town, committed various depredations ... proceeded to a Farm of Mr Chadwin's on the Forest &amp; there they threw out of his Corn Chamber several quarters of Corn'. 3 Sep: crier announced assembly at Calverton 'to go to Caythorp Mill to sell Flower at 2 shills. p Stone or otherwise take it. I immediately sent for Soldiers, &amp; about 3 o clock in the afternoon a Cornet &amp; about 20 of the Blues arrived here; I read the riot act &amp; with the Soldiers pursued the rioters, met with them at Hoveringham Mill took about thirty &amp; totally dispersed the remainder'. Rioters had passed through Woodborough, Epperstone, Lowdham &amp; Caythorpe selling bread and flour at half price.</t>
  </si>
  <si>
    <t xml:space="preserve">3 Sep 1800 (reported 15 Nov 1800)</t>
  </si>
  <si>
    <t xml:space="preserve">1800-09-03</t>
  </si>
  <si>
    <t xml:space="preserve">Calverton near Nottingham</t>
  </si>
  <si>
    <t xml:space="preserve">Calverton</t>
  </si>
  <si>
    <t xml:space="preserve">J. Bingham</t>
  </si>
  <si>
    <t xml:space="preserve">Soldiers; a Cornet and c.20 of the Blues (Royal Horse Guards) came</t>
  </si>
  <si>
    <t xml:space="preserve">ROUTE: local request, reported to HS 2.5 months later (asks whether Government will prosecute; witnesses intimidated). Price-fixing crowd (taxation populaire) across several villages. CHECK: writer role inferred from reading the riot act and committing prisoners.</t>
  </si>
  <si>
    <t xml:space="preserve">HO42-0113</t>
  </si>
  <si>
    <t xml:space="preserve">E96</t>
  </si>
  <si>
    <t xml:space="preserve">HO-42-53_07.pdf</t>
  </si>
  <si>
    <t xml:space="preserve">68-69</t>
  </si>
  <si>
    <t xml:space="preserve">ff.418-419</t>
  </si>
  <si>
    <t xml:space="preserve">Leicester, 24 Nov 1800: 'I have receiv'd a precept for electing a Member to represent this Boro' in Parlt. &amp; as one of the Candidates depends entirely on the mob, I have every reason to expect there will be riots during the election. I beg your Grace to favor me with your advice whether I shou'd order the Volunteer Corps to hold themselves in readiness, having some doubt whether such a step would so far convert the Citizens into Soldiers as to be made a plea for vacating the Election.'</t>
  </si>
  <si>
    <t xml:space="preserve">24 Nov 1800</t>
  </si>
  <si>
    <t xml:space="preserve">1800-11-24</t>
  </si>
  <si>
    <t xml:space="preserve">M. Sargeant (CHECK spelling), Mayor</t>
  </si>
  <si>
    <t xml:space="preserve">Asks advice on putting the Volunteer Corps in readiness (no request for regulars)</t>
  </si>
  <si>
    <t xml:space="preserve">BORDERLINE: request for guidance on using volunteers, not for troops. Legal worry: troops/armed citizens at a poll could void the election. Logged as Other per broad funnel.</t>
  </si>
  <si>
    <t xml:space="preserve">HO42-0114</t>
  </si>
  <si>
    <t xml:space="preserve">E97</t>
  </si>
  <si>
    <t xml:space="preserve">HO 42/55</t>
  </si>
  <si>
    <t xml:space="preserve">HO-42-55_03.pdf</t>
  </si>
  <si>
    <t xml:space="preserve">26-29</t>
  </si>
  <si>
    <t xml:space="preserve">ff.164-167</t>
  </si>
  <si>
    <t xml:space="preserve">Statement of Rev. H. Marker JP, Exmouth 22 Dec 1800: after a petition by the Sidmouth Volunteers, handbills called the two Exmouth companies 'to consider the conduct of the Farmers, &amp; to sign a paper to be true to the cause'. Pressed, 'they acknowledged that they approved of its contents, and would no longer bear Arms unless the price of Corn was reduced'. 'The consequence was that the Magistrate immediately stated the case to General Simcoe, the Commanding Officer of the District, for his assistance'. Men refusing to give up their clothing were obliged to; Rolle, Hull and Marker 'convinced ... that the Spirit of Opposition is not confined to the Volunteers of this Town, but ... extends to several others of the adjacent Towns'.</t>
  </si>
  <si>
    <t xml:space="preserve">20-22 Dec 1800</t>
  </si>
  <si>
    <t xml:space="preserve">1800-12-22</t>
  </si>
  <si>
    <t xml:space="preserve">Exmouth</t>
  </si>
  <si>
    <t xml:space="preserve">Rev. H. Marker JP (statement signed by Lord Rolle, W.T. Hull, H. Marker)</t>
  </si>
  <si>
    <t xml:space="preserve">Assistance of Gen. Simcoe (district commander); unspecified</t>
  </si>
  <si>
    <t xml:space="preserve">ROUTE: local request to district general, reported to HS afterwards via Rolle. Volunteer corps itself mutinous over corn prices: key case for JV (volunteers as source of disorder, not suppression). Enclosed in Rolle's letter (next row).</t>
  </si>
  <si>
    <t xml:space="preserve">HO42-0115</t>
  </si>
  <si>
    <t xml:space="preserve">32-34</t>
  </si>
  <si>
    <t xml:space="preserve">ff.170-172</t>
  </si>
  <si>
    <t xml:space="preserve">Bicton, Devon, 22 Dec 1800: 'disagreeable commotions on account of the high Prices of Grain in this &amp; neighbouring Hundreds - What is worst to be commented the Volunteers have been the principal leaders in espousing Resolutions for obliging the Farmers to sell their Corn at a Price they themselves shall fix'. A hundred or more men assembled at Broadclyst(?) and compelled an old magistrate of 70 to order farmers to sell at reduced price. 'From the systematic progress I think it ought to have some correction &amp; discountenance from all the Volunteer Corps in that district, I have therefore ordered the [Bicton &amp; Exeter?] to assemble ... I hope &amp; trust this vigorous proceeding will be sufficient without any necessity of calling on the Regular forces for their assistance, at the same time it would be prudent &amp; proper we should have more regular soldiers in this district.' A miller reports a Volunteer declared he would fight against his own corps.</t>
  </si>
  <si>
    <t xml:space="preserve">22 Dec 1800</t>
  </si>
  <si>
    <t xml:space="preserve">Bicton / East Devon hundreds</t>
  </si>
  <si>
    <t xml:space="preserve">Bicton</t>
  </si>
  <si>
    <t xml:space="preserve">Lord Rolle</t>
  </si>
  <si>
    <t xml:space="preserve">'more regular soldiers in this district'</t>
  </si>
  <si>
    <t xml:space="preserve">Rolle writes 'as a Magistrate &amp; a Deputy Lieutenant'. Hand very hard to read; place names CHECK (Broadclyst?). Volunteers led the price-fixing.</t>
  </si>
  <si>
    <t xml:space="preserve">HO42-0116</t>
  </si>
  <si>
    <t xml:space="preserve">E98</t>
  </si>
  <si>
    <t xml:space="preserve">HO 42/42</t>
  </si>
  <si>
    <t xml:space="preserve">HO-42-42_4.pdf</t>
  </si>
  <si>
    <t xml:space="preserve">46-48</t>
  </si>
  <si>
    <t xml:space="preserve">ff.225-226</t>
  </si>
  <si>
    <t xml:space="preserve">John Rowland Sproule [?], Great Bardfield near Braintree, 'Febry 25. 98' [?], to the Duke of Portland: "The Country where I reside is extremely populous &amp; abounds with Dissenters of all Descriptions, in some places, they are more numerous, than those of the Established Church ... I am persuaded they are not to be confided in, at the present Juncture ... If our Implacable Enemy should carry his Threats of Invasion into Execution ... I beg leave to hint to your Grace, in consequence of what I have stated, that there will require a strong Force in the Interior, to prevent the Disaffected, &amp; the lower Orders of the People, taking advantage of the Troops, being employed against the Enemy."</t>
  </si>
  <si>
    <t xml:space="preserve">Febry 25. 98 [?]; HO docket '1798 Jan 7'</t>
  </si>
  <si>
    <t xml:space="preserve">1798-01-07</t>
  </si>
  <si>
    <t xml:space="preserve">Great Bardfield near Braintree</t>
  </si>
  <si>
    <t xml:space="preserve">Great Bardfield</t>
  </si>
  <si>
    <t xml:space="preserve">John Rowland Sproule [?]</t>
  </si>
  <si>
    <t xml:space="preserve">Portland ("My Lord Duke")</t>
  </si>
  <si>
    <t xml:space="preserve">'a strong Force in the Interior' in case of invasion</t>
  </si>
  <si>
    <t xml:space="preserve">ROUTE: direct to HS. BORDERLINE: general advice rather than a local request; cites a return of all men 15-60 and fears 'an indiscriminate Levy'. CHECK: writer's name and role inferred from signature (says he knows the Bishop of London; possibly clergy). CHECK date: letter heading reads 'Febry 25. 98' but docket reads '1798 Jan 7' (1808 struck out); ISO uses docket date.</t>
  </si>
  <si>
    <t xml:space="preserve">HO42-0117</t>
  </si>
  <si>
    <t xml:space="preserve">E99</t>
  </si>
  <si>
    <t xml:space="preserve">HO-42-42_1.pdf</t>
  </si>
  <si>
    <t xml:space="preserve">70-71</t>
  </si>
  <si>
    <t xml:space="preserve">ff.58-59</t>
  </si>
  <si>
    <t xml:space="preserve">Will. Elford and Fra[ncis] Glanville, Plymouth, 18 Jan 1798, to the Duke of Portland: "We have been desired by the Mayor of this Borough to represent to Your Grace, that the number of French Prisoners confin'd in the Mill Prison, is now upwards of five thousand — that they are constantly increasing — and that he finds a very considerable degree of alarm has taken place among the Inhabitants of the town and neighbourhood in consequence of knowing that the number of Troops would probably be so inadequate to guarding them in case of any alarm from the Enemy, or any internal cause, that might call for their exertions. We have thought it our duty to make this representation to Your Grace, in full confidence, that such measures will be adopted as the necessity of the case may appear to require."</t>
  </si>
  <si>
    <t xml:space="preserve">18 January 1798</t>
  </si>
  <si>
    <t xml:space="preserve">1798-01-18</t>
  </si>
  <si>
    <t xml:space="preserve">Plymouth</t>
  </si>
  <si>
    <t xml:space="preserve">William Elford and Francis Glanville (on behalf of the Mayor of Plymouth)</t>
  </si>
  <si>
    <t xml:space="preserve">Portland ("My Lord" ... "Your Grace")</t>
  </si>
  <si>
    <t xml:space="preserve">More troops to guard c.5,000 French prisoners in Mill Prison (implicit; number unspecified)</t>
  </si>
  <si>
    <t xml:space="preserve">ROUTE: forwarded on behalf of the Mayor of Plymouth by two notables. CHECK: role of Elford (MP for Plymouth 1796-1806) and Glanville inferred, not read. BORDERLINE: concern is POW security against invasion or 'internal cause', not riot; implicit request ('such measures ... as the necessity of the case may appear to require'). No endorsement/reply seen.</t>
  </si>
  <si>
    <t xml:space="preserve">HO42-0118</t>
  </si>
  <si>
    <t xml:space="preserve">39-42</t>
  </si>
  <si>
    <t xml:space="preserve">ff.219-222</t>
  </si>
  <si>
    <t xml:space="preserve">William Elford, Bickham, 2 Feb 1798, to the Duke of Portland, enclosing letters from Peter Tonkin (Mayor of Plymouth): Elford: "An order had been received in the mean time, (in consequence I presume of Your Grace's interference) for the removal of a thousand Prisoners from Plymouth to Portsmouth, notwithstanding which, the rapid increase of their number ... continues the alarm among the inhabitants." Tonkin, Plymouth, 3 Feb 1798 [sic]: "to guard them, we have only the East, and North Devon Militias, and small remains of the 25th Regt. ... The great number of Prisoners, and small number of Troops have occasioned universal alarm in the Town and Neighbourhood and scarce a day passes without my being applied to, as Chief Magistrate, on the subject ... these Matters I trust you and Mr Glanville will urge to His Majesty's Ministers, in the most forceable manner."</t>
  </si>
  <si>
    <t xml:space="preserve">2 February 1798 (Elford); Mayor's letters 4 and 3 Feb 1798</t>
  </si>
  <si>
    <t xml:space="preserve">1798-02-02</t>
  </si>
  <si>
    <t xml:space="preserve">Bickham / Plymouth</t>
  </si>
  <si>
    <t xml:space="preserve">William Elford, forwarding Peter Tonkin, Mayor of Plymouth</t>
  </si>
  <si>
    <t xml:space="preserve">Portland ("My Lord" ... "Your Grace's"); Mayor's enclosures addressed to Elford ("Dear Sir")</t>
  </si>
  <si>
    <t xml:space="preserve">More troops to guard 5,848 French prisoners (Mill Prison 3,513, hospital 351, prison ships 1,984, plus c.1,100 on frigates); garrison only East and North Devon Militias and remains of 25th Regt; 29th and Queen's Regts under orders for Jersey</t>
  </si>
  <si>
    <t xml:space="preserve">Partly approved</t>
  </si>
  <si>
    <t xml:space="preserve">Same episode as C1 (HO 42/42_1 ff.58-59, 18 Jan 1798). ROUTE: forwarded by Elford (CHECK: MP for Plymouth, inferred) on the Mayor's request. Outcome: partial - Portland had replied to Elford and Glanville and an order removed 1,000 prisoners to Portsmouth (f.219). Docket on f.219 back: 'Bickham 2 Feb 1798 ... Rd 6th'. Tonkin's two letters (ff.221-222) dated 4 Feb and 3 Feb (date on f.222 read as '3rd Febry 1798'). BORDERLINE: POW security/invasion fear rather than riot.</t>
  </si>
  <si>
    <t xml:space="preserve">HO42-0119</t>
  </si>
  <si>
    <t xml:space="preserve">E100</t>
  </si>
  <si>
    <t xml:space="preserve">33-35</t>
  </si>
  <si>
    <t xml:space="preserve">ff.30-31</t>
  </si>
  <si>
    <t xml:space="preserve">J. W. Curry, Gosport, 13 Mar 1798, to the Duke of Portland: "I had the honor some little time past to mention to Your Grace, that I was inform'd a Volunteer Corps of Riflemen of this Town were applying to be embodied — &amp; on enquiry, I found there were many persons, who I know to be very objectionable with respect to their principles in Loyalty to his Majesty, &amp; to our happy Constitution ... having had some conversation with the respectable Principals whom are intended to form this Corps, &amp; who I know to be Zealous loyal good Subjects, have assured me that all the objectionable persons which I have mentioned shall not be suffered to embody themselves."</t>
  </si>
  <si>
    <t xml:space="preserve">13 March 1798</t>
  </si>
  <si>
    <t xml:space="preserve">1798-03-13</t>
  </si>
  <si>
    <t xml:space="preserve">Gosport</t>
  </si>
  <si>
    <t xml:space="preserve">J. W. Curry</t>
  </si>
  <si>
    <t xml:space="preserve">Gosport Volunteer Corps of Riflemen applying to be embodied (vetting of members)</t>
  </si>
  <si>
    <t xml:space="preserve">ROUTE: direct to HS. CHECK: Curry's role as JP inferred (he committed John Lovelace for seditious words during the Spithead mutiny, June 1797, f.31). Letter also mentions a letter from Capt. Wiltshire re the corps. Docket: 'Recd. same day'.</t>
  </si>
  <si>
    <t xml:space="preserve">HO42-0120</t>
  </si>
  <si>
    <t xml:space="preserve">E101</t>
  </si>
  <si>
    <t xml:space="preserve">HO 42/45</t>
  </si>
  <si>
    <t xml:space="preserve">HO-42-45_07.pdf</t>
  </si>
  <si>
    <t xml:space="preserve">7-8</t>
  </si>
  <si>
    <t xml:space="preserve">ff.520-521</t>
  </si>
  <si>
    <t xml:space="preserve">Examination of Samuel Catterson [?] of Salford, sworn at the New Bayley, Salford, 17 Apr 1798 (forwarded 15 Oct 1798): "about the latter end of November or beginning of December last William Cheetham and this Examinant had some discourse together in his Cheetham's Warehouse respecting the French invading England, Cheetham said it would certainly take place, and if any more Volunteers were to be raised in Manchester he would advise his friends the Democrats, to join them that they might avail themselves of Arms ... Cheetham said if any more Volunteers were raised in Manchester, it would be general and if every good Democrat would take his advice, he would advise them all to avail themselves of that opportunity, he said he would join the French immediately on their [landing]."</t>
  </si>
  <si>
    <t xml:space="preserve">17th day of April 1798</t>
  </si>
  <si>
    <t xml:space="preserve">1798-04-17</t>
  </si>
  <si>
    <t xml:space="preserve">Salford / Manchester</t>
  </si>
  <si>
    <t xml:space="preserve">Samuel Catterson [?] (deponent), before Thomas Bayley JP</t>
  </si>
  <si>
    <t xml:space="preserve">CHECK: deposition, forwarded to Wickham by Bayley (docket 15 Oct 1798)</t>
  </si>
  <si>
    <t xml:space="preserve">None</t>
  </si>
  <si>
    <t xml:space="preserve">BORDERLINE: radicals (United Englishmen) planning to infiltrate Manchester volunteer corps to obtain arms; context for corps raising and their reliability. Part of a bundle of Manchester United Englishmen examinations (Apr 1798, ff.520-560) sent by Thomas Bayley. Date ISO is deposition date; docket 15 Oct 1798. CHECK: deponent's surname.</t>
  </si>
  <si>
    <t xml:space="preserve">HO42-0121</t>
  </si>
  <si>
    <t xml:space="preserve">E102</t>
  </si>
  <si>
    <t xml:space="preserve">HO 42/43</t>
  </si>
  <si>
    <t xml:space="preserve">HO-42-43_05.pdf</t>
  </si>
  <si>
    <t xml:space="preserve">52-54</t>
  </si>
  <si>
    <t xml:space="preserve">ff.320-322</t>
  </si>
  <si>
    <t xml:space="preserve">'Propositions for collecting in case of necessity an Armed force, intended for the express purpose only of preserving order and quiet by assisting the Civil Magistrates in the Parish of St Mary le bone, submitted to the consideration of the Inhabitants of the said Parish', enclosed by the Earl of Stamford [?], Charles Street, 1 May 1798: "in case of an Alarm by an attempt on the part of our Enemies to Effect a Landing in England some confusion might at first ensue in &amp; about London and ... apprentices and youths under age might ... be drawn into Mobs composed of the most abandoned and profligate of the Inhabitants ... [Masters of families should allow names] to be Enrolled in order to be called forth on any sudden and pressing occasion, to be armed and to rendezvous ... there to act under officers appointed for the purpose in support of the Justices ... great care to be taken that no suspected persons Enrolle themselves ... That Government be applyd to afford such supply of Arms and accoutrements as may be deemed proper."</t>
  </si>
  <si>
    <t xml:space="preserve">1 May 1798 (docket 'Charles Street 1 May 1798')</t>
  </si>
  <si>
    <t xml:space="preserve">1798-05-01</t>
  </si>
  <si>
    <t xml:space="preserve">St Mary le bone</t>
  </si>
  <si>
    <t xml:space="preserve">St Marylebone</t>
  </si>
  <si>
    <t xml:space="preserve">Earl of Stamford [?] (enclosing parish propositions)</t>
  </si>
  <si>
    <t xml:space="preserve">CHECK: covering letter not seen in this file; docket 'Charles Street 1 May 1798 / The Earl of Stamford [?] / One inclosure'</t>
  </si>
  <si>
    <t xml:space="preserve">Parish armed association of horse and foot in small battalions/troops by street; arms, accoutrements and ball cartridges from Government</t>
  </si>
  <si>
    <t xml:space="preserve">ROUTE: direct to HS (CHECK sender: docket name read as 'The Earl of Stamford', uncertain). Explicitly for 'preserving order and quiet by assisting the Civil Magistrates' - internal-order armed association. Also requests arms from Government (Corps armed). ff.322 (PDF 54) continues plan; not fully transcribed.</t>
  </si>
  <si>
    <t xml:space="preserve">HO42-0122</t>
  </si>
  <si>
    <t xml:space="preserve">E103</t>
  </si>
  <si>
    <t xml:space="preserve">ff.273-275</t>
  </si>
  <si>
    <t xml:space="preserve">Extract from a minute delivered by a Committee of Commissioners of Lieutenancy to a Committee of Aldermen [City of London], enclosed by the Duke of Richmond [?], 11 May 1798: "The Committee of Commissioners admit that the Chief Magistrate is responsible for the peace and security of the City ... and the Committee continue decidedly and unanimously of opinion That the Chief Magistrate does not possess any distinct and individual authority to call out the London Militia in cases not of sudden emergency, without consultation or co-operation with the Court of Lieutenancy. The Committee of Commissioners also admit that the Magistrates throughout the Kingdom may call on the nearest military force to sustain the civil power, but it is apprehended that the Magistrate ... must in such case accompany the Troops so called out, comply with certain forms and be responsible for the orders which they give. But this Committee conceive that such call can only be made in cases of sudden emergency."</t>
  </si>
  <si>
    <t xml:space="preserve">11 May 1798 (docket); Aldermen's reply docketed 8 May 1798</t>
  </si>
  <si>
    <t xml:space="preserve">1798-05-11</t>
  </si>
  <si>
    <t xml:space="preserve">London (City)</t>
  </si>
  <si>
    <t xml:space="preserve">Committee of Commissioners of Lieutenancy, City of London (signed Nath. Newnham, J. J. Angerstein, Beeston Long, Wm Pitt [?] et al.); forwarded under docket 'Goodwood 11 May 1798 Duke of Richmond'</t>
  </si>
  <si>
    <t xml:space="preserve">CHECK: forwarded to Portland by Duke of Richmond [?] (docket); minute addressed to Committee of Aldermen</t>
  </si>
  <si>
    <t xml:space="preserve">None; dispute over who may call out the (embodied) London Militia</t>
  </si>
  <si>
    <t xml:space="preserve">BORDERLINE / context: dispute between City Lieutenancy and Court of Aldermen over the Lord Mayor's authority to call out the London Militia; states the legal doctrine on magistrates calling troops (sudden emergency only; magistrate must accompany troops). Aldermen's reply (f.275, PDF 2) agrees. ROUTE: forwarded. CHECK: forwarding peer read from docket ('Duke of Richmond').</t>
  </si>
  <si>
    <t xml:space="preserve">HO42-0123</t>
  </si>
  <si>
    <t xml:space="preserve">E104</t>
  </si>
  <si>
    <t xml:space="preserve">HO-42-43_04.pdf</t>
  </si>
  <si>
    <t xml:space="preserve">ff.224-225</t>
  </si>
  <si>
    <t xml:space="preserve">[Col.] J. Ward [?], 9 Gerrard Street, Soho, 14 May 1798, to the Duke of Portland: "Several Men having of late been proposed as Members of the Royal Westminster Volunteers (which I have the honor to command) who upon enquiry are known to belong to the Corresponding Society and having within these few days been informed that two or three Men have been admitted into the Corps who are at this moment Members of that Society and who no doubt must have views highly inimical to the welfare of the State, has induced me to apply to Your Grace for leave to lay before your Secretary the names of Twenty Men with their address that he may look over the list."</t>
  </si>
  <si>
    <t xml:space="preserve">14th May 1798</t>
  </si>
  <si>
    <t xml:space="preserve">1798-05-14</t>
  </si>
  <si>
    <t xml:space="preserve">9 Gerrard Street Soho</t>
  </si>
  <si>
    <t xml:space="preserve">Westminster</t>
  </si>
  <si>
    <t xml:space="preserve">J. Ward [?], commandant, Royal Westminster Volunteers</t>
  </si>
  <si>
    <t xml:space="preserve">None; vetting of recruits to Royal Westminster Volunteers against LCS membership</t>
  </si>
  <si>
    <t xml:space="preserve">ROUTE: direct to HS. BORDERLINE: infiltration of a volunteer corps by radicals (cf. Gosport riflemen, C2). CHECK: surname read from docket 'Mr Ward' / signature; rank not read. Docket: 'Gerard St 14 May 1798 ... Recd 15th ... Next Wednesday'. Only first page read.</t>
  </si>
  <si>
    <t xml:space="preserve">HO42-0124</t>
  </si>
  <si>
    <t xml:space="preserve">E105</t>
  </si>
  <si>
    <t xml:space="preserve">HO-42-43_01.pdf</t>
  </si>
  <si>
    <t xml:space="preserve">18-19</t>
  </si>
  <si>
    <t xml:space="preserve">ff.15-16</t>
  </si>
  <si>
    <t xml:space="preserve">W. Watson, Farnsfield, 21 May 1798, to the Duke of Portland: "[I was told] that they had got a great quantity of Arms at Sutton in Ashfield, and with which, they were daily exercising ... I found, That Mr Unwin had Forty eight Fusees, and Bayonets, which he purchased near sixteen years ago ... but that there were some Exercising with Sticks ... and that they had got a Man, who had been a Soldier to instruct them ... I attended the last General Meeting, or Committee, where we rec'd your Grace's Letter to Colonel Eyre regarding Village Associations ... I am well aware of the impropriety of putting Arms in to the Hands of many — or of leaving them afterwards with any description of people, as that might lay the foundation of much evil — Therefore we have droped ours, for the present."</t>
  </si>
  <si>
    <t xml:space="preserve">May 21st 1798</t>
  </si>
  <si>
    <t xml:space="preserve">1798-05-21</t>
  </si>
  <si>
    <t xml:space="preserve">Farnsfield</t>
  </si>
  <si>
    <t xml:space="preserve">Farnsfield / Sutton-in-Ashfield / Mansfield</t>
  </si>
  <si>
    <t xml:space="preserve">W. Watson</t>
  </si>
  <si>
    <t xml:space="preserve">None; village armed associations under discussion (Notts committee, Col. Eyre) and dropped for the present; recommends Richard Clay for a company in supplementary militia</t>
  </si>
  <si>
    <t xml:space="preserve">ROUTE: direct to HS. CHECK: Watson's role as JP inferred ('ordered the constables'); follow-up 18 June 1798 (ff.15ff., PDF 18) sends names of Jacobins from Sutton in Ashfield and mentions Mansfield meetings. BORDERLINE: about whether to arm village associations, illustrates fear of arming the disaffected.</t>
  </si>
  <si>
    <t xml:space="preserve">HO42-0125</t>
  </si>
  <si>
    <t xml:space="preserve">E106</t>
  </si>
  <si>
    <t xml:space="preserve">45</t>
  </si>
  <si>
    <t xml:space="preserve">f.314</t>
  </si>
  <si>
    <t xml:space="preserve">[Lord] Romney, The Mote, 25 May 1798, to the Duke of Portland: "I feel it a Duty incumbent upon me to acquaint your Grace that the Maidstone Volunteers commanded by Captn Parker have constantly mounted Guard every Night upon the State Prisoners till the Trials were over &amp; Mr Oconnor removed back to London During the whole of which time they shewed so much alertness &amp; regularity that they not only did themselves great credit &amp; rendered essential Service to their Country but gained the Applause &amp; Approbation of the whole Neighbourhood."</t>
  </si>
  <si>
    <t xml:space="preserve">May 25th 1798</t>
  </si>
  <si>
    <t xml:space="preserve">1798-05-25</t>
  </si>
  <si>
    <t xml:space="preserve">The Mote</t>
  </si>
  <si>
    <t xml:space="preserve">Maidstone</t>
  </si>
  <si>
    <t xml:space="preserve">Charles Marsham, 1st Earl of Romney</t>
  </si>
  <si>
    <t xml:space="preserve">None; Maidstone Volunteers (Capt. Parker) guarded state prisoners (O'Connor, Maidstone treason trials)</t>
  </si>
  <si>
    <t xml:space="preserve">BORDERLINE: volunteers used for internal security duty (guarding state prisoners at Maidstone trial of O'Connor, Quigley et al.). CHECK: Romney's role as LL Kent inferred. ROUTE: direct to HS.</t>
  </si>
  <si>
    <t xml:space="preserve">HO42-0126</t>
  </si>
  <si>
    <t xml:space="preserve">E107</t>
  </si>
  <si>
    <t xml:space="preserve">27-28</t>
  </si>
  <si>
    <t xml:space="preserve">ff.21-22</t>
  </si>
  <si>
    <t xml:space="preserve">Geo. Cartwright, Nottingham, 15 June 1798, to the Duke of Portland: "They were lately so elated on hearing of the proceedings of the Rebels in Ireland, that they had the impudence, as well as imprudence to boast of their numbers being from fifteen to eighteen hundred; that they were well armed, and would have a trial of strength with the Loyal Volunteers, in case the Dragoons should be marched off for Ireland ... I should think it highly proper, that one hundred rounds of ball-cartridges p[er] man and fifteen hundred flints should be sent down immediately for the use of the Volunteer Infantry ... the rest lodged in the Barrack Magazine. A couple of Field-pieces, with a Tumbril of Ammunition for each, should be sent down and kept in the Barrack Yard ... if a bill was immediately passed, obliging every person to give an account ... of all the Arms ... it would crush Rebellion."</t>
  </si>
  <si>
    <t xml:space="preserve">15 June 1798</t>
  </si>
  <si>
    <t xml:space="preserve">1798-06-15</t>
  </si>
  <si>
    <t xml:space="preserve">George Cartwright</t>
  </si>
  <si>
    <t xml:space="preserve">Ammunition (100 ball cartridges per man, 1,500 flints) for Nottingham Volunteer Infantry; two field-pieces with tumbrils kept in Barrack Yard; artillerymen to instruct volunteers</t>
  </si>
  <si>
    <t xml:space="preserve">ROUTE: direct to HS. Civil power: writer says no 'cordial cooperation was to be expected from the Mayor' when disaffected met at a public house where supplementary militia were quartered; he sought Lt-Col Charlton of the Militia to apprehend them, plan not executed. Also reports chests suspected of containing arms delivered at Basford. Fear that Dragoons would be marched off to Ireland. CHECK: Cartwright's role (frequent informant to Portland in this volume, e.g. Nottingham Corresponding Society, HO 42/42 f.346; follow-up 19 June ff.24-25 on a dragoon of the King's Own being seduced by Jacobins). Probably Major John Cartwright's brother George Cartwright (Labrador trader) - CHECK. BORDERLINE between Request for troops and Corps armed.</t>
  </si>
  <si>
    <t xml:space="preserve">HO42-0127</t>
  </si>
  <si>
    <t xml:space="preserve">E108</t>
  </si>
  <si>
    <t xml:space="preserve">HO-42-43_03.pdf</t>
  </si>
  <si>
    <t xml:space="preserve">75-76</t>
  </si>
  <si>
    <t xml:space="preserve">ff.185-186</t>
  </si>
  <si>
    <t xml:space="preserve">J. C. Curwen, Workington Hall, Tuesday night 19 June 1798, to the Duke of Portland: "On my arrival here this evening I found the town in general under great alarm &amp; apprehension in consequence of a fire which happend in the town last night which has the strongest marks of being done purposely — from the number of Strangers &amp; Irish many attribute it to disaffection in them to the Country ... The town has agreed to keep watch till some effectual force can be obtained — as there is no means of making any resistance against the most insignificant attempt — I trust your Grace will see the necessity of ordering some force — as soon as the matter has undergone a thorough investigation I shall communicate the result."</t>
  </si>
  <si>
    <t xml:space="preserve">Tuesday night June 19th 1798</t>
  </si>
  <si>
    <t xml:space="preserve">1798-06-19</t>
  </si>
  <si>
    <t xml:space="preserve">Workington Hall</t>
  </si>
  <si>
    <t xml:space="preserve">Workington</t>
  </si>
  <si>
    <t xml:space="preserve">Cumberland</t>
  </si>
  <si>
    <t xml:space="preserve">John Christian Curwen</t>
  </si>
  <si>
    <t xml:space="preserve">'some force' (unspecified) to protect the town</t>
  </si>
  <si>
    <t xml:space="preserve">ROUTE: direct to HS. CHECK: Curwen's role as MP (Carlisle) inferred from signature, not read. Civil power: 'no means of making any resistance'; townsmen keeping watch unarmed. Suspected arson attributed to Irish strangers. PS: persons committed, others escaped. Follow-up next day (ff.171-172, C7 row 2). No reply seen.</t>
  </si>
  <si>
    <t xml:space="preserve">HO42-0128</t>
  </si>
  <si>
    <t xml:space="preserve">55-56</t>
  </si>
  <si>
    <t xml:space="preserve">ff.171-172</t>
  </si>
  <si>
    <t xml:space="preserve">J. C. Curwen, Workington Hall, 20 June 1798, to the Duke of Portland: "In consequence of the fermentation that I found prevailing here on my arrival last night &amp; the various alarming reports ... I this morning called upon a number of the most respectable Inhabitants to attend &amp; went into an Investigation of the whole — The result has been perfectly satisfactory &amp; given a complete refutation of every invidious story ... The prejudice against the Irish (who have conducted themselves perfectly well) gives there is some danger more is to be apprehended from them, and I think it absolutely necessary some force should protect the Public Peace — Applauding as I do the zeal of the people who turn out &amp; keep guard, yet unarmed as they have been &amp; under no command with the best intentions mischief may happen &amp; I shall rejoice to see the town under some proper regulation."</t>
  </si>
  <si>
    <t xml:space="preserve">June 20th 1798</t>
  </si>
  <si>
    <t xml:space="preserve">1798-06-20</t>
  </si>
  <si>
    <t xml:space="preserve">'some force' to protect the public peace (unspecified)</t>
  </si>
  <si>
    <t xml:space="preserve">Same episode as C7 (19 June, ff.185-186). ROUTE: direct to HS. Note shift: danger now seen as townspeople's prejudice against the Irish (i.e. risk of anti-Irish disorder), not Irish disaffection. Reading of 'gives there is some danger more is to be apprehended from them' uncertain [?]. CHECK role.</t>
  </si>
  <si>
    <t xml:space="preserve">HO42-0129</t>
  </si>
  <si>
    <t xml:space="preserve">E109</t>
  </si>
  <si>
    <t xml:space="preserve">39-43</t>
  </si>
  <si>
    <t xml:space="preserve">ff.29-33</t>
  </si>
  <si>
    <t xml:space="preserve">[Earl of] Warwick, Warwick Castle, 24 June 1798, to 'Dear Sir': "there existed within this Town &amp; neighbourhood a very dangerous combination of Disaffected persons formidable because composed of Men of deep designs, bad principles &amp; ability to render their malevolence a Public Evil ... I have about me many individuals loyal &amp; well disposed 100 Infantry perfectly good &amp; about 80 Cavalry under my Son Lord Brooke equally to be depended on — which will keep the Evil minded in Check — but in this Place &amp; neighbourhood I am sure there are more dangerously bad men for the size of it than in any Place in the Kingdom." He asks 'how I am to act?' and whether a warrant to apprehend persons drilling men should issue.</t>
  </si>
  <si>
    <t xml:space="preserve">June 24. 1798</t>
  </si>
  <si>
    <t xml:space="preserve">1798-06-24</t>
  </si>
  <si>
    <t xml:space="preserve">W. Castle</t>
  </si>
  <si>
    <t xml:space="preserve">Warwick</t>
  </si>
  <si>
    <t xml:space="preserve">George Greville, 2nd Earl of Warwick</t>
  </si>
  <si>
    <t xml:space="preserve">CHECK: 'Dear Sir' - probably an under-secretary (King or Wickham), not Portland; docket 'Lord Warwick'</t>
  </si>
  <si>
    <t xml:space="preserve">None requested; reports c.100 volunteer infantry and c.80 cavalry (Lord Brooke) available; asks advice on warrants against men drilling</t>
  </si>
  <si>
    <t xml:space="preserve">ROUTE: direct to Home Office (under-secretary). CHECK: writer identified from signature 'Warwick' and mention of son Lord Brooke; role as Lord Lieutenant of Warwickshire inferred. Names alleged democrats (Parr, Williams, Binns, Lt Priestly[?] etc.); says nearly half of Birmingham and Coventry are 'disaffected'; mayor and magistrates reluctant. BORDERLINE.</t>
  </si>
  <si>
    <t xml:space="preserve">HO42-0130</t>
  </si>
  <si>
    <t xml:space="preserve">E110</t>
  </si>
  <si>
    <t xml:space="preserve">HO 42/44</t>
  </si>
  <si>
    <t xml:space="preserve">HO-42-44_02.pdf</t>
  </si>
  <si>
    <t xml:space="preserve">75</t>
  </si>
  <si>
    <t xml:space="preserve">f.140</t>
  </si>
  <si>
    <t xml:space="preserve">Thos. Rawson, Nottingham, 1 Jul 1798, to Portland: "this Town is seriously alarmed at a report that there is an intention of sending a large Body of French Prisoners to be confin'd here - In a place so completely seditious, &amp; govern'd by Magistrates who give no discouragement to such practices - the respectable &amp; loyal Inhabitants have much cause to dread such a measure ... without a very strong force being sent to guard the prisoners which I sh[oul]d suppose Government could at this time very ill spare there w[oul]d be every reason to apprehend their liberation."</t>
  </si>
  <si>
    <t xml:space="preserve">1st July 1798</t>
  </si>
  <si>
    <t xml:space="preserve">1798-07-01</t>
  </si>
  <si>
    <t xml:space="preserve">Thomas Rawson</t>
  </si>
  <si>
    <t xml:space="preserve">Portland ("My Lord" / "Your Grace")</t>
  </si>
  <si>
    <t xml:space="preserve">"a very strong force" to guard French prisoners if sent</t>
  </si>
  <si>
    <t xml:space="preserve">BORDERLINE: really an objection to prisoners being sent; says a strong force would be needed. Writer says magistrates encourage sedition (civil power unreliable). CHECK: writer role (Rawson possibly a Nottingham loyalist/manufacturer). ROUTE: direct to HS. Docket: 1 Jul 1798 Dom.</t>
  </si>
  <si>
    <t xml:space="preserve">HO42-0131</t>
  </si>
  <si>
    <t xml:space="preserve">E111</t>
  </si>
  <si>
    <t xml:space="preserve">ff.100-101</t>
  </si>
  <si>
    <t xml:space="preserve">Thos. Bancroft, Vicarage, Bolton le Moors, 2 Jul 1798, to Portland: "Being anxious to prevent the mischief which may hereafter arise from disaffected Persons being invested with Military command I am induced to communicate my fears respecting an Officer who has been chosen but I hope not yet commissioned in the Leigh Voluntary Associatn. Leigh is a Parish very near Bolton in Lancashire. It has been forming a Corps, &amp; Astley being a populous Township furnishes a Company with its Officer. The Person they have chosen is the Son of the Minister of the Place. His name is J. Barker. Our Emissary who pursues his enquiries into the state of Jacobinism here was told by an United Englishman of Astley, that Barker who was chosen to be their Captain, was one of their sort."</t>
  </si>
  <si>
    <t xml:space="preserve">July 2d 1798</t>
  </si>
  <si>
    <t xml:space="preserve">1798-07-02</t>
  </si>
  <si>
    <t xml:space="preserve">Vicarage, Bolton le Moors (re Leigh/Astley)</t>
  </si>
  <si>
    <t xml:space="preserve">Leigh (Astley)</t>
  </si>
  <si>
    <t xml:space="preserve">Thomas Bancroft (Vicar of Bolton)</t>
  </si>
  <si>
    <t xml:space="preserve">Leigh Voluntary Association forming a corps (Astley company); fear that a United Englishman will hold a volunteer commission. Also reports 'Business' at Crown &amp; Anchor, insurrection expected in Scotland. Could also count as 'Corps founded' (Leigh corps). CHECK: Bancroft was also a magistrate? role inferred as clergyman/private. ROUTE: direct to HS. Endorsement in lower margin f.101 not legible.</t>
  </si>
  <si>
    <t xml:space="preserve">HO42-0132</t>
  </si>
  <si>
    <t xml:space="preserve">E112</t>
  </si>
  <si>
    <t xml:space="preserve">HO-42-44_04.pdf</t>
  </si>
  <si>
    <t xml:space="preserve">60-61</t>
  </si>
  <si>
    <t xml:space="preserve">ff.266-267</t>
  </si>
  <si>
    <t xml:space="preserve">John E. Swinburne, Capheaton, 2 Jul [docket 31 Aug] 1798, to Portland: "The Duke of Northumberland having intimated to me that he will no longer transact the business of the Lord Lieutenancy of this County ... obliges me to trouble your Grace upon this occasion, &amp; to notify to you, my resignation of the command of a troop of Cavalry &amp; a corps of riflemen, that His Majesty had been pleased to accept of, &amp; that I had compleated ... I perceive with concern, that the patriotic offers of service at present so universal, have been made use of as a pretext for depriving this Country of its proper Constitutional defence, by sending the Militia out of the Kingdom ... I have only to add that in consequence of my resignation, nearly the whole of these Corps have withdrawn themselves, &amp; this Armed Association is therefore at an end."</t>
  </si>
  <si>
    <t xml:space="preserve">Capheaton July 2d 1798</t>
  </si>
  <si>
    <t xml:space="preserve">Capheaton</t>
  </si>
  <si>
    <t xml:space="preserve">Sir John Edward Swinburne</t>
  </si>
  <si>
    <t xml:space="preserve">Volunteer cavalry troop and rifle corps (armed association) DISBANDED in protest at militia being sent to Ireland and Northumberland's resignation as LL. ROUTE: direct to HS. CHECK: letter dated 2 Jul (could be '2 Aug'); docketed 31 Aug 1798. Clerk's endorsement: Mr Wickham desires that a copy be made and transmitted [?]. BORDERLINE (corps dissolved rather than founded).</t>
  </si>
  <si>
    <t xml:space="preserve">HO42-0133</t>
  </si>
  <si>
    <t xml:space="preserve">E113</t>
  </si>
  <si>
    <t xml:space="preserve">1-2</t>
  </si>
  <si>
    <t xml:space="preserve">ff.72-73</t>
  </si>
  <si>
    <t xml:space="preserve">Lord Braybrooke, 'Private', July 11 [docket 7 Jul 1798], to Portland: "In my public letter to your Grace a few days since, I took the liberty of recommending some Gentlemen for Commissions in Lord Petre's Corps ... I just understand that Thos. Haves [?] Esq. whom I recommended to command this Corps is a Roman Catholic ... At the same time if you think this notification need not be made in form, I can have no objection to the recommendation taking its course, being myself unwilling, in these times to throw any objection in the way of obtaining the assistance of good subjects to the King, whatever may be their persuasion."</t>
  </si>
  <si>
    <t xml:space="preserve">July 11 [?]</t>
  </si>
  <si>
    <t xml:space="preserve">1798-07-07</t>
  </si>
  <si>
    <t xml:space="preserve">[Essex; no place given]</t>
  </si>
  <si>
    <t xml:space="preserve">Thorndon (Lord Petre's corps)</t>
  </si>
  <si>
    <t xml:space="preserve">Lord Braybrooke</t>
  </si>
  <si>
    <t xml:space="preserve">None (commissions for volunteer corps)</t>
  </si>
  <si>
    <t xml:space="preserve">BORDERLINE. Lord Petre (Catholic peer) raising a volunteer corps; LL hesitates over Catholic commander. CHECK: date - docket reads 'Jn 7 July 1798' but letter heading looks like 'July 11'; ISO uses docket. CHECK: place Thorndon inferred (Petre seat). Name of commander uncertain. ROUTE: direct to HS from LL.</t>
  </si>
  <si>
    <t xml:space="preserve">HO42-0134</t>
  </si>
  <si>
    <t xml:space="preserve">ff.138-139</t>
  </si>
  <si>
    <t xml:space="preserve">J. C. Curwen, Workington Hall, July 1[1?] 1798, to Portland: "In acknowledging the favor of your Grace's letter of the 23d I have anxiously looked for the Honor of a further communication trusting the representations I have felt it incumbent upon me to make would have produced their effect in procuring a Military force for the protection of the Public Peace and security of the Shipping ... I again trouble your Grace with an earnest renewal of my request that a small Military force may be spared us from Whitehaven or elsewhere. The Alarm of internal danger has been so great ... Our situation exposes us to some danger whilst the unhappy disturbances exist in Ireland we are exposed to persons landing without the means of apprehending them. The town has entered into an Association to Guard &amp; Watch and persons armed keep a nightly watch in the town &amp; upon the Quay - but composed as it is of Individuals under no regulation &amp; unaccustomed to the use of Arms with the best intentions mischief may arise."</t>
  </si>
  <si>
    <t xml:space="preserve">July 1[1?]th 1798</t>
  </si>
  <si>
    <t xml:space="preserve">1798-07-11</t>
  </si>
  <si>
    <t xml:space="preserve">"a small Military force ... from Whitehaven or elsewhere"</t>
  </si>
  <si>
    <t xml:space="preserve">ROUTE: direct to HS. Same episode as the 18 Jul Curwen letter (HO 42/44 ff.48-49, logged above). Renewal of request first made before 23 Jun 1798. CHECK: day of month hard to read ('1st' or '11th'); docketed 13 Jul 1798, so 11 Jul assumed. Town armed watch association mentioned.</t>
  </si>
  <si>
    <t xml:space="preserve">HO42-0135</t>
  </si>
  <si>
    <t xml:space="preserve">HO-42-44_01.pdf</t>
  </si>
  <si>
    <t xml:space="preserve">56-57</t>
  </si>
  <si>
    <t xml:space="preserve">ff.48-49</t>
  </si>
  <si>
    <t xml:space="preserve">J. C. Curwen, Belle Isle, Kendal [Windermere], 18 Jul 1798, to Portland: "I cannot suffer your Grace to suppose by silence that the Cavalry sent to Whitehaven &amp; Mary-Port has answered any of the purposes for which I so pressingly requested some force to be stationed at Workington. The Port is so entirely unprotected by any sort of defence that the smallest force might at any time destroy the Shipping. The civil magistrate has no means of stopping any body who may land from Ireland. The armed association of the town without order proper arms or discipline serves to keep the minds of the Inhabitants quiet but would be inadequate to any kind of defence ... Permit me my Lord Duke to repeat the entreaties hitherto used that Government would give some attention of our Coast &amp; support to the Magistrates if their continuance to act as such is wished."</t>
  </si>
  <si>
    <t xml:space="preserve">July 18th 1798</t>
  </si>
  <si>
    <t xml:space="preserve">1798-07-18</t>
  </si>
  <si>
    <t xml:space="preserve">Belle Isle, Kendal (re Workington)</t>
  </si>
  <si>
    <t xml:space="preserve">"some force to be stationed at Workington" (repeat of earlier request)</t>
  </si>
  <si>
    <t xml:space="preserve">ROUTE: direct to HS. Repeat request: earlier request answered by cavalry sent to Whitehaven and Maryport, which writer says does not cover Workington. Fear of landings from Ireland (1798 rebellion); also mentions the town's armed association as ineffective. Writer is MP for Carlisle and a Workington magistrate (CHECK: role as magistrate inferred). Endorsed 17[?] Jul 1798 Dom. BORDERLINE (coast defence rather than riot), but explicit plea for military support to magistrates.</t>
  </si>
  <si>
    <t xml:space="preserve">HO42-0136</t>
  </si>
  <si>
    <t xml:space="preserve">E114</t>
  </si>
  <si>
    <t xml:space="preserve">ff.12-13</t>
  </si>
  <si>
    <t xml:space="preserve">D. Av[or]y [?], Northumberland Coffee House, 'Wednesday Noon' (docketed 28 Jul 1798), to W. Wickham: "I have made it my business to consult with some of the first persons of respectability in the City with respect to the Anti Jacobin Association; and I can assure you that the first step toward such a measure will be most heartily supported by the whole Body of Merchants and every person of Respectability in the City who is attached to the Constitution. Mr Alderman Price in an [libe]ral manner offered to come forward and use the utmost of his influence to establish such an Association. Godfrey Thornton Esqr, Geo. Woodford Thellusson Esqr, Thomas Raikes Esqr &amp; several other Gentlemen of equal respectability earnestly wish such a plan to be adopted."</t>
  </si>
  <si>
    <t xml:space="preserve">Wednesday Noon [docket 1798 July 28]</t>
  </si>
  <si>
    <t xml:space="preserve">1798-07-25</t>
  </si>
  <si>
    <t xml:space="preserve">Northumberland Coffee House [London]</t>
  </si>
  <si>
    <t xml:space="preserve">D. Avory [?] (signature unclear)</t>
  </si>
  <si>
    <t xml:space="preserve">William Wickham (Under-Secretary)</t>
  </si>
  <si>
    <t xml:space="preserve">BORDERLINE. Proposed loyalist 'Anti Jacobin Association' in the City; not stated to be armed. CHECK: Date (ISO) is the Wednesday before the 28 Jul docket (25 Jul) - inferred. Writer name uncertain.</t>
  </si>
  <si>
    <t xml:space="preserve">HO42-0137</t>
  </si>
  <si>
    <t xml:space="preserve">E115</t>
  </si>
  <si>
    <t xml:space="preserve">ff.23-24</t>
  </si>
  <si>
    <t xml:space="preserve">F. Holmes, Capt. commanding the Tottenham Volunteers, Tottenham, 29 Jul 1798: "I had it mention'd to me by some General Officer, that it was necessary to give the company the Oaths of Allegiance ... I proposed it to the committee last night &amp; found great Opposition to it from several, but in particular from Richd. Lee Esqr. Banker in Lombard Street Treasurer to the Company ... I request to know (by order of the above Magistrate) whether it wo[ul]d not be highly proper after such circumstances, as these Gentlemen declaring they wo[ul]d not take the oath of allegiance, either to compel them to do it, or, give up their Arms?"</t>
  </si>
  <si>
    <t xml:space="preserve">July 29th 1798</t>
  </si>
  <si>
    <t xml:space="preserve">1798-07-29</t>
  </si>
  <si>
    <t xml:space="preserve">Tottenham</t>
  </si>
  <si>
    <t xml:space="preserve">F. Holmes</t>
  </si>
  <si>
    <t xml:space="preserve">CHECK: "Sir" - addressed to the Secretary at War on the advice of Dr Jackson (magistrate) and Gen. Doyle, who recommended it to the Secretary of State</t>
  </si>
  <si>
    <t xml:space="preserve">None; asks whether to compel oath or disarm members</t>
  </si>
  <si>
    <t xml:space="preserve">ROUTE: volunteer officer, via Secretary at War/General Doyle to HO. Volunteer corps members refusing oath of allegiance; question of disarming them. Enclosure f.22 'from Mr Randall's of the 25th July 1798'. Outcome unknown.</t>
  </si>
  <si>
    <t xml:space="preserve">HO42-0138</t>
  </si>
  <si>
    <t xml:space="preserve">E116</t>
  </si>
  <si>
    <t xml:space="preserve">28-29</t>
  </si>
  <si>
    <t xml:space="preserve">ff.235-236</t>
  </si>
  <si>
    <t xml:space="preserve">Duke of Northumberland, Syon, 3 Sep 1798, to Portland: "As Your Grace in Your Letter of the 22nd of August last has said that You have laid before the King my Recommendation of several Gentlemen to be Officers in Volunteer Associations &amp;c, I think it incumbent upon me to repeat ... that altho' I have submitted to transmit to His Majesty's Ministers such Propositions and Papers as have been sent officially to me, since His Majesty did me the honor ... to accept my Resignation four Months ago, on the 2nd of May, yet I do so merely for the sake of the County, in order that the Public Business may not be totally at a stand."</t>
  </si>
  <si>
    <t xml:space="preserve">September 3rd 1798</t>
  </si>
  <si>
    <t xml:space="preserve">1798-09-03</t>
  </si>
  <si>
    <t xml:space="preserve">Syon</t>
  </si>
  <si>
    <t xml:space="preserve">Syon (re Northumberland county)</t>
  </si>
  <si>
    <t xml:space="preserve">Hugh Percy, 2nd Duke of Northumberland</t>
  </si>
  <si>
    <t xml:space="preserve">None (officer recommendations for volunteer associations)</t>
  </si>
  <si>
    <t xml:space="preserve">Context for D7: Northumberland resigned LL (2 May 1798) but still forwards volunteer association commissions. Writer at Syon (Middlesex), subject is Northumberland county. ROUTE: LL to HS. BORDERLINE.</t>
  </si>
  <si>
    <t xml:space="preserve">HO42-0139</t>
  </si>
  <si>
    <t xml:space="preserve">E117</t>
  </si>
  <si>
    <t xml:space="preserve">HO-42-45_03.pdf</t>
  </si>
  <si>
    <t xml:space="preserve">29-30</t>
  </si>
  <si>
    <t xml:space="preserve">ff.255-256</t>
  </si>
  <si>
    <t xml:space="preserve">Edw. Smith Godfrey, Town Clerk, Newark, 5 Oct 1798, to Portland: "I am directed by the Mayor of this Town to acquaint your Grace that a Box containing a Quantity of Swords now in the possession of a Carrier to be forwarded to Sheffield has been detained by order of the Mayor, on suspicion of their being intended for improper purposes ... the Waggoner informed the Porter at Newark that it contained Arms for the Printers &amp; Pressers [?] at Sheffield: besides which two other Boxes of a larger size have been passed from Grantham to the same persons at Sheffield within a week or ten days past &amp; more are expected ... I shall advise the Box to be detained till your Grace's directions are given respecting it."</t>
  </si>
  <si>
    <t xml:space="preserve">5 October 1798</t>
  </si>
  <si>
    <t xml:space="preserve">1798-10-05</t>
  </si>
  <si>
    <t xml:space="preserve">Newark (re Sheffield)</t>
  </si>
  <si>
    <t xml:space="preserve">Newark / Sheffield</t>
  </si>
  <si>
    <t xml:space="preserve">Edward Smith Godfrey</t>
  </si>
  <si>
    <t xml:space="preserve">BORDERLINE: suspected arms traffic (swords marked 'Mr Leicester', directed to Messrs Harrison &amp; Son, Sheffield) - fear of insurrectionary arming at Sheffield; no troops requested. Wilkinson (Sheffield magistrate) asked to enquire. ROUTE: town clerk on behalf of mayor, direct to HS. Docketed 30 Oct 1798 (sic). CHECK: 'Printers &amp; Pressers' reading uncertain.</t>
  </si>
  <si>
    <t xml:space="preserve">HO42-0140</t>
  </si>
  <si>
    <t xml:space="preserve">E118</t>
  </si>
  <si>
    <t xml:space="preserve">HO-42-45_05.pdf</t>
  </si>
  <si>
    <t xml:space="preserve">15-16</t>
  </si>
  <si>
    <t xml:space="preserve">ff.376-377</t>
  </si>
  <si>
    <t xml:space="preserve">Earl Fitzwilliam, Wentworth, 10 Oct 1798 ('Private'), to Portland: "It being possible, that the promise of commissions may be given by Gentlemen who undertake to raise Regiments, to Persons, without the knowledge of his Majesty's Ministers, I think it my duty in the office which I have the honor of holding under his Majesty in this Riding, to apprize your Grace, that Mr Yorke, who a few years ago was convicted of seditious practices in Sheffield, is lately arriv'd there, for the purpose of recruiting for the new Regiment of Col. Tyndale, in which, it is said, he is to hold a Captain's commission ... Sheffield ought not to be the place of his exertions in his country's service ... I have reason to believe that it has irritated &amp; agitated the minds of Men of all orders &amp; descriptions (of course in a different way) very considerably."</t>
  </si>
  <si>
    <t xml:space="preserve">Wentworth Oct 10. 98</t>
  </si>
  <si>
    <t xml:space="preserve">1798-10-10</t>
  </si>
  <si>
    <t xml:space="preserve">Wentworth (re Sheffield)</t>
  </si>
  <si>
    <t xml:space="preserve">William Wentworth-Fitzwilliam, 4th Earl Fitzwilliam</t>
  </si>
  <si>
    <t xml:space="preserve">"I have every reason to believe that the proper steps have been already taken to prevent every uneasiness which the supposed destination of Mr Redhead Yorke might have occasioned"</t>
  </si>
  <si>
    <t xml:space="preserve">1798-10-13</t>
  </si>
  <si>
    <t xml:space="preserve">CHECK: Portland (copy from Bulstrode)</t>
  </si>
  <si>
    <t xml:space="preserve">BORDERLINE. Henry Redhead Yorke (convicted radical) recruiting at Sheffield for Col. Tyndale's (Tyndall's) new regiment; LL warns it agitates the town. Reply: copy of Portland(?) letter from Bulstrode, 13 Oct 1798 (f.375) says 'proper steps have been already taken to prevent every uneasiness which the supposed destination of Mr Redhead Yorke might have occasioned'. Outcome: Approved (Yorke's appointment stopped/redirected - CHECK). ROUTE: LL direct to HS.</t>
  </si>
  <si>
    <t xml:space="preserve">HO42-0141</t>
  </si>
  <si>
    <t xml:space="preserve">E119</t>
  </si>
  <si>
    <t xml:space="preserve">72</t>
  </si>
  <si>
    <t xml:space="preserve">f.290</t>
  </si>
  <si>
    <t xml:space="preserve">Earl of Coventry, Croome, 11 Nov 1798, to Portland: "I have had the Honor to receive your Grace's Answer to my Letter respecting Colonel Newport's Application for the Completion of his Regiment, and am happy to say that it is perfectly in Unison with my own Sentiments."</t>
  </si>
  <si>
    <t xml:space="preserve">November 11th 1798</t>
  </si>
  <si>
    <t xml:space="preserve">1798-11-11</t>
  </si>
  <si>
    <t xml:space="preserve">Croome</t>
  </si>
  <si>
    <t xml:space="preserve">Worcestershire</t>
  </si>
  <si>
    <t xml:space="preserve">George William, 6th Earl of Coventry</t>
  </si>
  <si>
    <t xml:space="preserve">Completion of Col. Newport's regiment</t>
  </si>
  <si>
    <t xml:space="preserve">BORDERLINE. CHECK: nature of Col. Newport's regiment (militia/fencibles/volunteers) not stated; Coventry assumed LL of Worcestershire. ROUTE: LL to HS (reply to HS). Docketed 19 Nov 1798.</t>
  </si>
  <si>
    <t xml:space="preserve">HO42-0142</t>
  </si>
  <si>
    <t xml:space="preserve">E120</t>
  </si>
  <si>
    <t xml:space="preserve">f.282</t>
  </si>
  <si>
    <t xml:space="preserve">[Writer unnamed on this page], Appledore, 25 Nov 1798, to Portland: "Understanding some days since only that Government is employed in considering on a Subject with which I am not sufficiently acquainted, but for which Purpose I am Informed the North Coast of Devon is thought most proper &amp; convenient ... whether it be to lodge some Troops in this Port &amp; in its Neighbourhood, or ... for an Embarkation ... Concerning some Store Houses or Barracks erected [?] for Troops ... I can also point out a most excellent Site of Building the like with Conveniences for 3 full Regiments in perfect Safety."</t>
  </si>
  <si>
    <t xml:space="preserve">November 25th 1798</t>
  </si>
  <si>
    <t xml:space="preserve">1798-11-25</t>
  </si>
  <si>
    <t xml:space="preserve">Appledore</t>
  </si>
  <si>
    <t xml:space="preserve">CHECK: signature on following page not read</t>
  </si>
  <si>
    <t xml:space="preserve">Offers site for barracks/storehouses for up to 3 regiments (embarkation for Ireland)</t>
  </si>
  <si>
    <t xml:space="preserve">BORDERLINE: barracks site offer for embarkation of troops to Ireland/west coast, not tied to internal order. ROUTE: direct to HS. CHECK: writer and role not identified; continuation page not read.</t>
  </si>
  <si>
    <t xml:space="preserve">HO42-0143</t>
  </si>
  <si>
    <t xml:space="preserve">E121</t>
  </si>
  <si>
    <t xml:space="preserve">HO 42/49</t>
  </si>
  <si>
    <t xml:space="preserve">HO-42-49_01.pdf</t>
  </si>
  <si>
    <t xml:space="preserve">28-30</t>
  </si>
  <si>
    <t xml:space="preserve">ff.26-28</t>
  </si>
  <si>
    <t xml:space="preserve">John Latham, Mayor, Romsey, 26 Feb 1800: "The distresses of the Poor of Romsey &amp; its vicinity, are very severe, their discontent at the High Price of Food is extreme ... they are yet so clamorous for what they call their natural food, that we are apprehensive some serious Mischief may ensue." ... "the Volunteers, which consist of two Companies, have at the Request of the Inhabitants, with my Permission, formed a Patrole every night." Enclosed handbill (No.1): "Bakers and Bige Downs ... we dont care for your Volunteers that will not Put us in any fears".</t>
  </si>
  <si>
    <t xml:space="preserve">Feb 26 1800</t>
  </si>
  <si>
    <t xml:space="preserve">1800-02-26</t>
  </si>
  <si>
    <t xml:space="preserve">Romsey</t>
  </si>
  <si>
    <t xml:space="preserve">John Latham</t>
  </si>
  <si>
    <t xml:space="preserve">Portland ("My Lord Duke" / "Your Grace")</t>
  </si>
  <si>
    <t xml:space="preserve">None requested; local volunteers (2 companies) used as nightly patrol</t>
  </si>
  <si>
    <t xml:space="preserve">BORDERLINE. ROUTE: direct to HS. Volunteers deployed locally as night patrol after threatening handbills (posted 11 Feb) against bakers; mayor asks if 'any further mode of acting' is necessary. Threatening letters enclosed f.28 (No.3 demands expulsion of French from Romsey). Docket 26 Feb 1800. No request for regular troops.</t>
  </si>
  <si>
    <t xml:space="preserve">HO42-0144</t>
  </si>
  <si>
    <t xml:space="preserve">E122</t>
  </si>
  <si>
    <t xml:space="preserve">HO-42-49_06.pdf</t>
  </si>
  <si>
    <t xml:space="preserve">ff.359-360</t>
  </si>
  <si>
    <t xml:space="preserve">Leslie [CHECK name; commander of a yeomanry corps], Dorking, 7 Mar 1800, to Portland: "I ... am extremely happy to find that the Conduct of the Magistrates of this District has met with your Grace's approbation. It is with the utmost satisfaction I inform your Grace, that no disturbance whatever took place at Dorking yesterday, and tho' several Bodies of Labouring Men were proceeding to Dorking, yet having learnt that the Magistrates were then sitting, and were prepared to receive them with both Civil and Military assistance, they returned to their respective homes ... Several Poor however to a considerable amount applied to the Magistrates assembled at the Bench for Relief ... I shall on no account whatever fail to obey your Grace's Directions in having the Corps of Yeomanry, I have the Honor to command in readiness to assist the Civil Power at the shortest Notice."</t>
  </si>
  <si>
    <t xml:space="preserve">Dorking, March the 7th 1800 (event 6 Mar)</t>
  </si>
  <si>
    <t xml:space="preserve">1800-03-06</t>
  </si>
  <si>
    <t xml:space="preserve">Dorking</t>
  </si>
  <si>
    <t xml:space="preserve">Leslie (CHECK: possibly Lord Leslie)</t>
  </si>
  <si>
    <t xml:space="preserve">Yeomanry corps held ready ('Civil and Military assistance') at magistrates' sitting</t>
  </si>
  <si>
    <t xml:space="preserve">BORDERLINE. Labourers marching on Dorking bench for relief, 6 Mar 1800; magistrates arranged military (yeomanry) assistance in advance. Reply to Portland's letter approving magistrates' conduct (implies earlier Dorking letter, not found in this PDF - CHECK HO 42/49 earlier parts or HO 43). ROUTE: direct to HS. Date ISO = event date (letter 7 Mar). CHECK writer identity: signature 'Leslie'.</t>
  </si>
  <si>
    <t xml:space="preserve">HO42-0145</t>
  </si>
  <si>
    <t xml:space="preserve">E123</t>
  </si>
  <si>
    <t xml:space="preserve">HO-42-49_07.pdf</t>
  </si>
  <si>
    <t xml:space="preserve">39-41</t>
  </si>
  <si>
    <t xml:space="preserve">ff.429-431</t>
  </si>
  <si>
    <t xml:space="preserve">Lord Sydney, Grosvenor Square, 5 Apr 1800, to [John King]: "I gave the inclosure yesterday to the Duke of Portland, being a Letter to me from the Bench of Justices at Dartford ... Their Plan seems an excellent one. As to the Military Part, if we can not have other Light Dragoons, might not the Provisional Cavalry of Kent, raised at a grievous Expense by the County, be kept on Foot for this purpose? ... You know the Provisional Cavalry are converted into Fencible Regiments, and are to be reduced before the end of this Month. Save them for this purpose, if you can. The present State of the Highway and Footpad Robberys &amp;c is surely a disgrace to the Government." Enclosed, B. Hasenc [?], 2 Apr 1800: corn taken from Everest's barn, poultry stolen; 'A Considerable Number of the Royal Waggons are gone'.</t>
  </si>
  <si>
    <t xml:space="preserve">Gr. Square Ap: 5: 1800</t>
  </si>
  <si>
    <t xml:space="preserve">1800-04-05</t>
  </si>
  <si>
    <t xml:space="preserve">Dartford</t>
  </si>
  <si>
    <t xml:space="preserve">Lord Sydney (Thomas Townshend, 1st Viscount Sydney)</t>
  </si>
  <si>
    <t xml:space="preserve">CHECK: "Dear Sir" - probably John King, Under-Secretary; Dartford bench letter given to Portland</t>
  </si>
  <si>
    <t xml:space="preserve">Light dragoons, or else Provisional Cavalry of Kent kept embodied, to patrol against highway/footpad robberies near Dartford</t>
  </si>
  <si>
    <t xml:space="preserve">BORDERLINE: request concerns crime (highway/footpad robbery, thefts of corn/poultry) not riot; part of Feb-Apr 1800 HO scheme to station cavalry round London against robbers (see HO 42/49_06 ff.369-70). ROUTE: forwarded by peer (Sydney) on behalf of Dartford bench. Dartford justices' own letter not in this PDF (given to Portland). CHECK enclosure writer's name.</t>
  </si>
  <si>
    <t xml:space="preserve">HO42-0146</t>
  </si>
  <si>
    <t xml:space="preserve">E124</t>
  </si>
  <si>
    <t xml:space="preserve">HO-42-49_04.pdf</t>
  </si>
  <si>
    <t xml:space="preserve">12-16</t>
  </si>
  <si>
    <t xml:space="preserve">ff.206-209</t>
  </si>
  <si>
    <t xml:space="preserve">Richard Jesson, Commandant, West Bromwich Corps, West Bromwich, 18 Apr 1800, to Earl Gower: "The within threatening Letter was found by one of the W. Bromwich Corps in his Garden, the diabolical language contained in it speaks I fear too truly the real sentiments of many in this parish ... Many of the Privates have been individually threatned at Public houses, &amp; unless some steps are taken to protect the Associators from insults &amp; threats I fear they will withdraw themselves." Enclosed letter (April 1800): "we are about 44 in number now and well provided with weapons ... To the Private Men ... what they want you for is to protect their lives &amp; their lives and their ill gained property".</t>
  </si>
  <si>
    <t xml:space="preserve">18 Apr 1800 (date on letter could be read 'Feby'; postmark Apr 21 1800)</t>
  </si>
  <si>
    <t xml:space="preserve">1800-04-18</t>
  </si>
  <si>
    <t xml:space="preserve">Westbromwich</t>
  </si>
  <si>
    <t xml:space="preserve">West Bromwich</t>
  </si>
  <si>
    <t xml:space="preserve">Richard Jesson</t>
  </si>
  <si>
    <t xml:space="preserve">Earl Gower (Lord Lieutenant of Staffordshire), forwarded to Portland</t>
  </si>
  <si>
    <t xml:space="preserve">None; asks reward and handbills to protect volunteer associators</t>
  </si>
  <si>
    <t xml:space="preserve">BORDERLINE. Volunteers intimidated; commandant fears they will withdraw. ROUTE: forwarded by LL (Earl Gower). Docket 'to Earl Gower 18 April 1800'. CHECK: date read as 18 Feby on letter but postmark/docket April.</t>
  </si>
  <si>
    <t xml:space="preserve">HO42-0147</t>
  </si>
  <si>
    <t xml:space="preserve">E125</t>
  </si>
  <si>
    <t xml:space="preserve">26-28</t>
  </si>
  <si>
    <t xml:space="preserve">ff.216-218</t>
  </si>
  <si>
    <t xml:space="preserve">George Coldham, Town Clerk, for the Mayor, Nottingham, 25 Apr 1800: "On Saturday the 19th day of April Inst. a very considerable Tumult took place in Nottingham Market place under the pretext of the distresses which the Poor are suffering from the present high price of Provisions ... some delay took place, in consequence of the temporary absence of the Colonel of the Oxford Blues, in the appearance of the Military. Altho' the Nottingham Volunteer Infantry began immediately to assemble ... the Magistrates preferred the employment of the Cavalry, both on account of the superior utility of that Corps in suppressing Riots ... With the assistance of the Cavalry the tumult was soon suppressed, but not untill the Riot Act had been repeatedly read." Magistrates "have taken care to assure to themselves the assistance of the Military at any moment they may require it."</t>
  </si>
  <si>
    <t xml:space="preserve">April 25th 1800 (riot 19 Apr)</t>
  </si>
  <si>
    <t xml:space="preserve">1800-04-19</t>
  </si>
  <si>
    <t xml:space="preserve">George Coldham</t>
  </si>
  <si>
    <t xml:space="preserve">Oxford Blues (Royal Horse Guards) cavalry called in locally; volunteer infantry assembled but not used</t>
  </si>
  <si>
    <t xml:space="preserve">ROUTE: local request reported afterwards. Date ISO = date of riot (letter 25 Apr). Distinct from Nottingham Sep 1800 episode already logged. Encloses threatening letter to Jos. Oldknow grocer (f.218) threatening to burn Shambles/Exchange unless rioters released. 3 rioters sentenced at Sessions.</t>
  </si>
  <si>
    <t xml:space="preserve">HO42-0148</t>
  </si>
  <si>
    <t xml:space="preserve">E126</t>
  </si>
  <si>
    <t xml:space="preserve">48-50, 75-76</t>
  </si>
  <si>
    <t xml:space="preserve">ff.233-235, 254-255</t>
  </si>
  <si>
    <t xml:space="preserve">John E. Heathcote, Longton, 26 Apr 1800, to Earl Gower: "A great number of People have assembled together at Lane End Market to Day &amp; have seized every thing that came to the place ... finding that there was no hopes of Magisterial assistance, &amp; the Mob being in possession of a Waggon Load of Flour I was determined if possible to rescue it ... I trouble your Lordship with this to request you will apply for some immediate assistance ... I think it would be wise to station a Troop or even twenty Dragoons would do at Newcastle for some time as the Country is so extensive &amp; the Yeomanry so divided we cannot get out in time to prevent mischief tho' we should be out in time to support the Military if needful." Earl Gower, Arlington St, 28 Apr: forwards it, will delay answering "till I have Instructions from your Grace". Heathcote 30 Apr (f.254): "we have completely settled them ... No Regulars ever behaved better than the Lane End Volunteers have done"; "I have been ten Days without the assistance of Magistrates."</t>
  </si>
  <si>
    <t xml:space="preserve">April 26th 1800</t>
  </si>
  <si>
    <t xml:space="preserve">1800-04-26</t>
  </si>
  <si>
    <t xml:space="preserve">Longton / Lane End</t>
  </si>
  <si>
    <t xml:space="preserve">Longton (Lane End), Potteries</t>
  </si>
  <si>
    <t xml:space="preserve">John E. Heathcote (Lt Col, Staffordshire Volunteer Cavalry)</t>
  </si>
  <si>
    <t xml:space="preserve">Earl Gower (LL), forwarded to Portland ("My Lord" ... "Your Grace")</t>
  </si>
  <si>
    <t xml:space="preserve">A troop of dragoons, or at least 20 dragoons, to be stationed at Newcastle-under-Lyme</t>
  </si>
  <si>
    <t xml:space="preserve">ROUTE: forwarded by LL (Gower, 28 Apr, f.233). Writer says no magistrate assistance ('no hopes of Magisterial assistance'; 'ten Days without the assistance of Magistrates') -&gt; civil power inadequate Y. 'This is the third attempt in a very short time.' Riot then suppressed by Lane End volunteers (30 Apr letter direct to Portland, 'My Lord Duke'). Distinct from Potteries Nov 1800 episode already logged. Outcome unknown in this file.</t>
  </si>
  <si>
    <t xml:space="preserve">HO42-0149</t>
  </si>
  <si>
    <t xml:space="preserve">E127</t>
  </si>
  <si>
    <t xml:space="preserve">37, 80</t>
  </si>
  <si>
    <t xml:space="preserve">ff.225, 257</t>
  </si>
  <si>
    <t xml:space="preserve">William Walford, Mayor of Banbury, 27 Apr 1800: "I send you another incendiary Letter and altho I have no personal fear of what may happen to myself, yet I cannot see the Town in any other Light than that of Danger ... I have written to the Duke of Marlborough and sent him Copies of the Letters you have and I have no doubt but he will give proper Cautions to the Volunteer Corps within the County to be in readiness to Act, tho I hope to God there will not be any occasion for them." PS: chalked on church door "Cheap Bread or no King". Richard Williams, High Sheriff of Oxon, Neithrop, 28 Apr 1800: mayor raised bread price "but that no Mischief has arisen from it".</t>
  </si>
  <si>
    <t xml:space="preserve">27 Apr 1800</t>
  </si>
  <si>
    <t xml:space="preserve">1800-04-27</t>
  </si>
  <si>
    <t xml:space="preserve">William Walford</t>
  </si>
  <si>
    <t xml:space="preserve">CHECK: "Dear Sir" - probably John King, Under-Secretary</t>
  </si>
  <si>
    <t xml:space="preserve">County volunteer corps to be put in readiness (via Duke of Marlborough, LL)</t>
  </si>
  <si>
    <t xml:space="preserve">BORDERLINE (contingent request to LL for volunteers to be ready). ROUTE: local request (to LL) reported to HO. Distinct from Banbury Sep 1800 episode already logged. Second letter from High Sheriff Williams f.257 same episode.</t>
  </si>
  <si>
    <t xml:space="preserve">HO42-0150</t>
  </si>
  <si>
    <t xml:space="preserve">HO-42-49_05.pdf</t>
  </si>
  <si>
    <t xml:space="preserve">27-29</t>
  </si>
  <si>
    <t xml:space="preserve">ff.289-291</t>
  </si>
  <si>
    <t xml:space="preserve">William Turner, Lane End, 27 Apr 1800, to Earl Gower: "yesterday a very serious riot took place in this neighbourhood in consequence of the dearness and scarcity of provisions ... this neighbourhood being without a Magistrate the flour was at last taken from them by a body of the Neighbours assembled for their own protection, this mode cannot however be repeated, the rioters being now too numerous to be quelled by any civil power. We have in this neighbourhood Volunteer Corps adequate to the suppression of any riots, but unfortunately that force cannot be brought into effect so soon as required for want of a Magistrate on the Spot ... I have been with Sir J. E. Heathcote &amp; Capt. Spode of the Pottery Cavalry, who have both agreed to join with their respective Troops tomorrow." Earl Gower to Portland, 29 Apr: "I must beg to be informed by your Grace how I shall answer his question respecting his conduct in case of a Riot in the absence of a Magistrate."</t>
  </si>
  <si>
    <t xml:space="preserve">Lane End 27th April 1800</t>
  </si>
  <si>
    <t xml:space="preserve">Lane End</t>
  </si>
  <si>
    <t xml:space="preserve">William Turner</t>
  </si>
  <si>
    <t xml:space="preserve">Earl Gower (LL), forwarded to Portland 29 Apr</t>
  </si>
  <si>
    <t xml:space="preserve">Pottery Volunteer Cavalry troops (Heathcote's and Capt. Spode's) called out locally; need for a magistrate</t>
  </si>
  <si>
    <t xml:space="preserve">Same episode as Longton/Lane End 26 Apr row (A5, HO 42/49_04 ff.233-235). ROUTE: local request reported afterwards, forwarded by LL (Gower, f.291). CHECK: writer role - William Turner probably a Lane End potter/manufacturer. Also at ff.287-288 Heathcote to Gower 27 Apr: 'We have called out the Lane End Volunteers to day to know whether in case they are called upon they will act against their Relations &amp; Friends, they to a Man answered that they would. I have ordered the Yeomanry to assemble early in the Morn'; asks whether to act without a magistrate 'in case of actual violence offered to private property'; 'No Magistrate to be found'.</t>
  </si>
  <si>
    <t xml:space="preserve">HO42-0151</t>
  </si>
  <si>
    <t xml:space="preserve">E128</t>
  </si>
  <si>
    <t xml:space="preserve">HO 42/50</t>
  </si>
  <si>
    <t xml:space="preserve">HO-42-50_1.pdf</t>
  </si>
  <si>
    <t xml:space="preserve">0-1, 21</t>
  </si>
  <si>
    <t xml:space="preserve">ff.1-2, 18</t>
  </si>
  <si>
    <t xml:space="preserve">Sir John Wrottesley, Wolverhampton, 1 May 1800: "on Tuesday Morning the 29th Inst. a large Body of Colliers collected in the Neighbourhood of Bilstone &amp; Sedgley, &amp; proceeded to plunder several farm houses in the Adjacent Villages. Mr. Haden assisted by the Inniskillen Dragoons &amp; the Bilstone Association arrived at about one o'clock, &amp; the Mob dispersed upon seeing the Soldiers. Forty seven were taken into Custody ... We have a sufficient number of the Regulars with the Assistance of the Volunteer Corps to prevent a Mob continuing assembled for any time, but there has been a Riot at Stourbridge, another on Monday at Dudley, another at Newcastle, &amp; I hear that a large Body are now collected at Bewbridge [?] near Claverley in Shropshire." Asks for a Special Commission. 3 May (f.18): nineteen men and three women committed to Stafford gaol.</t>
  </si>
  <si>
    <t xml:space="preserve">Wolverhampton May first 1800 (riot Tues 29 Apr)</t>
  </si>
  <si>
    <t xml:space="preserve">1800-04-29</t>
  </si>
  <si>
    <t xml:space="preserve">Bilstone &amp; Sedgley</t>
  </si>
  <si>
    <t xml:space="preserve">Bilston / Sedgley</t>
  </si>
  <si>
    <t xml:space="preserve">Sir John Wrottesley</t>
  </si>
  <si>
    <t xml:space="preserve">Portland ("My Lord" ... "Yr. Grace")</t>
  </si>
  <si>
    <t xml:space="preserve">Inniskilling Dragoons and Bilston (volunteer) Association used locally</t>
  </si>
  <si>
    <t xml:space="preserve">ROUTE: local request reported afterwards. Date ISO = riot date. Distinct from Bilston Sep 1800 / Jun 1801 episodes already logged (CHECK whether coordinator wants to merge). Mentions further riots at Stourbridge, Dudley, Newcastle-under-Lyme (late Apr 1800) - not separately documented here. Follow-up: H. Haden? Bilston 10 May (f.48) on special commission for 22 rioters and Millers' restraining bill.</t>
  </si>
  <si>
    <t xml:space="preserve">HO42-0152</t>
  </si>
  <si>
    <t xml:space="preserve">E129</t>
  </si>
  <si>
    <t xml:space="preserve">43-44</t>
  </si>
  <si>
    <t xml:space="preserve">ff.39-40</t>
  </si>
  <si>
    <t xml:space="preserve">Thomas B. Bayley, Hope near Manchester, 8 May 1800, to John King: "I believe some of the Bolton Volunteers under the Command of Col. Ruthbotham (who went to London as a Delegate against the Weavers Bill) have expressed Displeasure against their Commander on that Account ... The 4th Dragoons, now at Manchester, are an ample Security for our Tranquillity without requiring any Visitation of the Volunteers. &amp; on a Rumour from Bolton on May 1st I prevailed on Col. Hugonin to detach 80 Dragoons to that Town where they now remain: And I learn to day that all is quiet at Bolton." "much of Sedition has mixed itself with the Weavers Petition &amp; Bill."</t>
  </si>
  <si>
    <t xml:space="preserve">Hope, near Manchester, May 8th 1800 (dragoons sent 1 May)</t>
  </si>
  <si>
    <t xml:space="preserve">1800-05-01</t>
  </si>
  <si>
    <t xml:space="preserve">Thomas Butterworth Bayley</t>
  </si>
  <si>
    <t xml:space="preserve">John King ("Dear Sir"), for Portland</t>
  </si>
  <si>
    <t xml:space="preserve">80 dragoons (4th Dragoons) detached from Manchester to Bolton</t>
  </si>
  <si>
    <t xml:space="preserve">ROUTE: local request (JP to Col. Hugonin) reported afterwards, in reply to HO letter of 5 May about R. Fletcher's letter. Context: weavers' petition/bill; Bolton volunteers discontented with commander (cf. later Bolton 1801 episode already logged - distinct). CHECK: colonel's name read 'Ruthbotham'/'Rasbotham'. CHECK disturbance type (weavers' wages / sedition).</t>
  </si>
  <si>
    <t xml:space="preserve">HO42-0153</t>
  </si>
  <si>
    <t xml:space="preserve">E130</t>
  </si>
  <si>
    <t xml:space="preserve">15-17</t>
  </si>
  <si>
    <t xml:space="preserve">ff.13-15</t>
  </si>
  <si>
    <t xml:space="preserve">Montagu Burgoyne, JP for Essex, 41 Lower Grosvenor St, 2 May 1800, to [John King]: "in the Parish of Harlow, near which place I reside, some very unpleasant symptoms of Discontent have appeared on account of the present high Price of Bread ... on Tuesday Evening last ... a fire broke out in the Barn of a Widow Woman Mrs Chaplin ... There is every reason to believe that it was purposely committed ... I beg leave to submit whether it may not be necessary to station some military in the Town of Harlow, &amp; especially because I know that notwithstanding the present scarcity ... the Overseers are afraid to make any alteration in the Quantity or Quality of the Bread given to the Poor unless they have sufficient Protection near them. I am well satisfied that my own Corps &amp; the other Volunteers in the Neighbourhood will be active when called on; but as the Members of the Corps are much dispersed, it would be a considerable time before their assistance could be obtained."</t>
  </si>
  <si>
    <t xml:space="preserve">May 2d 1800</t>
  </si>
  <si>
    <t xml:space="preserve">1800-05-02</t>
  </si>
  <si>
    <t xml:space="preserve">Harlow</t>
  </si>
  <si>
    <t xml:space="preserve">CHECK: "Sir" - John King (docket 'John King Esq')</t>
  </si>
  <si>
    <t xml:space="preserve">Some military to be stationed in Harlow</t>
  </si>
  <si>
    <t xml:space="preserve">ROUTE: direct to HO (Under-Secretary). Writer also commands a volunteer/yeomanry corps ('my own Corps'); his troop of yeomanry offers 50 gns reward for arsonist. Volunteers too dispersed to assemble quickly. Outcome unknown.</t>
  </si>
  <si>
    <t xml:space="preserve">HO42-0154</t>
  </si>
  <si>
    <t xml:space="preserve">3, 25-27</t>
  </si>
  <si>
    <t xml:space="preserve">ff.4, 22-24</t>
  </si>
  <si>
    <t xml:space="preserve">Wm Turner, Lane End, 29 Apr 1800, to Earl Gower: rioters "headed by a Woman ringing a Bell and many of them distinguished by blue ribbons ... began to plunder the Shops ... Sir J. E. Heathcote &amp; Capt. Spode's Troops of Cavalry, our Corps of Infantry immediately joining ... Seven of the ring Leaders were apprehended and sent to jail escorted by the Infantry". J. E. Heathcote, Longton, 4 May 1800, to Portland: "Two Troops of Horse are arrived at N. Castle wch I think absolutely necessary to keep this Neighbourhood quiet ... I see very clearly that the Volunteers cannot act without some Horse to protect them, the Lane End Drummers could not go their rounds untill the Yeomanry arrived. Would it not my Lord Duke be a proper permission for the Lane End people to Quarter one of the Troops now at N. Castle upon them?" 5 May (f.23): Lane End has "Eighty" public houses [?]; plan to release prisoners from Stafford gaol "as soon as the Militia leave Stafford"; "it is not at present safe to leave this Neighbourhood without a Military force."</t>
  </si>
  <si>
    <t xml:space="preserve">Longton May 4th 1800; May 5th 1800</t>
  </si>
  <si>
    <t xml:space="preserve">1800-05-04</t>
  </si>
  <si>
    <t xml:space="preserve">Lane End / Longton</t>
  </si>
  <si>
    <t xml:space="preserve">Sir John E. Heathcote (also Wm Turner 29 Apr)</t>
  </si>
  <si>
    <t xml:space="preserve">Portland ("My Lord Duke"); Turner to Earl Gower (LL)</t>
  </si>
  <si>
    <t xml:space="preserve">One of the two troops of horse now at Newcastle-under-Lyme to be quartered at Lane End; military force to be kept in district</t>
  </si>
  <si>
    <t xml:space="preserve">Same episode as A5 (Lane End/Longton Apr 1800, HO 42/49_04-05). Two troops of horse arrived at Newcastle (apparently in response to 26 Apr request). Request to KEEP/station troops. ROUTE: direct to HS (Heathcote) and forwarded by LL (Turner). Anonymous threatening letter from Newcastle post office 2 May (f.21) demanding release of prisoners sent to Stafford ('we will fight for it the last drop of our Blood').</t>
  </si>
  <si>
    <t xml:space="preserve">HO42-0155</t>
  </si>
  <si>
    <t xml:space="preserve">E131</t>
  </si>
  <si>
    <t xml:space="preserve">31-32</t>
  </si>
  <si>
    <t xml:space="preserve">ff.28-29</t>
  </si>
  <si>
    <t xml:space="preserve">Marquis of Buckingham, Stowe, 5 May 1800 [reading of day uncertain], to Portland: "Some symptoms of disorder founded on the recent rise in the price of bread ... had appeared in the neighbourhood of Stony Stratford ... the large body of workmen employed in cutting the Grand Junction Canal, had been excited to disturb the peace ... On Sunday morning a considerable number of these people had commenced a riot at a village about four miles from Stratford ... the numbers of these rioters increasing, &amp; threatening a reinforcement of some hundreds to assist in their riot; I judged it expedient to order a detachment of the Buckingham Armed Yeomanry to assemble; &amp; in twelve minutes after they were called by their trumpet the enclosed numbers marched from Buckingham ... Six of the rioters are committed for trial." Requests allowances for the detachment.</t>
  </si>
  <si>
    <t xml:space="preserve">Stowe May 5th [?] 1800 (riot Sunday 4 May)</t>
  </si>
  <si>
    <t xml:space="preserve">near Stony Stratford</t>
  </si>
  <si>
    <t xml:space="preserve">Stony Stratford (village c.4 miles away)</t>
  </si>
  <si>
    <t xml:space="preserve">George Nugent-Temple-Grenville, Marquis of Buckingham</t>
  </si>
  <si>
    <t xml:space="preserve">Detachment of Buckingham Armed Yeomanry called out by LL</t>
  </si>
  <si>
    <t xml:space="preserve">ROUTE: local call-out reported afterwards. Rioters = Grand Junction Canal navvies. CHECK: Buckingham was LL of Bucks; he acted on own authority after inhabitants applied to a magistrate. Asks Portland to pay yeomanry allowances. Date ISO = riot (Sunday, CHECK 4 May).</t>
  </si>
  <si>
    <t xml:space="preserve">HO42-0156</t>
  </si>
  <si>
    <t xml:space="preserve">E132</t>
  </si>
  <si>
    <t xml:space="preserve">HO-42-50_2.pdf</t>
  </si>
  <si>
    <t xml:space="preserve">47-48</t>
  </si>
  <si>
    <t xml:space="preserve">ff.108-109</t>
  </si>
  <si>
    <t xml:space="preserve">John Massey, Newcastle[-under-Lyme], 6 May 1800, to [Earl Gower?]: "in consequence of a Riot in the Potteries on Monday the 28th ult. an application has been made by some Person to the Secretary at War, for the quartering a party of Soldiers in this Town and on Friday last a part of the 6th or Inniskilling Dragoons marched in here from Birmingham, which is certainly a peculiar and great hardship to the [publicans] ... since the 28th Ult every part of the Neighbourhood has been perfectly quiet, so that there is not the smallest pretence for sending regular Troops ... I believe many of the Volunteers feel much hurt at the Regulars being sent for, which if persisted in upon trivial matters may prove injurious to the volunteer service as they conceive themselves suspected either of Incompetency or Integrity."</t>
  </si>
  <si>
    <t xml:space="preserve">Newcastle May 6th 1800</t>
  </si>
  <si>
    <t xml:space="preserve">1800-05-06</t>
  </si>
  <si>
    <t xml:space="preserve">Newcastle</t>
  </si>
  <si>
    <t xml:space="preserve">Newcastle-under-Lyme</t>
  </si>
  <si>
    <t xml:space="preserve">John Massey (on behalf of Newcastle publicans; served with volunteer horse escort)</t>
  </si>
  <si>
    <t xml:space="preserve">CHECK: "My Lord" ... "your Lordship" - not Portland; probably Earl Gower (LL), forwarded</t>
  </si>
  <si>
    <t xml:space="preserve">Asks for RECALL of Inniskilling Dragoons quartered at Newcastle</t>
  </si>
  <si>
    <t xml:space="preserve">Request to REMOVE troops (counter-request). Same district as Lane End/Potteries episode A5: these are presumably the troops requested by Heathcote. Volunteers resent regulars being sent. ROUTE: forwarded (CHECK by LL). Docket 16 May 1800.</t>
  </si>
  <si>
    <t xml:space="preserve">HO42-0157</t>
  </si>
  <si>
    <t xml:space="preserve">E133</t>
  </si>
  <si>
    <t xml:space="preserve">50-51</t>
  </si>
  <si>
    <t xml:space="preserve">ff.111-112</t>
  </si>
  <si>
    <t xml:space="preserve">J. Bowen [CHECK], Bath, 17 May 1800, to [John King]: "It was to the high Price of this necessary Article [potatoes] that a Disturbance took place here on the 7th ... In the Afternoon a Mob assembled about the House of a Man who was a Dealer in Potatoes &amp; who lived out of the Mayor's Jurisdiction ... Immediately I headed the Volunteers &amp; assisted by Mr Acland we proceeded to the Spot where the Rioters were pillaging a Gardiner's Stock of Potatoes at Lambridge ... we took a few Prisoners &amp; dispersed the whole over the adjoining Fields - by this Time Captn Wiltshire's Company of Horse arrived ... Military Parties patrolled the City &amp; its vicinity, and by 4 o'clock in the Morning all was quiet."</t>
  </si>
  <si>
    <t xml:space="preserve">Bath May 17th 1800 (disturbance 7 May)</t>
  </si>
  <si>
    <t xml:space="preserve">1800-05-07</t>
  </si>
  <si>
    <t xml:space="preserve">Bath / Lambridge</t>
  </si>
  <si>
    <t xml:space="preserve">Bath (Lambridge)</t>
  </si>
  <si>
    <t xml:space="preserve">J. Bowen (CHECK signature)</t>
  </si>
  <si>
    <t xml:space="preserve">CHECK: "Sir" - probably John King; docket mentions Earl Gower?</t>
  </si>
  <si>
    <t xml:space="preserve">Volunteers (infantry) led by writer; Capt. Wiltshire's company of (volunteer) horse; military night patrols</t>
  </si>
  <si>
    <t xml:space="preserve">ROUTE: local call-out reported afterwards. Writer is a county JP acting outside mayor's jurisdiction (CHECK role). Mentions 1780 Bath riot veteran; anonymous threatening letters received. Distinct from Mar 1800 Bath brewery arson (HO 42/49_07).</t>
  </si>
  <si>
    <t xml:space="preserve">HO42-0158</t>
  </si>
  <si>
    <t xml:space="preserve">24, 43</t>
  </si>
  <si>
    <t xml:space="preserve">ff.87, 104</t>
  </si>
  <si>
    <t xml:space="preserve">Portland [copy] to A. B. Haden, Bilston, Whitehall 14 May 1800: "whatever tends to disturb the publick tranquillity by rendering the Persons or Property of Individuals insecure ... can only aggravate the evil." Haden reply, Bilston 16 May 1800: "the labouring Poor (of which there are I presume 50,000 at least in this Neighbourhood)" ... "more than forty Wheat Ricks were conveyed into the Barns in the Parish of Worfield in Shropshire during the three Days of the late Riots".</t>
  </si>
  <si>
    <t xml:space="preserve">14 &amp; 16 May 1800</t>
  </si>
  <si>
    <t xml:space="preserve">1800-05-16</t>
  </si>
  <si>
    <t xml:space="preserve">A. B. Haden (and Portland's reply)</t>
  </si>
  <si>
    <t xml:space="preserve">Portland ("My Lord" ... "your Grace")</t>
  </si>
  <si>
    <t xml:space="preserve">BORDERLINE / background. Same episode as A8 (Bilston/Sedgley colliers' riots, 29 Apr 1800). HO reply rebukes magistrate sympathetic to rioters' grievance (withholding of corn). Haden was the magistrate who led the Inniskilling Dragoons on 29 Apr (f.1). Included for the reply; coordinator may drop.</t>
  </si>
  <si>
    <t xml:space="preserve">HO42-0159</t>
  </si>
  <si>
    <t xml:space="preserve">E134</t>
  </si>
  <si>
    <t xml:space="preserve">HO-42-50_6.pdf</t>
  </si>
  <si>
    <t xml:space="preserve">26-27, 57-58</t>
  </si>
  <si>
    <t xml:space="preserve">ff.335-336, 365-366</t>
  </si>
  <si>
    <t xml:space="preserve">Thomas Ruggles JP, Finchingfield, Essex, 24 Jun 1800: treasonable papers read at the dissenting meeting house at Finchingfield and found in churches of Old Sampford, New Sampford and Great Bardfield; at Bardfield fair "the gentlemen of the neighbourhood ... were considerably alarmed as they had some intimations given them of some disturbance intended in the neighbourhood ... and desired me as the nearest Magistrate to write to the Commanding Officer of the district at Chelmsford ... the commanding Officers of two Associations of Yeoman Cavalry in the neighbourhood viz. Mr Pepper at Bardfield &amp; Mr Allen Taylor at Wimbish ... have engaged to hold themselves in readiness in case any disturbance happens." Ruggles, Spains Hall, [4] &amp; 6 Jul 1800: the commanding officers of the three yeoman cavalry corps (Pepper of Dunmow, Taylor of Wimbish, Todd of Stambourne) "believe their Corps quite adequate to repress immediately any tumult or riot ... but that should there appear any necessity for further assistance they will request me to communicate the circumstance to your Grace and to the Commanding Officer of the district".</t>
  </si>
  <si>
    <t xml:space="preserve">Finchingfield Essex June 24 1800; Spains Hall July 6 1800</t>
  </si>
  <si>
    <t xml:space="preserve">1800-06-24</t>
  </si>
  <si>
    <t xml:space="preserve">Finchingfield / Great Bardfield</t>
  </si>
  <si>
    <t xml:space="preserve">Finchingfield (and Great Bardfield, Sampfords, Thaxted)</t>
  </si>
  <si>
    <t xml:space="preserve">Thomas Ruggles</t>
  </si>
  <si>
    <t xml:space="preserve">Portland ("My Lord Duke" ... "your Grace")</t>
  </si>
  <si>
    <t xml:space="preserve">Wrote to commanding officer of district (Chelmsford) to warn; yeomanry cavalry (Bardfield, Wimbish, Dunmow, Stambourne) held in readiness</t>
  </si>
  <si>
    <t xml:space="preserve">BORDERLINE (warning to district commander + yeomanry readiness; no regular troops actually requested). Treasonable/incendiary papers in churches amid scarcity; parishes offer rewards (Finchingfield £20 etc.). Portland replied 29 Jun (referred to in 6 Jul letter). ROUTE: direct to HS; local contact with military reported. CHECK disturbance type (papers likely food-related as well as seditious).</t>
  </si>
  <si>
    <t xml:space="preserve">HO42-0160</t>
  </si>
  <si>
    <t xml:space="preserve">E135</t>
  </si>
  <si>
    <t xml:space="preserve">HO-42-50_7.pdf</t>
  </si>
  <si>
    <t xml:space="preserve">4-5</t>
  </si>
  <si>
    <t xml:space="preserve">ff.377-378</t>
  </si>
  <si>
    <t xml:space="preserve">Edward Gilbert, Clerk, JP for Cornwall, Bodmin, 8 Jul 1800, transmits information of Thomas Hext [?], convict, against John Reynolds, alleging a combination of 'more than an hundred men' to seize the powder magazine near Bodmin. "I thought however my duty to give this information to your Grace especially as mention is made of the death of his Majesty, and of a general rebellion about to take place this month." "I have communicated it to Lieut Col: [Hatter?] commanding the troops here, who has taken the necessary precautions."</t>
  </si>
  <si>
    <t xml:space="preserve">Bodmin July 8th 1800</t>
  </si>
  <si>
    <t xml:space="preserve">1800-07-08</t>
  </si>
  <si>
    <t xml:space="preserve">Bodmin</t>
  </si>
  <si>
    <t xml:space="preserve">Edward Gilbert</t>
  </si>
  <si>
    <t xml:space="preserve">Portland ("My Lord" / "your Grace")</t>
  </si>
  <si>
    <t xml:space="preserve">None requested; local troops commander informed and took precautions to guard powder magazine</t>
  </si>
  <si>
    <t xml:space="preserve">BORDERLINE. ROUTE: magistrate informed local troop commander, reported afterwards to HS. Writer doubts the information ('a fabrication'). Docket 7 Jul 1800 Dom. Plot also to seize guns in park of artillery.</t>
  </si>
  <si>
    <t xml:space="preserve">HO42-0161</t>
  </si>
  <si>
    <t xml:space="preserve">E136</t>
  </si>
  <si>
    <t xml:space="preserve">19-20</t>
  </si>
  <si>
    <t xml:space="preserve">ff.390-391</t>
  </si>
  <si>
    <t xml:space="preserve">Thomas Beevor jun., Old Buckenham, Norfolk, 10 Jul 1800, answering HS letter: "at present every Appearance of Discontent and Tumult have wholly subsided and I trust from the Vigorous Measures pursued that we shall have no more riotous Meetings." On the incendiary paper at South Lopham: owners "cooled as to a Subscription" once danger was over. "The Country are much indebted to your Grace for recommending the Cavalry into the Neighbourhood whose Peacable, and quiet Demeanor, have gained the goodwill of the District. Should hereafter any new Commotion arise I shall immediately advertise your Grace thereof."</t>
  </si>
  <si>
    <t xml:space="preserve">Old Buckenham Norfolk July 10th</t>
  </si>
  <si>
    <t xml:space="preserve">1800-07-10</t>
  </si>
  <si>
    <t xml:space="preserve">Old Buckenham / South Lopham</t>
  </si>
  <si>
    <t xml:space="preserve">Old Buckenham</t>
  </si>
  <si>
    <t xml:space="preserve">Thomas Beevor jun.</t>
  </si>
  <si>
    <t xml:space="preserve">Cavalry sent into neighbourhood on HS recommendation</t>
  </si>
  <si>
    <t xml:space="preserve">BORDERLINE: cavalry sent at HS's recommendation after riotous meetings; original request (if any) not in this part, CHECK earlier HO 42/50 parts and HO 43 (June-July 1800). CHECK: writer role inferred (magistrate). CHECK: disturbance type inferred (tumult, incendiary paper, subscription suggests provisions). Docket 9 Jul 1800 Dom.</t>
  </si>
  <si>
    <t xml:space="preserve">HO42-0162</t>
  </si>
  <si>
    <t xml:space="preserve">E137</t>
  </si>
  <si>
    <t xml:space="preserve">HO-42-50_9.pdf</t>
  </si>
  <si>
    <t xml:space="preserve">ff.552-553</t>
  </si>
  <si>
    <t xml:space="preserve">E. Monckton, Somerford [Staffs], 'Sunday Morn. 2 o'clock' [31 Aug 1800]: "At half past Eleven this night I received an Express from Sr. John Wrottesley informing me that he had received certain advice that the whole body of Colliers were uniting, and desiring that I would meet him at Wolverhampton, &amp; forward a letter from him to the Commanding Officer of the Troop belonging to the 17th Light Dragoons at Stafford which I have accordingly done &amp; another for my own Troop &amp; St. Nigel[?]" ... "I have just received an answer from the Commanding Officer of the 17th Regt. at Stafford saying that disturbances having broke out in that Town he did not think it prudent to leave it" ... "I have made the Millers send off early this morning to Bilstone 4 load of Flour" ... "If Troops can be spared from the Acct. Your Lordship will receive from Wolverhampton You will see the necessity of sending a few more" ... "I have recommended to Sr. John to send to Worcester, where there are many Troops."</t>
  </si>
  <si>
    <t xml:space="preserve">Somerford Sunday Morn. 2 o'clock (docket 31 Aug 1800)</t>
  </si>
  <si>
    <t xml:space="preserve">Somerford / Wolverhampton / Bilstone / Stafford</t>
  </si>
  <si>
    <t xml:space="preserve">E. Monckton (Edward Monckton of Somerford)</t>
  </si>
  <si>
    <t xml:space="preserve">CHECK: "My Lord" / "Your Lordship" - not Portland; probably Lord Gower (Lord Lieutenant), forwarded to HO</t>
  </si>
  <si>
    <t xml:space="preserve">Troop of 17th Light Dragoons from Stafford (refused, disturbances at Stafford); writer's own yeomanry troop; 'a few more' troops; recommends sending to Worcester</t>
  </si>
  <si>
    <t xml:space="preserve">ROUTE: local requests (Wrottesley via Monckton to 17th LD at Stafford; recommendation to send to Worcester) reported afterwards to peer/LL and forwarded to HS. Same episode as existing Bilston (Sep 1800) row - CHECK HO42 row id. Also reports disturbance at Stafford town itself (c.100 collected). Mentions Maj-Gen Nichols (Liverpool) told Lord Gower Staffordshire taken from his command, 'never informed under whose Command it was placed'. CHECK: writer role (Monckton commanded a yeomanry troop - 'my own Troop'). Docket: 'Mr Monckton, Somerford 31 Aug 1800' (enclosure). Coordinator: kept as separate episode from the Bilston row of 30 Sep-1 Oct 1800 (HO42-0109), a month later.</t>
  </si>
  <si>
    <t xml:space="preserve">HO42-0163</t>
  </si>
  <si>
    <t xml:space="preserve">ff.547-548</t>
  </si>
  <si>
    <t xml:space="preserve">W. Watson, Mansfield, 31 Aug 1800: "a Mob had assembled last Night at Mansfield in a very riotous Manner and seemed determined on General Mischief. I was sent for about 12 o'clock in the Night, in order to make the Proclamation, under the Act - But upon an apprehension of my arrival they had dispersed" ... "The want of Flour, and the high price of it, I understand to be their complaint. I am very sorry to add, that Mr Wragg (who is the Lieut. of the Infantry) is somewhat hurt, with a Stone - and several others of the Corps, still more so - Their knowledge of no Magistrate residing in Town, encouraged them - Nay they even told them, 'they dare not Fire, till the Proclamation was read'" ... "The Infantry I understand behaved with great temper, and yet with a firmness necessary on such occasions."</t>
  </si>
  <si>
    <t xml:space="preserve">Mansfield August 31st 1800</t>
  </si>
  <si>
    <t xml:space="preserve">Portland ("My Lord Duke" / "your Grace")</t>
  </si>
  <si>
    <t xml:space="preserve">None requested; local volunteer infantry corps acted against mob</t>
  </si>
  <si>
    <t xml:space="preserve">Same episode as existing Mansfield 1800 row - CHECK whether this exact letter is already logged (possible duplicate). Logged as Other: volunteer infantry used, no magistrate resident in town (civil weakness). ROUTE: direct to HS, report afterwards. Docket 31 Aug 1800, writer Rev? 'W Watson' - CHECK role (came to read Riot Act, so magistrate). Coordinator: different letter (31 Aug) from HO42-0091 (1 Sep); same episode E76.</t>
  </si>
  <si>
    <t xml:space="preserve">HO42-0164</t>
  </si>
  <si>
    <t xml:space="preserve">E138</t>
  </si>
  <si>
    <t xml:space="preserve">HO 42/61</t>
  </si>
  <si>
    <t xml:space="preserve">HO-42-61_01.pdf</t>
  </si>
  <si>
    <t xml:space="preserve">ff.1-2</t>
  </si>
  <si>
    <t xml:space="preserve">A. Graham, Wolverhampton, Thursday 1 Jan 1801, to John King: "Lieut Col White of the East Suffolk Militia and Lieut Ellings of the 17th Light Dragoons (the two commandants of Horse and foot quartered here)" ... "I have succeeded in establishing a certain and expeditious mode of conveying intelligence ... to the neighbouring magistrates by means of the Light Horse whose commanding officer ... will hold some of his most careful men always at Mr Haden's disposal as messengers" ... "I have recommended to him to enroll twenty or thirty or more of the principal Inhabitants as special Constables to ... keep the peace of the Town whilst he attends the Military wherever their assistance may be required." Mr Vernon and Mr Monckton "feel themselves perfectly secure by having so many of the Kings Troops about them" ... "The case is reversed with regard to the volunteers of this place who are certainly very little to be depended on" [cavalry lieutenant Brooke 'an arrant Jacobin'].</t>
  </si>
  <si>
    <t xml:space="preserve">Wolverhampton Thursday 1 January 1801</t>
  </si>
  <si>
    <t xml:space="preserve">1801-01-01</t>
  </si>
  <si>
    <t xml:space="preserve">Aaron Graham (police magistrate sent by HO)</t>
  </si>
  <si>
    <t xml:space="preserve">John King (Under-Secretary, "Sir")</t>
  </si>
  <si>
    <t xml:space="preserve">None; East Suffolk Militia and troop of 17th Light Dragoons already quartered in Wolverhampton; LD used as express messengers for magistrates</t>
  </si>
  <si>
    <t xml:space="preserve">BORDERLINE / context. HO agent's report on troops stationed at Wolverhampton after the Dec 1800 food disturbances/peace-petition requisition; volunteers (Wolverhampton cavalry) unreliable - 'very little to be depended on'. Related: Haden (Bilston JP) letters 29 Dec 1800 &amp; 8 Jan 1801 (ff.21, 48-49) thanking HS, Graham's presence gave 'so complete a Check to the Intentions of the Requisitionists'. CHECK: Graham identity (Aaron Graham, Bow St). Possibly same episode as Bilston/Wolverhampton 1800 rows.</t>
  </si>
  <si>
    <t xml:space="preserve">HO42-0165</t>
  </si>
  <si>
    <t xml:space="preserve">E139</t>
  </si>
  <si>
    <t xml:space="preserve">57-59</t>
  </si>
  <si>
    <t xml:space="preserve">ff.42-44</t>
  </si>
  <si>
    <t xml:space="preserve">T. Willcock, Mayor, Bideford, 6 Jan 1801: "I think it my Duty as the chief Magistrate of this Town, to inform your Grace, that several anonymous and inflammatory papers have been lately fixed up and dropped in various parts of this Town, threatening the lives and property of the Inhabitants" ... "I shall continue to employ my utmost Endeavors ... for the preservation of the peace of this Town as far as my Authority as a civil Magistrate will enable me to do so. At the same time I beg leave to submit it to the Wisdom of Government how far they may think my Exertions may be effectual, or whether they may judge it right to adopt any other Measures, by way of Precaution, such as by sending some Military Force or otherwise especially as I understand papers of the same riotous tendency have been lately dispersed in the neighbouring Town of Barnstaple."</t>
  </si>
  <si>
    <t xml:space="preserve">Bideford 6th January 1801</t>
  </si>
  <si>
    <t xml:space="preserve">1801-01-06</t>
  </si>
  <si>
    <t xml:space="preserve">Bideford</t>
  </si>
  <si>
    <t xml:space="preserve">T. Willcock</t>
  </si>
  <si>
    <t xml:space="preserve">'some Military Force' by way of precaution (unspecified)</t>
  </si>
  <si>
    <t xml:space="preserve">ROUTE: direct to HS. Tentative pre-emptive request after threatening papers (enclosed copy f.44 threatens parson re 'short Lowance of Bread'). Mentions Barnstaple papers too. Docket 'Bideford 6 Jan 1801, The Mayor, Rec'd ...' - reply not seen. Outcome Unknown.</t>
  </si>
  <si>
    <t xml:space="preserve">HO42-0166</t>
  </si>
  <si>
    <t xml:space="preserve">E140</t>
  </si>
  <si>
    <t xml:space="preserve">ff.71-72</t>
  </si>
  <si>
    <t xml:space="preserve">Wm. Huddleston [?] and John Sarjeant [?], acting magistrates, Whitehaven, 18 Jan 1801: "whilst attending the Quarter Sessions at Cockermouth, we were sent for by Express to return to this place, on Tuesday last, in order to assist in dispersing a very large concourse of People, which had assembled to prevent a considerable Quantity of Oatmeal and other Provisions being sent off to Liverpool" ... "in case the Cargo should be re-shipped, we are apprehensive of a very great Riot taking place, the more so, as several anonymous Hand Bills have been stuck up this Morning to call the People together." "We are willing at all events to do our Duty as Magistrates".</t>
  </si>
  <si>
    <t xml:space="preserve">Whitehaven 18th Jany 1801</t>
  </si>
  <si>
    <t xml:space="preserve">1801-01-18</t>
  </si>
  <si>
    <t xml:space="preserve">Whitehaven</t>
  </si>
  <si>
    <t xml:space="preserve">Wm. Huddleston [?] and John Sarjeant [?]</t>
  </si>
  <si>
    <t xml:space="preserve">None requested</t>
  </si>
  <si>
    <t xml:space="preserve">BORDERLINE: food riot (oatmeal export) reported and further 'very great Riot' feared; no explicit request for troops - apprehension may imply HO send force. ROUTE: direct to HS. Docket 16 Jan 1801 Dom (letter dated 18th; CHECK date). Signatures partly illegible.</t>
  </si>
  <si>
    <t xml:space="preserve">HO42-0167</t>
  </si>
  <si>
    <t xml:space="preserve">E141</t>
  </si>
  <si>
    <t xml:space="preserve">HO-42-61_02.pdf</t>
  </si>
  <si>
    <t xml:space="preserve">34-36</t>
  </si>
  <si>
    <t xml:space="preserve">ff.107-109</t>
  </si>
  <si>
    <t xml:space="preserve">Francis Gregor, Trewarthenick near Grampound, 31 Jan 1801: on 26 Jan at Tregony "I heard that certain bodies of Tinners were dispersed thro the parishes within the division where I act as a Magistrate making contracts, some peaceably, some by threats, with the farmers for corn" ... "I conceived however that it was my duty to take measures to prevent such proceedings by the civil authority protected by a military force" ... "my Brother (the Revd W. Gregor) and the Revd Jeremiah Trist, Magistrates acting with me had dispatched letters to the commanding officer at Truro requesting assistance" ... "I took measures on the evening of the 27th to call on the Volunteers at Tregony" ... "The volunteers in the mean time were mutinous and disorderly in the extreme" [Middlecoat: 'the farmers ought to furnish the volunteers with Corn at a reduced price']. "We have written to Major General Hornecks [?] who has in the most obliging manner promised us every possible assistance, and we have still sufficient force from among the volunteers of Captn Coffin's company."</t>
  </si>
  <si>
    <t xml:space="preserve">Trewarthenick near Grampound Cornwall Jan 31st 1801</t>
  </si>
  <si>
    <t xml:space="preserve">1801-01-31</t>
  </si>
  <si>
    <t xml:space="preserve">Tregony / Ruan Lanihorne / Veryan</t>
  </si>
  <si>
    <t xml:space="preserve">Tregony</t>
  </si>
  <si>
    <t xml:space="preserve">F. Gregor (Francis Gregor)</t>
  </si>
  <si>
    <t xml:space="preserve">Assistance requested from commanding officer at Truro (26 Jan); two companies of Tregony Volunteers called out; Maj-Gen promised 'every possible assistance'</t>
  </si>
  <si>
    <t xml:space="preserve">Logged as Other because the request for troops was local (to Truro commander and Maj-Gen) and reported afterwards; coordinator may reclassify as Request for troops (local request reported). ROUTE: local request reported afterwards to HS. Volunteers MUTINOUS: one company under Hoskyn and Middlecoat sympathetic to tinners' 'reduced price'. Magistrates declared forced contracts void. Writer is MP for Cornwall (CHECK role: also MP / peer). Maj-Gen name uncertain [Hornecks?]. Docket 28 Jan 1801? on f.106; follow-up letter 5 Feb (ff.110-111) logged separately.</t>
  </si>
  <si>
    <t xml:space="preserve">HO42-0168</t>
  </si>
  <si>
    <t xml:space="preserve">37-38</t>
  </si>
  <si>
    <t xml:space="preserve">ff.110-111</t>
  </si>
  <si>
    <t xml:space="preserve">F. Gregor, Trewarthenick, 5 Feb 1801: "I have enclosed certain further depositions relative to the behaviour of the Tregony Volunteers on the 28th of January last" ... on Saturday 31st the tinners again came; "the Volunteers under Captn Coffin should attend at King Harry passage to prevent any proceedings contrary to the public peace" ... "On Sunday General Hornecks [?] sent up the Pelican Gun boat from Falmouth and an armed Chasse Marie to Ruan for Tuesday the 3d when we expected the greatest number of Tinners" ... Trist, W. Gregor, Admiral [Reeve?] and writer attended "with Captn Coffin's volunteers, which together with the armed vessels were sufficient to repel any force the Tinners might bring forward" ... "we have thought it necessary to detain the Gun Vessel and the Chasse Marie for a few days till all is quite quiet."</t>
  </si>
  <si>
    <t xml:space="preserve">Trewarthenick nr Grampound Feb 5th [1801]</t>
  </si>
  <si>
    <t xml:space="preserve">1801-02-05</t>
  </si>
  <si>
    <t xml:space="preserve">Tregony / King Harry passage / Ruan</t>
  </si>
  <si>
    <t xml:space="preserve">Gun boat Pelican and armed chasse-marée sent from Falmouth by General; Tregony volunteers; magistrates kept vessels a few days (request to KEEP)</t>
  </si>
  <si>
    <t xml:space="preserve">Same episode as B8 (Gregor 31 Jan). Naval force used against tinners. Docket: 'Mr Gregor, Ansd 6th Feby' and 'Inclosures given back to Mr Gregor the 21 Feby' (f.109v/110 cover). Outcome: armed vessels sent (local).</t>
  </si>
  <si>
    <t xml:space="preserve">HO42-0169</t>
  </si>
  <si>
    <t xml:space="preserve">E142</t>
  </si>
  <si>
    <t xml:space="preserve">80</t>
  </si>
  <si>
    <t xml:space="preserve">f.146</t>
  </si>
  <si>
    <t xml:space="preserve">Conn. Pyts [?] and Chris. Whitehead, magistrates, Eastham [Worcs], 13 Feb 1801, enclosing a dangerous letter [f.149: tinners/'7 joining Countys' to rise at Tenbury 1 March]: "Our Division, the Hundred of Doddingtree is 28 miles from Worcester and as distant from Kidderminster, the only neighbouring station for Troops. If the commanding Officer at Worcester cannot afford Aid to this part of the County without Orders from the General of the District, we shall be compelled, if any disturbance takes place, to apply for such Orders at the distance of 36 or 50 Miles."</t>
  </si>
  <si>
    <t xml:space="preserve">Eastham Feb: 13th 1801</t>
  </si>
  <si>
    <t xml:space="preserve">1801-02-13</t>
  </si>
  <si>
    <t xml:space="preserve">Eastham / Hundred of Doddingtree / Tenbury</t>
  </si>
  <si>
    <t xml:space="preserve">Eastham (nr Tenbury)</t>
  </si>
  <si>
    <t xml:space="preserve">Conn. Pyts [?] and Chris. Whitehead</t>
  </si>
  <si>
    <t xml:space="preserve">Standing authority/orders for Worcester commanding officer to aid the Hundred of Doddingtree if disturbance occurs</t>
  </si>
  <si>
    <t xml:space="preserve">ROUTE: direct to HS. Implicit contingent request: wants troops at Worcester to be able to act without General's orders. Enclosed threatening letter (f.149) 'we shall Bee in tenbury the furst of march ... Bread with out bran'. Docket on f.145v 'Magistrates of Worcestershire, 13 Feby 1801'. CHECK: first signature illegible. Disturbance type inferred from 'Bread' letter.</t>
  </si>
  <si>
    <t xml:space="preserve">HO42-0170</t>
  </si>
  <si>
    <t xml:space="preserve">E143</t>
  </si>
  <si>
    <t xml:space="preserve">HO-42-61_03.pdf</t>
  </si>
  <si>
    <t xml:space="preserve">2-3</t>
  </si>
  <si>
    <t xml:space="preserve">ff.160-161</t>
  </si>
  <si>
    <t xml:space="preserve">Lord Midleton, Peper Harow [Surrey], 19 Feb 1801: "a considerable Degree of Discontent which prevails in the Parishes in the Southwestern part of this County bordering on Sussex, &amp; which it is apprehended will break out into serious Disturbance" ... at Chiddingfold "a great Readiness to join in Acts of Violence" [parish officers intimidated into relief in money] ... "the whole District from Haslemere eastward, for the space of ten or twelve Miles, have shewn at different Times during the present &amp; the late Dearth of Provisions strong Symptoms of a riotous Spirit" ... "I must however beg leave to represent to your Grace, that the only Troops in this Neighbourhood are two Troops of the 10th Drag. at Guilford, &amp; a Company of the Sussex Militia at Haslemere, &amp; I am very much afraid that the Dragoons at Guilford if called upon to act in different Places at nearly the same time ... will be found insufficient for the Service. I will beg leave further to add that we have at present no Troops at Godalming."</t>
  </si>
  <si>
    <t xml:space="preserve">Peper Harow Feb 19th 1801</t>
  </si>
  <si>
    <t xml:space="preserve">1801-02-19</t>
  </si>
  <si>
    <t xml:space="preserve">Chiddingfold / Haslemere / Guilford / Godalming</t>
  </si>
  <si>
    <t xml:space="preserve">Chiddingfold</t>
  </si>
  <si>
    <t xml:space="preserve">Lord Midleton (George Brodrick, 4th Viscount Midleton)</t>
  </si>
  <si>
    <t xml:space="preserve">Portland ("My dear Lord" / "your Grace")</t>
  </si>
  <si>
    <t xml:space="preserve">Implicit: more troops; existing force (2 troops 10th Dragoons at Guildford, company Sussex Militia at Haslemere) 'insufficient'; none at Godalming</t>
  </si>
  <si>
    <t xml:space="preserve">ROUTE: direct to HS from peer/magistrate (Midleton also acting JP, called magistrates to meet at Guildford). Followed next day by explicit request (B10, ff.162-163). CHECK: writer identification as Viscount Midleton (signature 'Midleton'). Docket f.159v 19 Feb 1801.</t>
  </si>
  <si>
    <t xml:space="preserve">HO42-0171</t>
  </si>
  <si>
    <t xml:space="preserve">5-6</t>
  </si>
  <si>
    <t xml:space="preserve">ff.162-163</t>
  </si>
  <si>
    <t xml:space="preserve">Lord Midleton, Peper Harow, 20 Feb 1801: "I am just returned from a Meeting of Magistrates at Guilford who are clearly of Opinion that it would be very desireable to have some Force at hand in the Neighbourhood of Chiddingfold. That Place would afford Quarters &amp; Stabling to a Serjeant &amp; 10 or 12 Men &amp; Horses, &amp; we have desired the principal Inhabitants to prepare proper Quarters in case an Officer should be stationed there. I have to correct the Account ... as to the Sussex Militia at Haslemere. I find there is only a Serjeant &amp; 18 Men." ... "I am much inclined to think that the Presence of some Troops for a short time might have the Effect of keeping down the Spirit of Tumult in six or seven Parishes in that Neighbourhood which have been much disposed to it, &amp; are now ready to join unless it is repressed at Chiddingfold."</t>
  </si>
  <si>
    <t xml:space="preserve">Peper Harow Feb 20 1801</t>
  </si>
  <si>
    <t xml:space="preserve">1801-02-20</t>
  </si>
  <si>
    <t xml:space="preserve">Chiddingfold / Guilford</t>
  </si>
  <si>
    <t xml:space="preserve">Lord Midleton</t>
  </si>
  <si>
    <t xml:space="preserve">Cavalry detachment: a serjeant and 10-12 men and horses to be quartered at Chiddingfold</t>
  </si>
  <si>
    <t xml:space="preserve">Same episode as B10 (19 Feb). Explicit request on behalf of Guildford magistrates' meeting. ROUTE: direct to HS (peer reporting magistrates' resolution). Reply not seen; CHECK HO 43/12-13 Feb 1801. Docket f.161v '1801 Feb 19/20 Dom'.</t>
  </si>
  <si>
    <t xml:space="preserve">HO42-0172</t>
  </si>
  <si>
    <t xml:space="preserve">E144</t>
  </si>
  <si>
    <t xml:space="preserve">24-25</t>
  </si>
  <si>
    <t xml:space="preserve">T. Shelley and Nath. Tredcroft, magistrates, Horsham, 1 Mar 1801: "As Magistrates we feel it our Duty to communicate for your Grace's Information the intention of a numerous meeting of the lower Classes of the People on Saturday next the 7th Inst. And from the conduct of their former assembling from different parts of the neighbourhood of Horsham arm'd with Sticks [on 21st Feb], we are of Opinion it will require, at least, the Appearance of Force to prevent the beginning of Mischief. Horsham at present is without Troops."</t>
  </si>
  <si>
    <t xml:space="preserve">Horsham 1st March 1801</t>
  </si>
  <si>
    <t xml:space="preserve">1801-03-01</t>
  </si>
  <si>
    <t xml:space="preserve">Horsham</t>
  </si>
  <si>
    <t xml:space="preserve">Sussex</t>
  </si>
  <si>
    <t xml:space="preserve">T. Shelley and Nath. Tredcroft</t>
  </si>
  <si>
    <t xml:space="preserve">'at least the Appearance of Force' for Saturday 7 March (unspecified)</t>
  </si>
  <si>
    <t xml:space="preserve">ROUTE: direct to HS. Earlier assembly armed with sticks 21 Feb. Follow-up 4 Mar by Shelley (ff.189-190). Docket f.177 '1 March 1801 Dom' (Horsham, magistrates). CHECK: T. Shelley = Timothy Shelley MP? (signs 'J.P.').</t>
  </si>
  <si>
    <t xml:space="preserve">HO42-0173</t>
  </si>
  <si>
    <t xml:space="preserve">ff.189-190</t>
  </si>
  <si>
    <t xml:space="preserve">T. Shelley JP, Field Place, 4 Mar 1801: "Since I did myself the Honor, in conjunction with a Brother Magistrate Mr Tredcroft at Horsham, to inform your Grace by letter the 1st Inst. that we were apprised of an intention of the assembling of the lower orders of the People at Horsham on Saturday next. I feel again an indispensable Duty as a Magistrate of the County to inform your Grace that from all I can collect, from Parish Officers, &amp; the well dispos'd Paupers, the assembling will be numerous, &amp; chiefly from the Eastward of Horsham which is a considerable Market Town held on a Saturday for Corn." ... "I fear they meditate Mischief, unless there be a Force to check them."</t>
  </si>
  <si>
    <t xml:space="preserve">Field Place 4th March 1801</t>
  </si>
  <si>
    <t xml:space="preserve">1801-03-04</t>
  </si>
  <si>
    <t xml:space="preserve">Horsham / Field Place</t>
  </si>
  <si>
    <t xml:space="preserve">T. Shelley</t>
  </si>
  <si>
    <t xml:space="preserve">'a Force to check them' (unspecified)</t>
  </si>
  <si>
    <t xml:space="preserve">Same episode as B11. Repeat request. ROUTE: direct to HS. Docket f.188 '1801 Mar 2/4 Dom'. Outcome unknown.</t>
  </si>
  <si>
    <t xml:space="preserve">HO42-0174</t>
  </si>
  <si>
    <t xml:space="preserve">E145</t>
  </si>
  <si>
    <t xml:space="preserve">78-80</t>
  </si>
  <si>
    <t xml:space="preserve">[Writer unidentified], Bury, 'Wednesday night' [c.11 Mar 1801], to Sir Robert [Peel]: warrant to apprehend 7 persons "for taking 4 Load of Meal out of a Cart near Bury" ... constables "could not possibly execute the Warrant" ... in Bolton Street "the Mob increased considerably &amp; some stones were thrown" ... "Mr Fletcher wished much to call out the Volunteers, but I told him as we had got over the worst, I thought there was no occasion. I should have been sorry to have seen them disgraced on this occasion, which I truly believe would have been the case - If their Arms could be got from them, I think it would be a good thing." ... "the Country is ripe for Rebellion ... if provisions continue at the present high prices, a Revolution will be the Consequence."</t>
  </si>
  <si>
    <t xml:space="preserve">Bury Wednesday night (docket 13/14 Mar 1801)</t>
  </si>
  <si>
    <t xml:space="preserve">1801-03-11</t>
  </si>
  <si>
    <t xml:space="preserve">Bury / Bolton Street / Brooksmouth</t>
  </si>
  <si>
    <t xml:space="preserve">Bury</t>
  </si>
  <si>
    <t xml:space="preserve">CHECK: unidentified (signature in margin illegible); acts with constables for Mr Nuttall and Mr Hutchinson</t>
  </si>
  <si>
    <t xml:space="preserve">CHECK: Sir Robert [Peel], forwarded to HO</t>
  </si>
  <si>
    <t xml:space="preserve">None; magistrate Ralph Fletcher wished to call out Bury volunteers, writer declined fearing they would be 'disgraced' and wanting their arms removed</t>
  </si>
  <si>
    <t xml:space="preserve">BORDERLINE. Volunteers distrusted; constables could not execute warrant for meal-cart rioters. ROUTE: letter to Sir Robert Peel (MP, Bury) forwarded to HS. Date ISO approximate (Wednesday before 13/14 Mar docket) - CHECK. CHECK writer role.</t>
  </si>
  <si>
    <t xml:space="preserve">HO42-0175</t>
  </si>
  <si>
    <t xml:space="preserve">E146</t>
  </si>
  <si>
    <t xml:space="preserve">ff.222-224</t>
  </si>
  <si>
    <t xml:space="preserve">John Pilkington [?] and Thos. Bancroft, Bolton, 14 Mar 1801, on United Englishmen oath and arrests: three men apprehended, "knowing the public mind to be in the highest state of Agitation we had used the precaution of ordering a Guard of 24 of the Bolton Vol. Infantry, &amp; the Bolton Volunteer Cavalry to escort the Prisoners &amp; to protect the Town. This service they performed with uncommon promptitude, and tho a Mob was beginning to assemble &amp; dreadful threats made use of, they were conveyed away the same Evening to Lancaster. The Town &amp; Neighbourhood is quiet but the Guard is yet continued" ... "many good people shrink from a sort of conviction that the dearness of provisions &amp; probable lack of employ ... must inevitably produce Universal Riot."</t>
  </si>
  <si>
    <t xml:space="preserve">Bolton March 14 1801</t>
  </si>
  <si>
    <t xml:space="preserve">1801-03-14</t>
  </si>
  <si>
    <t xml:space="preserve">John Pilkington [?] and Thos. Bancroft</t>
  </si>
  <si>
    <t xml:space="preserve">Local: guard of 24 Bolton Volunteer Infantry and Bolton Volunteer Cavalry called out to escort prisoners and protect town; guard continued</t>
  </si>
  <si>
    <t xml:space="preserve">BORDERLINE. ROUTE: local call-out of volunteers reported afterwards to HS. Precedes the logged Bolton May 1801 episode (Buckton Castle etc.) - CHECK whether to group. Also Bancroft 7 Mar (ff.201-202): plot 'to seize the Justices in every Town &amp; possess themselves of the Arms of the Volunteers'; Maj. Fletcher suggests 'a regular Guard of picked men from his Volunt. Corps'. Writer role: Bancroft is a clergyman-magistrate - CHECK. First signature uncertain.</t>
  </si>
  <si>
    <t xml:space="preserve">HO42-0176</t>
  </si>
  <si>
    <t xml:space="preserve">E147</t>
  </si>
  <si>
    <t xml:space="preserve">HO-42-61_04.pdf</t>
  </si>
  <si>
    <t xml:space="preserve">8-10</t>
  </si>
  <si>
    <t xml:space="preserve">ff.236-238</t>
  </si>
  <si>
    <t xml:space="preserve">And. Lowell [?], Maj-Gen commanding Severn District (in absence of Lt-Gen Rooke), Bristol, 17 Mar 1801, encloses a letter received that morning "althô it imports to be the sentiments of the Soldiers of this place I am inclined to think they have no such Ideas". Enclosure (f.238) addressed 'General': "if Provisions Does not fall Down to the old Price as it was In the year of 1790 we are Determind to a man to Lay Down our arms and to Scour the Country &amp; hang up a farmer In Every Parish for an Example" ... "we are Your &amp;c Brother Soldiers" ... "Let the mob Do as the please we will not Interfere".</t>
  </si>
  <si>
    <t xml:space="preserve">Bristol March 17 1801</t>
  </si>
  <si>
    <t xml:space="preserve">1801-03-17</t>
  </si>
  <si>
    <t xml:space="preserve">And. Lowell [?], Maj-Gen, Severn District</t>
  </si>
  <si>
    <t xml:space="preserve">None; threatening letter purporting to be from soldiers refusing to act against mobs</t>
  </si>
  <si>
    <t xml:space="preserve">BORDERLINE: troop reliability - anonymous 'Brother Soldiers' letter threatening not to act against food rioters. General doubts authenticity. Follow-up 20 Mar (f.263): spies set upon the military, 'uniform orderly conduct'. Gen name reading uncertain - CHECK. ROUTE: military to HS.</t>
  </si>
  <si>
    <t xml:space="preserve">HO42-0177</t>
  </si>
  <si>
    <t xml:space="preserve">E148</t>
  </si>
  <si>
    <t xml:space="preserve">M. Wood, Piercefield near Chepstow, 18 Mar 1801: "the tumultuous and disorderly meetings in this Neighbourhood which induced me (in conjunction with two other Magistrates) to apply to the Commanding Officer at Bristol for a Party of Cavalry" ... "The Chepstow Volunteer Cavalry soon dispersed the Mob" ... "a Lieutenant and Forty Troopers from Bristol, which had been applied for the Night preceding, joined the Volunteer Cavalry and immediately proceeded to Woolaston in the County of Gloucester (about four Miles from Chepstow) where it was represented four to five hundred Colliers from the Forest of Dean had assembled" ... "the distresses of the Country are very great - and the Farmers are in a great measure the cause of these disorders".</t>
  </si>
  <si>
    <t xml:space="preserve">Piercefield near Chepstow March 18th 1801</t>
  </si>
  <si>
    <t xml:space="preserve">1801-03-18</t>
  </si>
  <si>
    <t xml:space="preserve">Piercefield / Chepstow / Woolaston</t>
  </si>
  <si>
    <t xml:space="preserve">Woolaston</t>
  </si>
  <si>
    <t xml:space="preserve">M. Wood (Mark Wood)</t>
  </si>
  <si>
    <t xml:space="preserve">Party of cavalry from Bristol: a lieutenant and 40 troopers arrived</t>
  </si>
  <si>
    <t xml:space="preserve">Same episode as B14. ROUTE: local request to Bristol CO, reported afterwards to HS. Outcome: granted (Lt + 40 troopers). England part: Woolaston, Glos (Forest of Dean colliers, 400-500). CHECK: Mark Wood also MP.</t>
  </si>
  <si>
    <t xml:space="preserve">HO42-0178</t>
  </si>
  <si>
    <t xml:space="preserve">ff.245-246</t>
  </si>
  <si>
    <t xml:space="preserve">Thos. Bancroft, Bolton, 18 Mar 1801: "A body of Horse has arrived here this morning from Stone in Staffordshire. I am sorry for the fatigue they have undergone from the suddenness &amp; rapidity of their March. We are willing to believe that we are in no immediate danger &amp; they found a little to their surprize all things very quiet." Informant says "the general rising would be in May or before" ... delegates from Birmingham, Sheffield, Hull, Leeds meet weekly.</t>
  </si>
  <si>
    <t xml:space="preserve">Bolton March 18 1801</t>
  </si>
  <si>
    <t xml:space="preserve">Thos. Bancroft</t>
  </si>
  <si>
    <t xml:space="preserve">Body of horse arrived from Stone (Staffs) - apparently sent by Government, perhaps unrequested</t>
  </si>
  <si>
    <t xml:space="preserve">Same episode as B13 (Bolton Mar 1801). BORDERLINE: troops arrived to writer's 'surprize' that all quiet - possibly unrequested reinforcement. CHECK HO 43 for order. ROUTE: report to HS.</t>
  </si>
  <si>
    <t xml:space="preserve">HO42-0179</t>
  </si>
  <si>
    <t xml:space="preserve">83-84</t>
  </si>
  <si>
    <t xml:space="preserve">ff.294-295</t>
  </si>
  <si>
    <t xml:space="preserve">Thos. Bancroft, Bolton, 22 Mar 1801: informant reports meeting resolved "that the first thing to be done was to disarm the Fencibles, dispatch the Magistrates" ... "We beg leave to submit to your Grace the propriety of making a Seizure &amp;c at one of these Meetings" ... "The Military from Staffordshire which were ordered here are leaving this Town tomorrow. We rather regret it, if this Business be entered upon - Your Grace will determine whether it may not be prudent to have some Cavalry within call, tho not in y. Town of Bolton, lest the return of them should blow up y. Business."</t>
  </si>
  <si>
    <t xml:space="preserve">Bolton March 22 1801</t>
  </si>
  <si>
    <t xml:space="preserve">1801-03-22</t>
  </si>
  <si>
    <t xml:space="preserve">'some Cavalry within call' near (not in) Bolton, to support seizure of a United Englishmen meeting; regrets departure of Staffordshire troops (request to keep)</t>
  </si>
  <si>
    <t xml:space="preserve">Same episode as B13. ROUTE: direct to HS. Docket 'Copy of a Letter from Bolton 22 March 1801' (so a copy). Also anonymous 'A.B.' letter, Bolton 22 Mar (ff.292-293): prisoners sent to Lancaster 'guarded by a Troop of our Bolton Volunteer Cavalry'; 'Government have sent 3 Troops of Light Horse, and two pieces of flying artillery'; volunteers keep guard nightly. CHECK whether to merge with logged Bolton May 1801 episode.</t>
  </si>
  <si>
    <t xml:space="preserve">HO42-0180</t>
  </si>
  <si>
    <t xml:space="preserve">E149</t>
  </si>
  <si>
    <t xml:space="preserve">HO-42-61_05.pdf</t>
  </si>
  <si>
    <t xml:space="preserve">ff.317-318</t>
  </si>
  <si>
    <t xml:space="preserve">Extract of a letter from Mr Coles to Lord Rolle, [Exeter] 22 Mar 1801: "there have been different Meetings day after day this last week on Southernhay of the lower Class of People early in the morning from 30 to 70 or 80 People, and that this morning several of Col. Wright's Volunteers were with them and promised them support - Wright hearing of this very properly addressed them on the subject this afternoon and desired all those that approved of such meetings would attend at the Castle this Evening and deliver in their Arms - ten of them did attend with a mob of between 2 or 300 huzzaing them" ... "Wright who is sent for to the Barracks by the Commanding Officer" ... "if something is not done and that quickly I dread the consequences".</t>
  </si>
  <si>
    <t xml:space="preserve">22 March 1801 (extract)</t>
  </si>
  <si>
    <t xml:space="preserve">Exeter / Southernhay</t>
  </si>
  <si>
    <t xml:space="preserve">Mr Coles (extract, forwarded by Lord Rolle)</t>
  </si>
  <si>
    <t xml:space="preserve">CHECK: Lord Rolle (forwarded to HS)</t>
  </si>
  <si>
    <t xml:space="preserve">None; volunteers (Col. Wright's) siding with crowd, ten surrendered arms</t>
  </si>
  <si>
    <t xml:space="preserve">Same episode as B16 (Exeter Mar 1801). VOLUNTEERS UNRELIABLE. ROUTE: forwarded by peer (Lord Rolle). CHECK role of Coles.</t>
  </si>
  <si>
    <t xml:space="preserve">HO42-0181</t>
  </si>
  <si>
    <t xml:space="preserve">87-88</t>
  </si>
  <si>
    <t xml:space="preserve">ff.298-299</t>
  </si>
  <si>
    <t xml:space="preserve">Richd. Jenkins, Mayor, Exeter, 23 Mar 1801: a meeting "for the purpose of forming, and executing a confederacy of a very dangerous nature, which is spreading to an alarming extent in this county" ... ostensibly "a peaceable Request to the Farmers ... to reduce the price of Wheat to ten shillings, and Barley to six shillings a Bushell" ... "the Commanding Officer of the Troops, quartered in this City, has been made acquainted by Mr Sheriff Collyns, with the Circumstances that have passed; in order that he may be duly prepared, to assist the civil power if necessary: and he has given the politest assurance of Support".</t>
  </si>
  <si>
    <t xml:space="preserve">Exeter March 23d 1801</t>
  </si>
  <si>
    <t xml:space="preserve">1801-03-23</t>
  </si>
  <si>
    <t xml:space="preserve">Richd. Jenkins</t>
  </si>
  <si>
    <t xml:space="preserve">Troops quartered in city asked to be ready to assist civil power if necessary</t>
  </si>
  <si>
    <t xml:space="preserve">BORDERLINE (contingent local arrangement with garrison). ROUTE: local request (via sheriff to garrison CO) reported to HS. Enclosed printed handbill 'The Mayor and Justices of this City' 23 Mar 1801 (f.300) warning against unlawful meeting on Southernhay. Docket f.297 23 Mar 1801.</t>
  </si>
  <si>
    <t xml:space="preserve">HO42-0182</t>
  </si>
  <si>
    <t xml:space="preserve">E150</t>
  </si>
  <si>
    <t xml:space="preserve">92</t>
  </si>
  <si>
    <t xml:space="preserve">f.301</t>
  </si>
  <si>
    <t xml:space="preserve">W. A. Sanford, Nynehead Court near Wellington, 23 Mar 1801: "The enclosed treasonable hand-bill has been just sent to me, as having been one of many stuck up at Wellington last night, as the Magistrate I think it proper to acquaint your Grace of it, A Mob has this day assembled, but I have taken the necessary precaution, by writing to the Commanding Officer of the Bays at Taunton."</t>
  </si>
  <si>
    <t xml:space="preserve">Nynehead Court March 23d 1801</t>
  </si>
  <si>
    <t xml:space="preserve">Wellington / Nynehead Court</t>
  </si>
  <si>
    <t xml:space="preserve">Wellington</t>
  </si>
  <si>
    <t xml:space="preserve">W. A. Sanford</t>
  </si>
  <si>
    <t xml:space="preserve">Wrote to commanding officer of the Bays (2nd Dragoon Guards) at Taunton</t>
  </si>
  <si>
    <t xml:space="preserve">ROUTE: local request to garrison (Taunton) reported afterwards to HS. CHECK: disturbance type inferred (mob + treasonable handbill, March 1801 dearth). Docket f.302-3 (Wellington handbill list?).</t>
  </si>
  <si>
    <t xml:space="preserve">HO42-0183</t>
  </si>
  <si>
    <t xml:space="preserve">E151</t>
  </si>
  <si>
    <t xml:space="preserve">14</t>
  </si>
  <si>
    <t xml:space="preserve">f.313</t>
  </si>
  <si>
    <t xml:space="preserve">J[ohn] Scrope [?], Public Office, Birmingham, 25 Mar 1801: "I am sorry to be obliged on the part of myself, &amp; my colleagues in Office, to inform your Grace that considerable damage was done to the Shops of several dealers in Flour &amp; other necessaries of Life, on Monday Evening - The peace was speedily restored on the appearance of the Military &amp; there has been no outrage since. Two persons who were active in the Riot have been committed to take their trials at the Assizes now holding at Warwick."</t>
  </si>
  <si>
    <t xml:space="preserve">Public Office Birmingham March 25th 1801</t>
  </si>
  <si>
    <t xml:space="preserve">1801-03-25</t>
  </si>
  <si>
    <t xml:space="preserve">[J.] Scrope [?] (signature uncertain)</t>
  </si>
  <si>
    <t xml:space="preserve">Military called (type unspecified); peace restored on their appearance</t>
  </si>
  <si>
    <t xml:space="preserve">BORDERLINE: military used against food riot on Monday 23 Mar 1801; implied local call by magistrates, reported afterwards. ROUTE: local request reported afterwards. NEW episode (Birmingham 1800 already logged; this is March 1801). Signature hard to read - CHECK.</t>
  </si>
  <si>
    <t xml:space="preserve">HO42-0184</t>
  </si>
  <si>
    <t xml:space="preserve">ff.347-348</t>
  </si>
  <si>
    <t xml:space="preserve">[Writer illegible], [Taunton?], 25 Mar 1801, 'Dear Sir': "I am sorry to inform you that the Riots in this place and neighbourhood are very alarming and I fear the Military force we have here is by no means adequate for repelling it. The Riot began at Wellington on Monday last [23 Mar]" ... the mob "compelled the farmers to give a promise to sell their wheat at 10s. a bushel, Barley at 6s." ... [rest largely illegible].</t>
  </si>
  <si>
    <t xml:space="preserve">25th March 1801</t>
  </si>
  <si>
    <t xml:space="preserve">Wellington / [Taunton?]</t>
  </si>
  <si>
    <t xml:space="preserve">CHECK: illegible (possibly Coles of Taunton, cf. Simcoe f.353)</t>
  </si>
  <si>
    <t xml:space="preserve">CHECK: 'Dear Sir' - probably to Simcoe or HO, forwarded</t>
  </si>
  <si>
    <t xml:space="preserve">More military force ('by no means adequate')</t>
  </si>
  <si>
    <t xml:space="preserve">Same episode as B17 (Wellington/Sanford 23 Mar). Very poor handwriting; only opening read with confidence. CHECK writer (Simcoe refers to 'the enclosed letter from Mr Coles of Taunton'). Outcome: Simcoe moved force to Taunton (f.353).</t>
  </si>
  <si>
    <t xml:space="preserve">HO42-0185</t>
  </si>
  <si>
    <t xml:space="preserve">E152</t>
  </si>
  <si>
    <t xml:space="preserve">f.357</t>
  </si>
  <si>
    <t xml:space="preserve">[J.] Codrington [?], Mayor, Bridgwater, 25 Mar 1801: "I think it right to inform your Grace that a Disposition to Riot has lately manifested itself in this Town and Neighbourhood which has already broken out in more than one Instance into open Acts of Violence and that more serious Consequences are threatened on Thursday next, our Market day. I therefore take the Liberty of requesting, that your Grace will countermand the Order which I understand is given for the March on Wednesday next of the 32d Regiment now stationed here, or supply their places with other Troops, as I can scarce answer for the peace of the Town without the Aid of some military force, and there is none within a considerable Distance of this place." "For greater Security I have sent a Duplicate of this Letter to the Secretary at War".</t>
  </si>
  <si>
    <t xml:space="preserve">Bridgwater March 25th 1801</t>
  </si>
  <si>
    <t xml:space="preserve">Bridgwater</t>
  </si>
  <si>
    <t xml:space="preserve">[J.] Codrington [?], Mayor</t>
  </si>
  <si>
    <t xml:space="preserve">Request to KEEP the 32nd Regiment at Bridgwater (countermand marching order) or replace with other troops</t>
  </si>
  <si>
    <t xml:space="preserve">REQUEST TO KEEP TROOPS. ROUTE: direct to HS, duplicate to Secretary at War. Docket f.358 '28 Mar 1801 Dom, Bridgwater 25 March 1801, The Mayor'. CHECK mayor's surname (signature).</t>
  </si>
  <si>
    <t xml:space="preserve">HO42-0186</t>
  </si>
  <si>
    <t xml:space="preserve">54-56</t>
  </si>
  <si>
    <t xml:space="preserve">ff.349-350</t>
  </si>
  <si>
    <t xml:space="preserve">Charles Fanshawe [Recorder of Exeter], Frankland, 26 Mar 1801, to [King]: "another meeting was expected to have been held this evening on Southernhay; but it has been prevented by the appointing of some hundreds of inhabitants of condition to the station of constables, the determination of Lieutenant Colonel Wright to go with his Volunteers to Southernhay to disperse the multitude" ... advised magistrates "in case of refusal to read the riot act &amp; require the constables and all laymen from 15 to 60 to assist in quelling the riot, &amp; if there be the least chance of the civil force being insufficient to call in military aid of every description" ... "if I should be disappointed I shall certainly advise the Mayor to avail himself of your recommendation to Adjutant General Lieutenant Colonel Beckwith for such assistance as may be wanted".</t>
  </si>
  <si>
    <t xml:space="preserve">Frankland March 26th 1801</t>
  </si>
  <si>
    <t xml:space="preserve">1801-03-26</t>
  </si>
  <si>
    <t xml:space="preserve">Exeter / Southernhay / Haven Bank, St Thomas</t>
  </si>
  <si>
    <t xml:space="preserve">Charles Fanshawe</t>
  </si>
  <si>
    <t xml:space="preserve">CHECK: "Sir" - Under-Secretary (King)</t>
  </si>
  <si>
    <t xml:space="preserve">Contingent: military aid via Adj-Gen Lt-Col Beckwith if civil force insufficient</t>
  </si>
  <si>
    <t xml:space="preserve">Same episode as B16. Writer is Recorder of Exeter (role from Simcoe f.351). HO had apparently recommended application to Beckwith (HO response). Docket 26 Mar 1801 Dom.</t>
  </si>
  <si>
    <t xml:space="preserve">HO42-0187</t>
  </si>
  <si>
    <t xml:space="preserve">E153</t>
  </si>
  <si>
    <t xml:space="preserve">45-49</t>
  </si>
  <si>
    <t xml:space="preserve">ff.342-346</t>
  </si>
  <si>
    <t xml:space="preserve">R. Walter, Rector, Parkham Parsonage [nr Bideford], 26 Mar 1801 (copy, to a Lord): "A disposition to riot having manifested itself here, and which originated with the Volunteers by whom many inflammatory expressions were made use of" ... servant informed him "the Volunteers were to assemble on the Great Plat before my House, and to demand Redress for their Grievances in one Body" ... "it was by the Major's orders" ... "Wednesday evening March 18th about seven o'clock, the Men chiefly Volunteers who had Arms in their Houses came here, twenty four in number" ... "it was from the advice of Major Morey that they came to my House" ... [Walter] "publickly insulted by Major Morey in Bideford market".</t>
  </si>
  <si>
    <t xml:space="preserve">Parkham Parsonage 26th March 1801</t>
  </si>
  <si>
    <t xml:space="preserve">Parkham</t>
  </si>
  <si>
    <t xml:space="preserve">R. Walter (Rector of Parkham)</t>
  </si>
  <si>
    <t xml:space="preserve">CHECK: "My Lord" - probably Lord Lieutenant (Fortescue) or Lord Rolle, copy forwarded to HS</t>
  </si>
  <si>
    <t xml:space="preserve">None; armed volunteers themselves the crowd</t>
  </si>
  <si>
    <t xml:space="preserve">BORDERLINE: VOLUNTEERS AS RIOTERS - 24 armed volunteers (Parkham company, Major Morey) demand corn/relief at rector's house. ROUTE: copy forwarded via peer. Related to Bideford (B6)?</t>
  </si>
  <si>
    <t xml:space="preserve">HO42-0188</t>
  </si>
  <si>
    <t xml:space="preserve">ff.351-353</t>
  </si>
  <si>
    <t xml:space="preserve">Lt-Gen J. G. Simcoe, Wolford Lodge, Honiton, 27 Mar 1801: "The Pressure of Scarcity has ostensibly given rise to outrages in the City of Exeter ... The Magistrates have been assured, that the Military Force at my disposal, will be ready to support their authority should there be any necessity to call upon them." ... "Similar Riots have taken place at Tiverton" ... "At Wellington, the Riots have been more open" ... "[Coles of Taunton's letter has] determined me to lose no time in directing the force under my Command to move towards Taunton, &amp; I mean to order the Cavalry from Dorsetshire ... to move in the same direction. I trust vigorous demonstrations may prevent Bloodshed" ... "I have ordered a Troop of Dragoons on their way to Taunton to halt tomorrow [at Honiton]" ... "the Volunteer System wants revision".</t>
  </si>
  <si>
    <t xml:space="preserve">Wolford Lodge Honiton March 27th 1801</t>
  </si>
  <si>
    <t xml:space="preserve">1801-03-27</t>
  </si>
  <si>
    <t xml:space="preserve">Exeter / Tiverton / Wellington / Honiton / Taunton</t>
  </si>
  <si>
    <t xml:space="preserve">J. G. Simcoe, Lt-Gen (Western District)</t>
  </si>
  <si>
    <t xml:space="preserve">Military moves: force towards Taunton; Dorset cavalry; troop of dragoons halted at Honiton</t>
  </si>
  <si>
    <t xml:space="preserve">Military deployment in response to local requests (Exeter magistrates, Coles of Taunton). Covers Exeter (B16), Wellington/Taunton (B17), Honiton, Tiverton, Newton Bushel corn seizure. Simcoe 29 Mar (f.365): 'I have ordered a troop of Dragoons from Dorsetshire'; disposition of Honiton 'not true'; wrote to Sanford JP (Somerset). Also Coleridge letters re Exmouth (B19).</t>
  </si>
  <si>
    <t xml:space="preserve">HO42-0189</t>
  </si>
  <si>
    <t xml:space="preserve">E154</t>
  </si>
  <si>
    <t xml:space="preserve">76-81</t>
  </si>
  <si>
    <t xml:space="preserve">ff.365-370</t>
  </si>
  <si>
    <t xml:space="preserve">Simcoe to King, Wolford Lodge, 29 Mar 1801, enclosing two letters from "the most active of the Volunteer Officers". H. M[arker?] to Coleridge (f.367): "Matters are geting worse. We were obliged to send for the Denbigh in the middle of the night" ... "it seems necessary now to call upon the volunteers for their real sentiments, &amp; if they refuse to assist the civil power to disarm them immediately." J. Coleridge (f.368): "I am going directly to Exmouth, &amp; shall call on the Volunteers, who I suppose will wish to remain Neuter, but as that cannot be I shall take in their Arms if necessary." Coleridge, Ottery, 29 Mar (ff.369-370): "The Volunteers kept perfectly free from Interference ... but I think it my Duty to declare to you, that as far as Opposition is required against Republicans at Home or against Invasion they may (I think) be relied on. I doubt however if in the present Instance, they would really Fire or obey my Orders against their Wives and Relations." "I have an Orderly Man from the Exmouth detachment staying with me".</t>
  </si>
  <si>
    <t xml:space="preserve">Wolford Lodge March 29th 1801; Ottery March 29th 1801</t>
  </si>
  <si>
    <t xml:space="preserve">1801-03-29</t>
  </si>
  <si>
    <t xml:space="preserve">Exmouth / Ottery / Honiton</t>
  </si>
  <si>
    <t xml:space="preserve">J. Coleridge (James Coleridge, volunteer officer, Ottery St Mary) and H. M[arker?]; forwarded by Lt-Gen Simcoe</t>
  </si>
  <si>
    <t xml:space="preserve">Simcoe ("Dear Sir"), forwarded to John King (Under-Secretary)</t>
  </si>
  <si>
    <t xml:space="preserve">Denbigh Militia sent for at night (Exmouth); Exmouth &amp; Honiton detachments; troop of dragoons from Dorset</t>
  </si>
  <si>
    <t xml:space="preserve">VOLUNTEERS UNRELIABLE vs food crowds ('would not fire against their Wives and Relations'). Local request (sent for Denbigh Militia) reported afterwards via General. Exmouth area - cf. logged Exmouth/Bicton Dec 1800 episode, but new date (Mar 1801): CHECK whether to group. Exeter mob had instructed demand wheat 10s, barley 6s; farmers agreed 12s. Could be reclassified Request for troops (local).</t>
  </si>
  <si>
    <t xml:space="preserve">HO42-0190</t>
  </si>
  <si>
    <t xml:space="preserve">E155</t>
  </si>
  <si>
    <t xml:space="preserve">HO-42-61_06.pdf</t>
  </si>
  <si>
    <t xml:space="preserve">10</t>
  </si>
  <si>
    <t xml:space="preserve">Earl Poulett [Lord Lieutenant of Somerset], Taunton, 30 Mar 1801: "I left London Saturday morning late on acct. of Information I received that a very serious Riots in many Parts of this County having taken Place, I thought it necessary to come post express to this Place" ... "I have consulted with Genl. Simcoe &amp; the magistrates" ... mobs "compelling the Farmers ... to sell Wheat at 10 shillings p. Bushel, Barley at six &amp; Potatoes at [?]" ... meetings "at Chard &amp; at Bridgwater" ... "no material mischief has at present happened".</t>
  </si>
  <si>
    <t xml:space="preserve">Taunton March 30th 1801</t>
  </si>
  <si>
    <t xml:space="preserve">1801-03-30</t>
  </si>
  <si>
    <t xml:space="preserve">Taunton / Chard / Bridgwater</t>
  </si>
  <si>
    <t xml:space="preserve">Taunton</t>
  </si>
  <si>
    <t xml:space="preserve">Earl Poulett</t>
  </si>
  <si>
    <t xml:space="preserve">None explicit; consulting General Simcoe on troop dispositions</t>
  </si>
  <si>
    <t xml:space="preserve">BORDERLINE context for Somerset Mar 1801 (B17 Wellington, B20 Bridgwater). Handwriting poor; partial reading - CHECK. Poulett 4 Apr (f.428): two Taunton rioters condemned; farmers 'had not sufficient protection for their Property &amp; their Persons in going to &amp; from their Markets'. ROUTE: LL direct to HS.</t>
  </si>
  <si>
    <t xml:space="preserve">HO42-0191</t>
  </si>
  <si>
    <t xml:space="preserve">E156</t>
  </si>
  <si>
    <t xml:space="preserve">ff.402-403</t>
  </si>
  <si>
    <t xml:space="preserve">R. Pole [?] to 'My Lord', [Totnes?] 30 Mar 1801: "every thing is as quiet as if nothing had happened owing I am sure to the two Ringleaders being taken" ... "At Newton I hear a large Mob were expected to assemble to day - but I hope some Horse &amp; the Light Company of the Cornish will disperse them" ... P.S. "all the Volunteers to a Man at Newton have given in their Arms &amp; joined the Banditty - the Exmouth I hear did the same on Sunday till Mr Russell the waggoner rallied them &amp; they fell into their Ranks again".</t>
  </si>
  <si>
    <t xml:space="preserve">[place?] 30 March 1801</t>
  </si>
  <si>
    <t xml:space="preserve">Newton [Abbot/Bushel]</t>
  </si>
  <si>
    <t xml:space="preserve">Newton Abbot</t>
  </si>
  <si>
    <t xml:space="preserve">CHECK: signature illegible (R. Pole?)</t>
  </si>
  <si>
    <t xml:space="preserve">CHECK: 'My Lord' / 'Your Lordship' - probably Fortescue (LL Devon), forwarded</t>
  </si>
  <si>
    <t xml:space="preserve">Horse and light company of Cornish Militia expected to disperse Newton mob</t>
  </si>
  <si>
    <t xml:space="preserve">VOLUNTEERS AT NEWTON GAVE IN ARMS AND JOINED MOB; Exmouth volunteers wavered. Subscription bread 3,500 loaves. ROUTE: forwarded via LL. CHECK writer/role.</t>
  </si>
  <si>
    <t xml:space="preserve">HO42-0192</t>
  </si>
  <si>
    <t xml:space="preserve">E157</t>
  </si>
  <si>
    <t xml:space="preserve">12-13</t>
  </si>
  <si>
    <t xml:space="preserve">ff.389-390</t>
  </si>
  <si>
    <t xml:space="preserve">J. St Aubyn and J. Williams, acting magistrates of Plymouth Dock, 31 Mar 1801, 5 o'clock evening: "We feel it our duty tho' at the same time with the utmost concern to inform your Grace that a considerable riot has prevailed in the Town of Plymouth Dock this day which obliged us to call out the Military in Aid of the Civil Power, and lastly to read the Riot Act, &amp; it is painfull to say that it has not yet subsided. The Mob first proceeded to acts of violence in the Market by forcibly taking away Potatoes &amp;c &amp;c and ultimately attacking the Bakers Shops."</t>
  </si>
  <si>
    <t xml:space="preserve">Plymouth Dock 31 March 1801 5 O'clock Evening</t>
  </si>
  <si>
    <t xml:space="preserve">1801-03-31</t>
  </si>
  <si>
    <t xml:space="preserve">Plymouth Dock</t>
  </si>
  <si>
    <t xml:space="preserve">Plymouth Dock (Devonport)</t>
  </si>
  <si>
    <t xml:space="preserve">J. St Aubyn and J. Williams</t>
  </si>
  <si>
    <t xml:space="preserve">Military of the garrison called out in aid of civil power</t>
  </si>
  <si>
    <t xml:space="preserve">ROUTE: local request to garrison, reported same day to HS. Docket f.388 '1801 Mar 30 Dom' (misdated). Follow-up ff.398-399 (same night/1 Apr) logged separately. Letter to 'Dearest Brother' (f.391, 1 Apr) describes same: 'The Magistrates (Mr St Aubyn and Mr Williams) called out the Military'.</t>
  </si>
  <si>
    <t xml:space="preserve">HO42-0193</t>
  </si>
  <si>
    <t xml:space="preserve">88-89</t>
  </si>
  <si>
    <t xml:space="preserve">ff.445-446</t>
  </si>
  <si>
    <t xml:space="preserve">J. F. Wright, Lt-Col Commandant, Exeter Regt. Vol. Infantry, Exeter, 31 Mar 1801, to Sir Stafford Northcote and Charles Fanshawe: "being given to understand there was, amongst some of the men, a disposition to encourage the proceedings of the Mob, I immediately signified to them, that in case any were found under those circumstances I should forthwith require their Arms" ... "several of the men belonging to the three new Companies not only went out but actually wore their Regimentals" ... "directions were accordingly given to take away the Arms and Cloathing of all those who were known to have been out". Oath taken by the Corps: "I will be ready, whenever legally required by the Civil Magistrate, to aid and assist in suppressing any Riot whatsoever."</t>
  </si>
  <si>
    <t xml:space="preserve">Exeter 31st March 1801</t>
  </si>
  <si>
    <t xml:space="preserve">J. F. Wright</t>
  </si>
  <si>
    <t xml:space="preserve">Sir Stafford Northcote and Charles Fanshawe (forwarded)</t>
  </si>
  <si>
    <t xml:space="preserve">Volunteer corps purged; new oath to suppress riot</t>
  </si>
  <si>
    <t xml:space="preserve">Same episode as B16 (Exeter Mar 1801). Corps re-sworn with oath to aid civil magistrate 'in suppressing any Riot' - key quote for corps/insurrection theme. Printed address of Lt-Gen Simcoe to LL of Devon on back (f.446), annotated 'The Tiverton Corps have entered into the same resolution', 4 Apr 1801. ROUTE: forwarded (Fortescue).</t>
  </si>
  <si>
    <t xml:space="preserve">HO42-0194</t>
  </si>
  <si>
    <t xml:space="preserve">22-23</t>
  </si>
  <si>
    <t xml:space="preserve">ff.398-399</t>
  </si>
  <si>
    <t xml:space="preserve">J. St Aubyn and J. Williams, Plymouth Dock, Tuesday night 12 o'clock 31 Mar / Wednesday 1 Apr 1801: "the Mob were nearly dispersed, which we conceive would have been the case had they not been joined by the people of the Dock yard, consisting altogether (at half past five) of at least Ten Thousand Men" ... "we were under the distressing necessity of giving way &amp; conceding in some degree to them in order to produce peace, for had we proceeded to such coercive measures as their lawless conduct merited, the most dreadful consequences must have ensued, &amp; many hundreds must have fallen" ... "with a strong Military force ready to act &amp;c we succeeded in dispersing them about seven O'Clock" ... "our highest thanks &amp; praises are justly due to General England &amp; all the Officers &amp; Men of the different Corps under his command" ... "a strong Military force at the Main Guard ready to act at the instant".</t>
  </si>
  <si>
    <t xml:space="preserve">Tuesday Night 12 O'Clock March 31st; Plymouth Dock Wednesday half past four April 1st 1801</t>
  </si>
  <si>
    <t xml:space="preserve">1801-04-01</t>
  </si>
  <si>
    <t xml:space="preserve">Garrison corps under General England; patrols; strong force at Main Guard</t>
  </si>
  <si>
    <t xml:space="preserve">Same episode as B22. Dockyard workers joined (10,000). Magistrates conceded prices rather than order troops to fire. Follow-up 2 Apr (f.408) with threatening letter to St Aubyn (f.410) and advertisement. ROUTE: report to HS.</t>
  </si>
  <si>
    <t xml:space="preserve">HO42-0195</t>
  </si>
  <si>
    <t xml:space="preserve">E158</t>
  </si>
  <si>
    <t xml:space="preserve">20-23</t>
  </si>
  <si>
    <t xml:space="preserve">ff.396-397</t>
  </si>
  <si>
    <t xml:space="preserve">[Writer unidentified] to 'Dr Sir', Yeovil [?] April 1 [1801]: "Having promised to inform you from time to time in case of the calling out of the volunteers, unfortunately an opportunity is now afford of fulfilling it - Last Monday, between about 1400 Men (some from the West, promoters of the Business, the rest Townspeople) assembled at Chard for the purpose as they declared of reducing the prices of the necessaries of Life - Col. Hanning's Troop was drawn up at the bottom of the Town" ... mob forced Col. Hanning to sign articles (wheat 10s, bread 10d) ... "All the Volunteer Infantry of Ilminster &amp; St Nicholas (which he serves) joined the Mob" ... at Ilminster "met by the Lord Lieut. &amp; Troop of the Queen's Bays (whose Major commanded the whole) &amp; Troop of the 15th [Lt Dragoons]" ... "the Troops being then provided with Ball Cartridge were ordered to prime" ... "The Bays &amp; the Troop of the 15th lay last night at Ilminster".</t>
  </si>
  <si>
    <t xml:space="preserve">[Yeovil?] April 1</t>
  </si>
  <si>
    <t xml:space="preserve">Chard / Ilminster</t>
  </si>
  <si>
    <t xml:space="preserve">Chard</t>
  </si>
  <si>
    <t xml:space="preserve">CHECK: unidentified (letter to 'Dr Sir', forwarded)</t>
  </si>
  <si>
    <t xml:space="preserve">CHECK: 'Dr Sir' - forwarded to HO</t>
  </si>
  <si>
    <t xml:space="preserve">Queen's Bays troop and troop of 15th Lt Dragoons at Ilminster with LL; Col. Hanning's yeomanry troop overpowered</t>
  </si>
  <si>
    <t xml:space="preserve">VOLUNTEERS JOINED THE MOB (Ilminster &amp; St Nicholas infantry); yeomanry colonel forced to sign price agreement. Same wave as B17/B23 (Somerset Mar-Apr 1801) - CHECK grouping. Hand very difficult; reading partial. Place heading read as 'Yeovil' [?].</t>
  </si>
  <si>
    <t xml:space="preserve">HO42-0196</t>
  </si>
  <si>
    <t xml:space="preserve">E159</t>
  </si>
  <si>
    <t xml:space="preserve">f.434</t>
  </si>
  <si>
    <t xml:space="preserve">J. Foley, Newent near Gloucester, 4 Apr 1801: "within these few days, some alarming symptoms of riot have appeared in this County. A vessel upon the River Severn with flour for Bristol was plundered of about seven sacks - Several houses in Westbury, English Bicknor, Newland &amp; other places met with the same fate. The Magistrates therefore judged it adviseable to send for different troops of the 9th Dragoon Guards from their quarters at Cheltenham &amp; Tewkesbury with a view of assisting the Civil Power in its exertions to restore peace. Fortunately these exertions have succeeded" ... "the Military are returned to their stations their services being no longer necessary."</t>
  </si>
  <si>
    <t xml:space="preserve">Newent near Gloucester 4 April 1801</t>
  </si>
  <si>
    <t xml:space="preserve">1801-04-04</t>
  </si>
  <si>
    <t xml:space="preserve">Westbury / English Bicknor / Newland / Newent</t>
  </si>
  <si>
    <t xml:space="preserve">Forest of Dean (Westbury-on-Severn, English Bicknor, Newland)</t>
  </si>
  <si>
    <t xml:space="preserve">J. Foley</t>
  </si>
  <si>
    <t xml:space="preserve">Several troops of the 9th Dragoon Guards from Cheltenham and Tewkesbury</t>
  </si>
  <si>
    <t xml:space="preserve">ROUTE: local request to garrison, reported afterwards to HS. Outcome: troops came, then returned. Possibly linked to Woolaston/Chepstow (B14) Forest of Dean colliers, March 1801 - CHECK. CHECK role (Foley JP).</t>
  </si>
  <si>
    <t xml:space="preserve">HO42-0197</t>
  </si>
  <si>
    <t xml:space="preserve">E160</t>
  </si>
  <si>
    <t xml:space="preserve">77</t>
  </si>
  <si>
    <t xml:space="preserve">f.436</t>
  </si>
  <si>
    <t xml:space="preserve">James Rooke, Lt-Gen, Bristol, 5 Apr 1801: "some riotous proceedings of the lower orders of the Inhabitants of this City and neighbourhood took place in the different Markets yesterday, but the measures adopted by the Magistrates, and the steadiness of the Troops in support of the Civil Power, have for the present completely restored tranquillity and good order. No lives have been lost, and no wanton acts of atrocity have taken place."</t>
  </si>
  <si>
    <t xml:space="preserve">Bristol 5th April 1801</t>
  </si>
  <si>
    <t xml:space="preserve">James Rooke, Lt-Gen</t>
  </si>
  <si>
    <t xml:space="preserve">Troops supported civil power in markets</t>
  </si>
  <si>
    <t xml:space="preserve">Event date 4 Apr 1801 (letter 5 Apr). Troops used at magistrates' request (implied). Bristol 1800 already logged; this is NEW (Apr 1801) - CHECK grouping. ROUTE: military report to HS.</t>
  </si>
  <si>
    <t xml:space="preserve">HO42-0198</t>
  </si>
  <si>
    <t xml:space="preserve">E161</t>
  </si>
  <si>
    <t xml:space="preserve">ff.438-439</t>
  </si>
  <si>
    <t xml:space="preserve">P. H. Rodd [?], Capt. Cornwall Militia, Totnes, 5 Apr 1801, to 'My Lord': "the minds of the common People in this Town and in every Town in the neighbourhood are strongly impressed with the idea that should not the price of provisions be lower than it was when the fleet left Torbay, that when it comes in again upon a signal given ... the Sailors will come on shore &amp; join them" ... "the whole of this neighbourhood, that is the people of the Towns of Newton Abbot &amp; Newton Bushel, Paignton, Brixham, Dartmouth, Kingsbridge, Modbury, Totnes &amp; Bridgetown will assemble in a mass" ... "I am perfectly sure that no force will keep them quiet if provisions are continued at a price which absolutely renders their obtaining a sufficiency ... totally impossible. I have heard many of them say that they had rather be shot than starve".</t>
  </si>
  <si>
    <t xml:space="preserve">Totnes April 5th 1801</t>
  </si>
  <si>
    <t xml:space="preserve">1801-04-05</t>
  </si>
  <si>
    <t xml:space="preserve">Totnes / Brixham / Newton / Dartmouth</t>
  </si>
  <si>
    <t xml:space="preserve">Totnes</t>
  </si>
  <si>
    <t xml:space="preserve">P. H. Rodd [?], Capt., Cornwall Militia</t>
  </si>
  <si>
    <t xml:space="preserve">CHECK: "My Lord" / "Your Lordship" - probably Fortescue (LL), forwarded</t>
  </si>
  <si>
    <t xml:space="preserve">None explicit; warns no force adequate</t>
  </si>
  <si>
    <t xml:space="preserve">BORDERLINE. Militia officer's intelligence; says force cannot keep order. ROUTE: forwarded via peer. CHECK role (militia officer on duty).</t>
  </si>
  <si>
    <t xml:space="preserve">HO42-0199</t>
  </si>
  <si>
    <t xml:space="preserve">90-91</t>
  </si>
  <si>
    <t xml:space="preserve">ff.447-448</t>
  </si>
  <si>
    <t xml:space="preserve">Lt-Gen J. G. Simcoe, Wolford Lodge, 5 Apr 1801: "there is every appearance of the tumults in the Western district subsiding" ... "In a civil view, the Restoration of Tranquillity will much depend on not considering too harshly the faults of the Volunteers. They are misled, but not Jacobins. I hear of the disarming a whole Company at Barnstaple" ... "I grieve, my Lord, that the force I have may be sufficient against the probability of any renewal of these disturbances, tho' certainly, it is totally inadequate to the extent &amp; protection of the district" ... "I principally rely on the Exertions of the Magistracy, &amp; the adoption of that Plan, by which the most intimate union can be effected between the civil &amp; military powers."</t>
  </si>
  <si>
    <t xml:space="preserve">Wolford Lodge April 5th 1801</t>
  </si>
  <si>
    <t xml:space="preserve">Western District / Barnstaple / Chard / Taunton</t>
  </si>
  <si>
    <t xml:space="preserve">J. G. Simcoe, Lt-Gen</t>
  </si>
  <si>
    <t xml:space="preserve">General says his force 'totally inadequate' for district</t>
  </si>
  <si>
    <t xml:space="preserve">Context for Devon/Somerset wave (B16, B17, B19, B24, B25). Whole volunteer company disarmed at Barnstaple. Also Fortescue (LL Devon) 4 &amp; 5 Apr (ff.430-431, 440-442): circular orders to yeomanry and volunteers 'to hold themselves in readiness'; Capt Furse's volunteers; 'Volunteer Corps (who with very few if any exceptions) [came] forward in support of the Civil Power'; South Molton market without volunteers. ROUTE: military to HS.</t>
  </si>
  <si>
    <t xml:space="preserve">HO42-0200</t>
  </si>
  <si>
    <t xml:space="preserve">HO-42-61_07.pdf</t>
  </si>
  <si>
    <t xml:space="preserve">42-44</t>
  </si>
  <si>
    <t xml:space="preserve">ff.478-480</t>
  </si>
  <si>
    <t xml:space="preserve">[J. P.] Bastard, DL, Granby Square [Plymouth Dock], 7 Apr 1801, to Earl Fortescue (copy): urged magistrates "to summon and swear in as Constables the Inhabitants, and to follow the same mode by the Officers of the Dock Yard" ... "understanding there were two Hundred Stand of Arms, I called on the Commissioner ... got from the Captain of the Guard the Keys under which they were, and took away the Side Arms, Locks, and Ammunition - An Act in itself so violent that nothing but the apparent necessity of it (General England having ordered all the Arms in the Departments ... to be removed to a place of security) could justify it" ... volunteer corps required to say what force they might rely on "in the expected Riots"; dissidents told "all Connection must cease" until they "petition to be led against the Rioters" ... "Captain Elford's whole Corps also joined us on the Parade with unusual Alacrity and Order".</t>
  </si>
  <si>
    <t xml:space="preserve">Granby Square 7th April 1801</t>
  </si>
  <si>
    <t xml:space="preserve">1801-04-07</t>
  </si>
  <si>
    <t xml:space="preserve">Plymouth Dock / Granby Square</t>
  </si>
  <si>
    <t xml:space="preserve">J. P. Bastard (Col., DL, MP for Devon)</t>
  </si>
  <si>
    <t xml:space="preserve">Earl Fortescue (LL Devon), copy forwarded to HS</t>
  </si>
  <si>
    <t xml:space="preserve">Volunteer corps called out/purged; dockyard arms removed; General England's troops</t>
  </si>
  <si>
    <t xml:space="preserve">Same episode as B22 (Plymouth Dock riot 31 Mar-1 Apr). Volunteers required to petition to be led against rioters (loyalty test). Magistrates (St Aubyn &amp; Williams) to Fortescue 9 Apr (ff.498-499): ~300 special constables sworn in East Stonehouse; 'a numerous body of countrymen had voluntarily joined [Bastard's] Regiment, begging to have Arms given them ... to support the civil power in suppressing any Riot'; dockyard arms removed to Granby Square barracks; volunteers made to take oath of allegiance; 'the riot is put down by the vigorous exertions ... in conjunction with the Military Commander'. ROUTE: forwarded via LL. CHECK role (Bastard also MP).</t>
  </si>
  <si>
    <t xml:space="preserve">HO42-0201</t>
  </si>
  <si>
    <t xml:space="preserve">30</t>
  </si>
  <si>
    <t xml:space="preserve">f.466</t>
  </si>
  <si>
    <t xml:space="preserve">[J. P. Bastard?] to John King, 9 Apr 1801: "I hope the insurrection are at an End. The People were certainly not in their hearts disloyal tho' their Acts were illegal &amp; would have speedily terminated in Rebellion. The Dearth was the Cause" ... "Genl. England speaks highly of the assistance he has received from Bastard" ... "There are no Swords in Plymouth, or four days ago I would have had two Hundred Yeomanry (sworn as Constables in the Town) on Horseback. Does Government wish to encourage such men, if so, send me down Arms, &amp; a Carte blanche to Earl Fortescue".</t>
  </si>
  <si>
    <t xml:space="preserve">April 9th 1801</t>
  </si>
  <si>
    <t xml:space="preserve">1801-04-09</t>
  </si>
  <si>
    <t xml:space="preserve">CHECK: unsigned on this page (initials on f.467 'J.G.S.'? - possibly Simcoe)</t>
  </si>
  <si>
    <t xml:space="preserve">John King ("Dear Mr King")</t>
  </si>
  <si>
    <t xml:space="preserve">Arms (swords) for 200 mounted yeomanry sworn as constables at Plymouth</t>
  </si>
  <si>
    <t xml:space="preserve">ARMS REQUEST for a new mounted corps of yeomanry/constables. Same episode as B22. f.467 continues: Deputy Lieutenants should have power in corporate towns; mentions Attorney General's opinion on how military may act; 'I am sworn a Constable'. Initials at end 'J.G.S.' suggest Lt-Gen J. G. Simcoe - CHECK; role set accordingly.</t>
  </si>
  <si>
    <t xml:space="preserve">HO42-0202</t>
  </si>
  <si>
    <t xml:space="preserve">E162</t>
  </si>
  <si>
    <t xml:space="preserve">f.507</t>
  </si>
  <si>
    <t xml:space="preserve">Robert Muston, Bailiff of the Borough of Blandford, Dorset, 10 Apr 1801: "One of the Troops of the Greys being gone from us and the other being as I hear is to leave us in the next Week, I think it my Duty as the Magistrate of this Town to Acquaint you that I much fear from the Threats that are thrown out by the lower People that our Market will be much impeded if we are without Military - as we are threatened that as soon as the Soldiers are gone they mean to help themselves from the Market. I hope therefore that your Grace will not think me impertinent to apprize you of it, and at the same Time to request some Assistance, least any Tumultuous Proceedings should take place."</t>
  </si>
  <si>
    <t xml:space="preserve">April 10. 1801</t>
  </si>
  <si>
    <t xml:space="preserve">1801-04-10</t>
  </si>
  <si>
    <t xml:space="preserve">Blandford</t>
  </si>
  <si>
    <t xml:space="preserve">Blandford Forum</t>
  </si>
  <si>
    <t xml:space="preserve">Robert Muston, Bailiff</t>
  </si>
  <si>
    <t xml:space="preserve">Portland ("May it please your Grace")</t>
  </si>
  <si>
    <t xml:space="preserve">'some Assistance' to replace/retain troops of the Scots Greys leaving the town (request to keep/replace)</t>
  </si>
  <si>
    <t xml:space="preserve">REQUEST TO KEEP/REPLACE TROOPS. ROUTE: direct to HS. Bailiff = chief magistrate of borough. Docket not seen on this image; reply unknown.</t>
  </si>
  <si>
    <t xml:space="preserve">HO42-0203</t>
  </si>
  <si>
    <t xml:space="preserve">E163</t>
  </si>
  <si>
    <t xml:space="preserve">HO-42-61_08.pdf</t>
  </si>
  <si>
    <t xml:space="preserve">ff.543-544</t>
  </si>
  <si>
    <t xml:space="preserve">P. J. Taylor, DL, Ogwell House, 12 Apr 1801 (copy, to Earl Fortescue): "the Mob of Brixham have not only gone round to the Farmers as has been done in the neighbourhood of other Towns, but that they have been headed by Mr Saunders Captain and Messrs. Pridham and Collier Lieutenants in the Brixham Volunteers who have forced the Farmers to sign a paper binding themselves to supply Brixham Market with Wheat at ten shillings, Barley at five shillings and Potatoes at two shillings &amp; threepence the Bushel, and Butter at one shilling the Pound" ... "the Leaders of the Brixham Mob act in conformity with the resolutions of a Committee established at Dartmouth of which I suppose they are an affiliated Society".</t>
  </si>
  <si>
    <t xml:space="preserve">Ogwell House 12 April 1801</t>
  </si>
  <si>
    <t xml:space="preserve">1801-04-12</t>
  </si>
  <si>
    <t xml:space="preserve">Brixham / Dartmouth</t>
  </si>
  <si>
    <t xml:space="preserve">Brixham</t>
  </si>
  <si>
    <t xml:space="preserve">P. J. Taylor, DL</t>
  </si>
  <si>
    <t xml:space="preserve">None; volunteer officers led the mob</t>
  </si>
  <si>
    <t xml:space="preserve">VOLUNTEER OFFICERS LEADING PRICE-FIXING MOB (Brixham). ROUTE: forwarded via LL. Taxation populaire via Dartmouth 'Committee'.</t>
  </si>
  <si>
    <t xml:space="preserve">HO42-0204</t>
  </si>
  <si>
    <t xml:space="preserve">30-32</t>
  </si>
  <si>
    <t xml:space="preserve">ff.545-546</t>
  </si>
  <si>
    <t xml:space="preserve">[Writer, colonel of volunteer regiment], Bideford, 12 Apr 1801, to 'My Dear Sir' [Fortescue?]: "I have inexpressible Pleasure in informing You, that my Regt. this Day was embodied, agreeable to the Orders I recd. from Lord Fortescue, and that they behaved equal to my most sanguine Expectations, every Company was asked by its Captn. in a kind of Conversation, separately, before I met them, if they wd. be steady to perform the Services they had engaged, &amp; swore to execute, they unanimously declared, they were ready, and willing, to obey my Orders even against their nearest Relations, in case they shd. be found in any Riot, or Tumult".</t>
  </si>
  <si>
    <t xml:space="preserve">Bideford Ap: 12th 1801</t>
  </si>
  <si>
    <t xml:space="preserve">CHECK: signature on continuation (f.546) not read</t>
  </si>
  <si>
    <t xml:space="preserve">CHECK: 'My Dear Sir' - forwarded via Fortescue</t>
  </si>
  <si>
    <t xml:space="preserve">Volunteer regiment embodied on LL's orders, pledge to act against riot</t>
  </si>
  <si>
    <t xml:space="preserve">Corps embodied/permanent duty for riot control (cf. Bideford B6 Jan 1801 and Parkham B21). Key quote for 'act even against their nearest Relations'. CHECK writer.</t>
  </si>
  <si>
    <t xml:space="preserve">HO42-0205</t>
  </si>
  <si>
    <t xml:space="preserve">E164</t>
  </si>
  <si>
    <t xml:space="preserve">35-36</t>
  </si>
  <si>
    <t xml:space="preserve">ff.549-550</t>
  </si>
  <si>
    <t xml:space="preserve">[Magistrate], Sheerness, 13 Apr 1801, to 'Sir' [King]: "Riot happening in the Dock Yard at this place a little before eight o'clock this morning" ... Dock yard men "attacked Commissr. Coffin upon the Ramparts of the Garrison where they seized his person" over an impressed man ... "I had previously desired the Lieutenant Governor to get ready the whole strength of the Garrison and directed the Horse Volunteers to assemble but did not make use of any of them resolving (always) to do without Military assistance if possible" ... "I shall however order a Patrol both of Horse &amp; foot in the evening".</t>
  </si>
  <si>
    <t xml:space="preserve">Sheerness 13th April 1801</t>
  </si>
  <si>
    <t xml:space="preserve">1801-04-13</t>
  </si>
  <si>
    <t xml:space="preserve">Sheerness</t>
  </si>
  <si>
    <t xml:space="preserve">CHECK: unsigned on these pages (Sheerness magistrate, cf. Bentham f.? in 61_02)</t>
  </si>
  <si>
    <t xml:space="preserve">CHECK: 'Sir' - Under-Secretary</t>
  </si>
  <si>
    <t xml:space="preserve">Garrison readied and Horse Volunteers assembled but not used; patrol of horse &amp; foot</t>
  </si>
  <si>
    <t xml:space="preserve">BORDERLINE: dockyard riot over impressment; troops readied but not used. ROUTE: local, reported afterwards.</t>
  </si>
  <si>
    <t xml:space="preserve">HO42-0206</t>
  </si>
  <si>
    <t xml:space="preserve">E165</t>
  </si>
  <si>
    <t xml:space="preserve">52-55</t>
  </si>
  <si>
    <t xml:space="preserve">ff.561-564</t>
  </si>
  <si>
    <t xml:space="preserve">Jos. Astle Small [?], Bristol, 14-15 Apr 1801: Kingswood colliers "following the Examples of the lower Orders in the West of England, and assembling in a large Body" ... "on Monday the 6 Inst. ... collected together a Body of between 4 and 500, determined not to work - to deprive this City, and the Manufactories in the neighbourhood of their usual &amp; necessary supply of Coal" ... "The Magistrates well knowing that no Time should be lost, in restoring that Peace ... immediately called in the Assistance of the Military. Mr Charles Joseph Harford ... went forward with a Detachment of the Inniskilling Regt. of Dragoons" ... "The Magistrates with the assistance of the Military - who had been waiting all the Morning near at hand - went again &amp; dispersed them" ... "the alacrity &amp; cheerfulness with which Lieut. Genl. Rooke and the Officers &amp; Men under his Command lent their assistance to the Civil Power".</t>
  </si>
  <si>
    <t xml:space="preserve">Bristol 14th April 1801 / 15 April 1801</t>
  </si>
  <si>
    <t xml:space="preserve">1801-04-14</t>
  </si>
  <si>
    <t xml:space="preserve">Kingswood / Bristol / Lawford's Gate</t>
  </si>
  <si>
    <t xml:space="preserve">Kingswood</t>
  </si>
  <si>
    <t xml:space="preserve">Jos. Astle Small [?] (magistrate, Lawford's Gate division)</t>
  </si>
  <si>
    <t xml:space="preserve">Detachments of Inniskilling Dragoons (6th) called in; constable and serjeant of Henbury Cavalry carried answer</t>
  </si>
  <si>
    <t xml:space="preserve">ROUTE: local request to garrison, reported afterwards to HS. Colliers' strike / price-fixing paper (wheat 10s etc. 'Provisions is fallen at Taunton'). Magistrates' answer at Sessions Room Lawford's Gate 9 Apr threatens 'force either civil or Military' (f.567). Also printed 'Kingswood April 11 1801 The LOSS to Every IDLE MAN' handbill (f.565). Probably related to Bristol B27 (4 Apr) - CHECK grouping. Signature reading uncertain.</t>
  </si>
  <si>
    <t xml:space="preserve">HO42-0207</t>
  </si>
  <si>
    <t xml:space="preserve">ff.583-584</t>
  </si>
  <si>
    <t xml:space="preserve">[Chief magistrate and MP for Weymouth], Upper Grosvenor Street, 15 Apr 1801, extract of correspondent's letter: "We have lately had some disposition to a riot - indeed some mischief done in carrying away some butter and cheese and potatoes and breaking doors and windows - A considerable number of the Portland people came in a body" ... "the mischief was done for the most part by the soldiers wives and people of the Town, and several of the Somerset soldiers whenever they could do it safely lent a hand - indeed the disposition of the men of that Regiment is much to be dreaded - Though the Officers seem not to fear it, I doubt exceedingly ... if they would act at all against rioters - Our dependence seems to be on the York Hussars whom the people are afraid of".</t>
  </si>
  <si>
    <t xml:space="preserve">Upper Grosvenor Street 15th April 1801</t>
  </si>
  <si>
    <t xml:space="preserve">1801-04-15</t>
  </si>
  <si>
    <t xml:space="preserve">Weymouth / Portland</t>
  </si>
  <si>
    <t xml:space="preserve">CHECK: signature not read (chief magistrate &amp; MP for Weymouth)</t>
  </si>
  <si>
    <t xml:space="preserve">None; Somerset Militia unreliable (joined rioters); reliance on York Hussars</t>
  </si>
  <si>
    <t xml:space="preserve">Same episode as logged Weymouth (Apr 1801) - CHECK row id; log as follow-up. MILITIA UNRELIABLE. ROUTE: MP direct to HS.</t>
  </si>
  <si>
    <t xml:space="preserve">HO42-0208</t>
  </si>
  <si>
    <t xml:space="preserve">97-99</t>
  </si>
  <si>
    <t xml:space="preserve">ff.593-595</t>
  </si>
  <si>
    <t xml:space="preserve">J. St Aubyn and J. Williams, Plymouth Dock, 16-17 Apr 1801: "the Riot on Tuesday last at Stonehouse was immediately put down" ... "yesterday we had a very serious tumult here" ... "before it was possible for a Military Guard to arrive, which we had sent for, a Mob consisting of several thousands forced and broke through the Front Gate of the Court by means of large pieces of Wood which they made use of as Battering Rams" and rescued the prisoner ... "very soon after the Military arrived and we immediately pursued the Rioters" ... two ringleaders committed "under the care of two Constables and a party of the Queens Dragoons" ... "by calling out further military force dispersed for the night" ... "by the most vigorous Exertions, reading the Riot Act at the Gates of the Yard, and having a very strong Military Force ready to act, they were kept in awe" ... "We have Patroles of Constables and Military every night".</t>
  </si>
  <si>
    <t xml:space="preserve">Plymouth Dock April 16th 1801 (cont. April 17th)</t>
  </si>
  <si>
    <t xml:space="preserve">1801-04-16</t>
  </si>
  <si>
    <t xml:space="preserve">Plymouth Dock / Stonehouse</t>
  </si>
  <si>
    <t xml:space="preserve">Military guard sent for; Queen's Dragoons escort; further military force called out; nightly military patrols</t>
  </si>
  <si>
    <t xml:space="preserve">Same episode as B22 (Plymouth Dock, renewed rioting 15-17 Apr incl. Stonehouse 14 Apr: 'called on to quell a Riot at Stonehouse', f.556). ROUTE: local request to garrison, reported to HS. Also f.555-6 (14 Apr): Torpoint (Cornwall) mob intercepting provisions to Dock market; magistrates will read Riot Act at once.</t>
  </si>
  <si>
    <t xml:space="preserve">HO42-0209</t>
  </si>
  <si>
    <t xml:space="preserve">E166</t>
  </si>
  <si>
    <t xml:space="preserve">HO-42-61_09.pdf</t>
  </si>
  <si>
    <t xml:space="preserve">ff.610-611</t>
  </si>
  <si>
    <t xml:space="preserve">Will. Chas. Daman, Mayor of Romsey, Romsey, Hants, 17 Apr 1801: "In consequence of the departure of the Troop of Scotch Greys which have been for some time past stationed in this Town, I take the Liberty of suggesting to your Lordship the Propriety of sending some other Military Force to succeed them as soon as the convenience of the Service will admit of it. Fortunately this Neighbourhood is now and has for some time past been in a tranquil State but as a Disposition to Riot was evidently shewn here last year it is conceived that the Presence of a few Regulars in addition to the local Volunteer Corps might at the present conjecture have a beneficial Effect."</t>
  </si>
  <si>
    <t xml:space="preserve">Romsey Hants Apl. 17th 1801</t>
  </si>
  <si>
    <t xml:space="preserve">1801-04-17</t>
  </si>
  <si>
    <t xml:space="preserve">Will. Chas. Daman</t>
  </si>
  <si>
    <t xml:space="preserve">CHECK: "My Lord" / "your Lordship" - not Portland's usual 'Your Grace'; docketed Dom 17 Apr 1801 so reached HO</t>
  </si>
  <si>
    <t xml:space="preserve">'some other Military Force' / 'a few Regulars' to replace departing troop of Scots Greys</t>
  </si>
  <si>
    <t xml:space="preserve">REQUEST TO REPLACE departing troops. ROUTE: direct to HS (CHECK salutation). Refers to riot disposition 'last year' (1800). Docket f.609 'Rec 17 April 1801 Dom'.</t>
  </si>
  <si>
    <t xml:space="preserve">HO42-0210</t>
  </si>
  <si>
    <t xml:space="preserve">25-27</t>
  </si>
  <si>
    <t xml:space="preserve">ff.614-615</t>
  </si>
  <si>
    <t xml:space="preserve">Jonathan Elford [?] to Hon. J. Eliot, Dock, 18 Apr 1801: "a Baker of the Name of Drake had about Sixty sacks of flour in his Warehouse near Mutton Cove - and the Mob having obtained information of it ... they proceeded to break into the Warehouse - where a waterman was apprehended" ... "While he was under examination, the Mob assembled about the Poor house, burst open the doors, and in defiance of the Magistrates liberated the prisoner" ... "Two men, who were most active in this second outrage were soon afterwards apprehended, and sent off with an escort of Horse, to Exeter jail" ... shipwrights in the Dock yard "the Magistrates know that he is there".</t>
  </si>
  <si>
    <t xml:space="preserve">Dock 18th April 1801</t>
  </si>
  <si>
    <t xml:space="preserve">1801-04-18</t>
  </si>
  <si>
    <t xml:space="preserve">Plymouth Dock / Mutton Cove</t>
  </si>
  <si>
    <t xml:space="preserve">Jonathan Elford [?] (volunteer captain, cf. 'Captain Elford's whole Corps')</t>
  </si>
  <si>
    <t xml:space="preserve">Hon. J. Eliot ('Dear Sir'), forwarded to HS</t>
  </si>
  <si>
    <t xml:space="preserve">Escort of horse took prisoners to Exeter</t>
  </si>
  <si>
    <t xml:space="preserve">Same episode as B22 (Plymouth Dock, Apr 1801). ROUTE: forwarded via MP (Eliot). CHECK signature.</t>
  </si>
  <si>
    <t xml:space="preserve">HO42-0211</t>
  </si>
  <si>
    <t xml:space="preserve">E167</t>
  </si>
  <si>
    <t xml:space="preserve">28-31</t>
  </si>
  <si>
    <t xml:space="preserve">ff.616-619</t>
  </si>
  <si>
    <t xml:space="preserve">Earl Fitzwilliam [LL, W. Riding], Wentworth, 18 Apr 1801, forwarding letters of Busfeild and Frank re intended meeting on Steeton Moor: "I have desir'd the two Craven Troops of West Riding Yeomanry Cavalry, to assemble on the day pointed out by the paper, each at its usual place of meeting, in order that they may be ready, should occasion require, to proceed to the spot. I have likewise desir'd Mr Busfield, who is himself Lt. Col. Com. of the Bradford Volunteers to have his Corp paraded at Bradford on that morning". Busfeild (Myrtle Grove, 14 Apr, f.621): "the Place fixed upon being at a considerable distance from any military Force either Regulars Militia or Volunteers except your Craven Troop of Yeomanry Cavalry". Frank (Pontefract, 16 Apr, f.619): Cornet Hibbert of Major Farrand's Troop "to be prepared but not to march unless further ordered".</t>
  </si>
  <si>
    <t xml:space="preserve">Wentworth April 18th 1801</t>
  </si>
  <si>
    <t xml:space="preserve">Steeton Moor / Bradford / Keighley</t>
  </si>
  <si>
    <t xml:space="preserve">Steeton (nr Keighley)</t>
  </si>
  <si>
    <t xml:space="preserve">Earl Fitzwilliam</t>
  </si>
  <si>
    <t xml:space="preserve">Two Craven troops W. Riding Yeomanry Cavalry assembled; Bradford Volunteers paraded</t>
  </si>
  <si>
    <t xml:space="preserve">LL orders yeomanry/volunteers ready for threatened meeting (papers under doors at Keighley/Myrtle Grove market). Logged as Corps armed/expanded (call-out) - coordinator may reclassify Other. Follow-up: Fitzwilliam 21 Apr (f.676) and Busfeild? Steeton 20 Apr (f.678): constables on moor, 'not a single Person ... have been seen'; Lord Ribblesdale's troop at Skipton, Major Farrand's at Ripley and Bingley. ROUTE: LL to HS.</t>
  </si>
  <si>
    <t xml:space="preserve">HO42-0212</t>
  </si>
  <si>
    <t xml:space="preserve">E168</t>
  </si>
  <si>
    <t xml:space="preserve">ff.639-640</t>
  </si>
  <si>
    <t xml:space="preserve">[Earl] Mt. Edgcumbe [LL Cornwall], St Austell, 18 Apr 1801: "having in consequence of your recommendation proceeded with all possible expedition into Cornwall, I reached Bodmin yesterday" ... "in every part of the County the Miners have returned to their work, &amp; are quite satisfied with the arrangements made by the Magistrates for their future support" ... resolutions of Quarter Sessions at Truro. Enclosure (f.641, printed): 'Resolved. That we will to the utmost of our Power afford the fullest Protection to Property, and the free Supply of the Markets.'</t>
  </si>
  <si>
    <t xml:space="preserve">St Austell April 18th 1801</t>
  </si>
  <si>
    <t xml:space="preserve">Bodmin / St Austell / Truro</t>
  </si>
  <si>
    <t xml:space="preserve">Mt. Edgcumbe (Earl of Mount Edgcumbe)</t>
  </si>
  <si>
    <t xml:space="preserve">BORDERLINE context: Cornish miners' disturbances spring 1801 subsided; LL sent into county on HS recommendation. Follow-up Lostwithiel 21 Apr (f.674). Also Falmouth 19 Apr letter (f.642). Relates to B8 (Tregony tinners).</t>
  </si>
  <si>
    <t xml:space="preserve">HO42-0213</t>
  </si>
  <si>
    <t xml:space="preserve">HO-42-61_10.pdf</t>
  </si>
  <si>
    <t xml:space="preserve">2</t>
  </si>
  <si>
    <t xml:space="preserve">f.680</t>
  </si>
  <si>
    <t xml:space="preserve">R. Eales [?], Clerk of the Peace for Devon, Exeter, 21 Apr 1801, to John King: "By order of Lord Fortescue, I send you herewith Copies of Depositions against [Elizabeth Easterbrook?] ... committed to the County Gaol of Devon for Rioting &amp;c at Plymouth Dock - also Copies of Depositions taken against Capt. Geo. Saunders and Lieutenants Peter Pridham and Collier of the Brixham Volunteers for aiding and assisting the Rioters in that neighbourhood" ... "The Lord Lieutenant has already broke them and disbanded their Corps."</t>
  </si>
  <si>
    <t xml:space="preserve">Exeter 21 April 1801</t>
  </si>
  <si>
    <t xml:space="preserve">1801-04-21</t>
  </si>
  <si>
    <t xml:space="preserve">Brixham / Plymouth Dock</t>
  </si>
  <si>
    <t xml:space="preserve">R. Eales [?], Clerk of the Peace</t>
  </si>
  <si>
    <t xml:space="preserve">None; Brixham Volunteers disbanded by LL for aiding rioters</t>
  </si>
  <si>
    <t xml:space="preserve">Same episode as B31 (Brixham volunteer officers leading mob). Outcome: corps disbanded. Also Hartley? Ripley? Brixham follow-up 25 Apr (f.712): Mrs Cutler forced to sign by Lt Pridham &amp; Saunders. Signature uncertain.</t>
  </si>
  <si>
    <t xml:space="preserve">HO42-0214</t>
  </si>
  <si>
    <t xml:space="preserve">46, 76</t>
  </si>
  <si>
    <t xml:space="preserve">ff.714, 741</t>
  </si>
  <si>
    <t xml:space="preserve">'Account of Volunteer Corps ordered on permanent Service by the Lord Lieutenant of the County Devon' (f.714): Lt-Col Orchard (9 Apr); Capt Newcombe Teignmouth Yeomanry (15th); Lt-Col Wright Exeter Regt Volunteers (15th); Major Lord Rolle Beer &amp; Seaton (15th); Capt Phillips 4th Company Exeter (19th); Capt Williams 5th (19th); Capt Townsend Honiton Corps (21st); Capt Luscombe Exeter Fusiliers (22nd); Lt-Col Bray Tavistock (27th). Fortescue, Plymouth Dock, 30 Apr 1801 (f.741): "I have the Honour herewith to enclose an Account of the Volunteer Corps which I have deemed it expedient to call out on permanent service with the respective Dates of their being so embodied. I have sent a Duplicate of it to the War Office for their guidance."</t>
  </si>
  <si>
    <t xml:space="preserve">Plymouth Dock April 30th 1801</t>
  </si>
  <si>
    <t xml:space="preserve">1801-04-30</t>
  </si>
  <si>
    <t xml:space="preserve">Devon (county-wide)</t>
  </si>
  <si>
    <t xml:space="preserve">Earl Fortescue</t>
  </si>
  <si>
    <t xml:space="preserve">9 volunteer/yeomanry corps embodied on permanent service, 9-27 Apr 1801</t>
  </si>
  <si>
    <t xml:space="preserve">County-wide embodiment of volunteers for riot control after the Devon food riots (Mar-Apr 1801). Grouped under B22 because written from Plymouth Dock; coordinator may give own episode. Also Fortescue asks HS re colonelcy for Bastard over all corps. ROUTE: LL to HS.</t>
  </si>
  <si>
    <t xml:space="preserve">HO42-0215</t>
  </si>
  <si>
    <t xml:space="preserve">E169</t>
  </si>
  <si>
    <t xml:space="preserve">HO 42/117</t>
  </si>
  <si>
    <t xml:space="preserve">HO-42-117_07.pdf</t>
  </si>
  <si>
    <t xml:space="preserve">38</t>
  </si>
  <si>
    <t xml:space="preserve">f.531</t>
  </si>
  <si>
    <t xml:space="preserve">HO reply copy, J. Beckett, Whitehall, 14 Nov 1811, to Wm. Sherbrooke Esq., Oxton, Southwell: "I am directed by Mr Secretary Ryder to acknowledge the receipt of your letter of the 12th instant relative to certain riotous proceedings which have taken place in the vicinity of Nottingham, and requesting that an additional Military Force might be sent thither to aid the Civil Power in the Preservation of the Peace, and I am to acquaint you that a Squadron of the 15th Dragoons has been ordered to repair immediately to Nottingham and that General Dyott who commands the District has been directed to afford such additional Force as may be necessary in case of emergency."</t>
  </si>
  <si>
    <t xml:space="preserve">12 Nov. 1811 (request); reply 14 Nov. 1811</t>
  </si>
  <si>
    <t xml:space="preserve">1811-11-12</t>
  </si>
  <si>
    <t xml:space="preserve">vicinity of Nottingham</t>
  </si>
  <si>
    <t xml:space="preserve">Wm. Sherbrooke, Oxton near Southwell</t>
  </si>
  <si>
    <t xml:space="preserve">Ryder (original letter not seen; known from HO reply)</t>
  </si>
  <si>
    <t xml:space="preserve">'an additional Military Force' to aid the civil power</t>
  </si>
  <si>
    <t xml:space="preserve">Squadron of 15th Dragoons ordered to Nottingham; Gen. Dyott (District commander) directed to afford additional force in case of emergency</t>
  </si>
  <si>
    <t xml:space="preserve">1811-11-14</t>
  </si>
  <si>
    <t xml:space="preserve">J. Beckett for Ryder</t>
  </si>
  <si>
    <t xml:space="preserve">ROUTE: direct to HS. Original letter of 12 Nov not in this file; logged from HO reply copy f.531 (endorsed 13 Nov 1811 on outer sheet of f.529-530 letter). Sherbrooke = chairman of county magistrates' special sessions (f.572). Date ISO = date of request.</t>
  </si>
  <si>
    <t xml:space="preserve">HO42-0216</t>
  </si>
  <si>
    <t xml:space="preserve">f.550</t>
  </si>
  <si>
    <t xml:space="preserve">Geo. Coldham, Town Clerk, Nottingham, 20 Nov 1811, to Ryder, referring back: "The Mayor and Aldermen of Nottingham are duly sensible of your attention to the requests which the Danger in which the Publick Peace was involved compelled them to address to you on the 13th of November Instant ... and in the very prompt and efficient aid afforded them by the Secretary at War in Directing a Squadron of Cavalry to march to the assistance of this District".</t>
  </si>
  <si>
    <t xml:space="preserve">13th of November Instant (referred to in letter of 20 Nov 1811)</t>
  </si>
  <si>
    <t xml:space="preserve">1811-11-13</t>
  </si>
  <si>
    <t xml:space="preserve">Mayor and Aldermen of Nottingham (via Geo. Coldham, Town Clerk)</t>
  </si>
  <si>
    <t xml:space="preserve">Ryder</t>
  </si>
  <si>
    <t xml:space="preserve">military force (cavalry sent)</t>
  </si>
  <si>
    <t xml:space="preserve">Squadron of cavalry sent by Secretary at War; District general ordered to afford further aid</t>
  </si>
  <si>
    <t xml:space="preserve">ROUTE: direct to HS (and to Secretary at War). Original town application of 13 Nov not in this file; known from Coldham 20 Nov (f.550) and Coulthorpe 13 Nov (f.529). Town magistrates wanted protection because frames in town belonged to workmen resident there.</t>
  </si>
  <si>
    <t xml:space="preserve">HO42-0217</t>
  </si>
  <si>
    <t xml:space="preserve">ff.529-530</t>
  </si>
  <si>
    <t xml:space="preserve">Geo. Coulthorpe [?], Clerk to the Magistrates (county), Nottingham, 13 Nov 1811: "the number of persons assembling amounting frequently to 2 or 300 armed some of them with fire arms, and others with bludgeons for the avow'd purpose of breaking forcibly into houses to destroy Stocking frames ... have excited a very general alarm, and the civil power is totally ineffectual for suppressing the Riots and restoring tranquillity." "The Magistrates of the County ... being convinced that nothing less than an adequate Military force can be effectual for that purpose, have directed me to add their request to that of the Magistrates of the Town, that not less than the force applied for by them, may be immediately sent to this place and Neighbourhood." "the present insufficient force at the Barracks arises from several detachments having been already called out to escort French Prisoners."</t>
  </si>
  <si>
    <t xml:space="preserve">Nottingham 13th Nov. 1811</t>
  </si>
  <si>
    <t xml:space="preserve">Geo. Coulthorpe [?] (surname partly illegible), Clerk to the county magistrates</t>
  </si>
  <si>
    <t xml:space="preserve">Ryder ('Sir'); similar letter sent to Secretary at War</t>
  </si>
  <si>
    <t xml:space="preserve">'an adequate Military force', not less than that applied for by the Town magistrates</t>
  </si>
  <si>
    <t xml:space="preserve">ROUTE: direct to HS on behalf of county magistrates. Writer is clerk, role coded as magistrates. Barracks in Nottingham under strength (detachments escorting French prisoners). Docket on back 13 Nov 1811 'Dom'. Reply presumably as f.531. An HO precis of this and following letters is at HO 42/117 ff.485-486 (117_06 pp.84-85), not logged separately.</t>
  </si>
  <si>
    <t xml:space="preserve">HO42-0218</t>
  </si>
  <si>
    <t xml:space="preserve">ff.537-538</t>
  </si>
  <si>
    <t xml:space="preserve">Thomas Wright, High Sheriff for Notts, Norwood Park near Southwell, 17 Nov 1811: "Upon the receipt of a most pressing letter (which reach'd me about 6 o'clock on the Morng of the 14th Inst.) from a leading Magistrate ... stating that a lawless Mob was then marching through the County armed with fire arms &amp;c. exceeding a Thousand Men, and giving it as his opinion that I as High Sheriff, ought to call out the Posse Comitatus, &amp; send Expresses to all the Yeomanry Cavalry in the County ... that the Special Constables dare not turn out, nor could they resist so great a force". "Upon meeting there with a party of Regular Dragoons, sent thither by the Magistrates of Nottm. from the Barracks, to my assistance ... read the Riot Act, took up a number of suspicious persons". "I shall not deem it requisite ... to dismiss the Military Force I have collected, until I am informed of the arrival of the Regular Mil.y Force which, I understand, is proceeding hither".</t>
  </si>
  <si>
    <t xml:space="preserve">Norwood Park near Southwell Notts. Nov. 17th 1811</t>
  </si>
  <si>
    <t xml:space="preserve">Arnold / Red Hill</t>
  </si>
  <si>
    <t xml:space="preserve">Arnold</t>
  </si>
  <si>
    <t xml:space="preserve">Thomas Wright, High Sheriff</t>
  </si>
  <si>
    <t xml:space="preserve">Ryder ('Rt. Hon. Sir')</t>
  </si>
  <si>
    <t xml:space="preserve">Called out 1st &amp; 2nd Local Militia, Newark, Ollerton, Holme and Bunny troops of Yeomanry Cavalry; plus party of regular Dragoons sent from Nottingham barracks by town magistrates</t>
  </si>
  <si>
    <t xml:space="preserve">ROUTE: local call-out reported afterwards. Date ISO = event (14 Nov); letter 17 Nov. Magistrate asked Sheriff to call out posse comitatus and yeomanry; Sheriff says special constables could not resist (civil power inadequate). Asks what returns are needed for pay. Place normalised: Arnold. HO précis at f.486 also summarises.</t>
  </si>
  <si>
    <t xml:space="preserve">HO42-0219</t>
  </si>
  <si>
    <t xml:space="preserve">62-63</t>
  </si>
  <si>
    <t xml:space="preserve">Nathl. Mason, Clerk of the General Meeting of Lieutenancy, East Retford, 23 Nov 1811, encloses order of Duke of Newcastle, 14 Nov 1811: "These are to authorize and require you to assemble the Third or Retford Regiment of Local Militia of the County of Nottingham under your command at East Retford to-morrow (the fifteenth day of November instant) and there to hold that Regiment in readiness to march, for the purpose of suppressing riot, and to await my further orders".</t>
  </si>
  <si>
    <t xml:space="preserve">East Retford Nov 23 1811; order dated 14 Nov 1811</t>
  </si>
  <si>
    <t xml:space="preserve">East Retford</t>
  </si>
  <si>
    <t xml:space="preserve">Nathl. Mason (clerk of lieutenancy), for Sir Thos. Woollaston White Bt; order signed by Duke of Newcastle</t>
  </si>
  <si>
    <t xml:space="preserve">Ryder ('Sir')</t>
  </si>
  <si>
    <t xml:space="preserve">3rd (Retford) Regt of Local Militia held in readiness to march</t>
  </si>
  <si>
    <t xml:space="preserve">ROUTE: LL call-out reported afterwards. Date ISO = date of LL order. Newcastle later says 4th LM never called out (f.563).</t>
  </si>
  <si>
    <t xml:space="preserve">HO42-0220</t>
  </si>
  <si>
    <t xml:space="preserve">HO-42-117_08.pdf</t>
  </si>
  <si>
    <t xml:space="preserve">41</t>
  </si>
  <si>
    <t xml:space="preserve">f.613</t>
  </si>
  <si>
    <t xml:space="preserve">Thomas Wright, High Sheriff, Norwood Park, Thursday 14 Nov 1811: "Authentic information having this moment reached me to intimate that two Thousand Men, of whom many are armed, are now riotously traversing the County of Nottingham, I have the honor, as High Sheriff for this County to request your assistance in the discharge of my duty".</t>
  </si>
  <si>
    <t xml:space="preserve">Norwood Park Thursday 14th Novr. 1811</t>
  </si>
  <si>
    <t xml:space="preserve">County of Nottingham</t>
  </si>
  <si>
    <t xml:space="preserve">Nottinghamshire (Arnold area)</t>
  </si>
  <si>
    <t xml:space="preserve">Ryder ('Right Honble Sir')</t>
  </si>
  <si>
    <t xml:space="preserve">unspecified 'assistance' (implicitly military)</t>
  </si>
  <si>
    <t xml:space="preserve">ROUTE: direct to HS. BORDERLINE as to force (no troops named), but sent same morning Sheriff called out militia/yeomanry (see 17 Nov letter, f.537). Same episode as Nottingham Nov 1811 requests.</t>
  </si>
  <si>
    <t xml:space="preserve">HO42-0221</t>
  </si>
  <si>
    <t xml:space="preserve">40-43</t>
  </si>
  <si>
    <t xml:space="preserve">ff.533-536</t>
  </si>
  <si>
    <t xml:space="preserve">Duke of Newcastle, H.M. Lt. Co. Nottm, Clumber, [16] Nov 1811: "The Local Militia from the nature of their service cannot have been so much employed, but I learn that they most of them quickly repaired to Head Quarters when required to do so, and many as they collected were marched against the rioters." "I have every reason to believe that the Local Militia regiments may be trusted, and in that case the County armed force is most ample to protect the County against the most extended riots."</t>
  </si>
  <si>
    <t xml:space="preserve">Clumber 16 Nov. 1811 (from docket)</t>
  </si>
  <si>
    <t xml:space="preserve">1811-11-16</t>
  </si>
  <si>
    <t xml:space="preserve">Clumber / Nottinghamshire</t>
  </si>
  <si>
    <t xml:space="preserve">Duke of Newcastle, Lord Lieutenant</t>
  </si>
  <si>
    <t xml:space="preserve">None requested; LL says local militia and yeomanry ample</t>
  </si>
  <si>
    <t xml:space="preserve">BORDERLINE. ROUTE: LL report to HS. CHECK: date from docket on f.537 verso ('16 Nov 1811 ... Clumber ... Duke of Newcastle'); first pages ff.533-535 read only in part. LL view contrasts with magistrates' requests for regulars.</t>
  </si>
  <si>
    <t xml:space="preserve">HO42-0222</t>
  </si>
  <si>
    <t xml:space="preserve">Lt-Col. [Wylde], Southwell, Notts, 17 Nov 1811: "In compliance with the Local Militia act of Parliament, I have the honor to enclose Returns of a part of the Second Regiment of Local Militia, commanded by Lt. Col. Wm. Sherbrooke, &amp; who have been call'd out by the High Sheriff of this County for the suppression of a Riot, and a Detachment marched to the Village of Arnold".</t>
  </si>
  <si>
    <t xml:space="preserve">Southwell Notts. 17th Novem. 1811</t>
  </si>
  <si>
    <t xml:space="preserve">1811-11-17</t>
  </si>
  <si>
    <t xml:space="preserve">Southwell / Arnold</t>
  </si>
  <si>
    <t xml:space="preserve">Lt-Col. Wylde (2nd Notts Local Militia)</t>
  </si>
  <si>
    <t xml:space="preserve">CHECK: 'My Lord' - probably the Lord Lieutenant (Newcastle), forwarded to HO</t>
  </si>
  <si>
    <t xml:space="preserve">2nd Notts Local Militia (part; HO précis gives 183 incl. officers) called out by High Sheriff</t>
  </si>
  <si>
    <t xml:space="preserve">ROUTE: local call-out reported afterwards, via LL. CHECK: writer name from HO précis f.485 ('1st Coll. Wylde 17 Nov.'); signature on return f.556 'Wm. Wylde Lt Col Comt 2d Notts LM'.</t>
  </si>
  <si>
    <t xml:space="preserve">HO42-0223</t>
  </si>
  <si>
    <t xml:space="preserve">ff.550-551</t>
  </si>
  <si>
    <t xml:space="preserve">Geo. Coldham, Town Clerk, Nottingham, 20 Nov 1811, for Mayor and Aldermen: "It has not been until this day that the whole of the Cavalry destined for our assistance has arrived." "they must look with alarm at any long continuance of the Expense to which the country must be put by their [Local Militia] continuing in Service". "the Magistrates of the Town now that they know that they have at their command two Troops of regular cavalry think it not necessary that any of the Regiments of Local Militia should continue assembled for their security". "The Mayor and Aldermen still think that if the Convenience of the service would permit it would be essential to the full security and efficient protection of the Town and County that a Body of 200 or 300 Infantry should be stationed in the Town for the Winter." "they have appointed upwards of 400 Special Constables".</t>
  </si>
  <si>
    <t xml:space="preserve">Nottingham 20th November 1811</t>
  </si>
  <si>
    <t xml:space="preserve">1811-11-20</t>
  </si>
  <si>
    <t xml:space="preserve">Geo. Coldham, Town Clerk, for Mayor and Aldermen</t>
  </si>
  <si>
    <t xml:space="preserve">200 or 300 Infantry stationed in the Town for the Winter</t>
  </si>
  <si>
    <t xml:space="preserve">ROUTE: direct to HS; substance also sent to Secretary at War and District general. Two troops regular cavalry now in town; 1st LM quartered in town under Col. Wright. Also 400+ special constables sworn. Same episode as town request of 13 Nov.</t>
  </si>
  <si>
    <t xml:space="preserve">HO42-0224</t>
  </si>
  <si>
    <t xml:space="preserve">ff.559-560</t>
  </si>
  <si>
    <t xml:space="preserve">Duke of Newcastle, Clumber, 20 Nov 1811: "It is with very great satisfaction that I can now write to inform you that the late disagreeable disturbances in this County are entirely got under." "The Local Militia and Yeomanry of this County were a great deal more than necessary to keep the peace of the County. As the whole four regiments of Local Militia have been called out on this occasion".</t>
  </si>
  <si>
    <t xml:space="preserve">Clumber Nov. 20 1811</t>
  </si>
  <si>
    <t xml:space="preserve">None; reports local force more than sufficient</t>
  </si>
  <si>
    <t xml:space="preserve">BORDERLINE. ROUTE: LL to HS. Notes distress of stocking-makers out of work. Contradicted by his own letter of 27 Nov (4th LM never called out; disturbances renewed). Docket 24 Nov 1811.</t>
  </si>
  <si>
    <t xml:space="preserve">HO42-0225</t>
  </si>
  <si>
    <t xml:space="preserve">ff.544-545</t>
  </si>
  <si>
    <t xml:space="preserve">W. Sherbrooke, Oxton near Southwell, 23 Nov 1811: "The Magistrates are of Opinion that nothing but a severe and awful example of Punishment will prevent farther insurrections in this County, they lament to say that several Hay Stacks have been set on fire the last Week, that an infamous letter containing threats of farther destruction has been received by one of the Magistrates, and the Mob are now merely kept from Mischief by the Armed Force assembled".</t>
  </si>
  <si>
    <t xml:space="preserve">Oxton Novr. 23 1811 near Southwell</t>
  </si>
  <si>
    <t xml:space="preserve">1811-11-23</t>
  </si>
  <si>
    <t xml:space="preserve">W. Sherbrooke (for magistrates in special sessions)</t>
  </si>
  <si>
    <t xml:space="preserve">None (asks Special Commission); armed force present</t>
  </si>
  <si>
    <t xml:space="preserve">BORDERLINE. Asks Prince Regent to send a judge with a Special Commission. Endorsed 'Insert Answer to this Application'. Conant (4 Dec) found magistrates then thought Commission not expedient.</t>
  </si>
  <si>
    <t xml:space="preserve">HO42-0226</t>
  </si>
  <si>
    <t xml:space="preserve">65</t>
  </si>
  <si>
    <t xml:space="preserve">f.555</t>
  </si>
  <si>
    <t xml:space="preserve">Thomas Wright, High Sheriff, Norwood Park, 24 Nov 1811: "In conformity with the recommendation contained in your last Favor of the 20th Inst. I did not fail to dismiss, as soon as possible, the different Provincial Corps assembled by my desire". "all the said Corps of Yeomanry Cavalry &amp; Local Militia are dismissed, except the 1st Regt. or Nottingham Local Militia, which it is considered, by the Magistrates assembled here ... to retain under arms until the expiration of 14 days".</t>
  </si>
  <si>
    <t xml:space="preserve">Norwood Park Nov. 24th 1811</t>
  </si>
  <si>
    <t xml:space="preserve">1811-11-24</t>
  </si>
  <si>
    <t xml:space="preserve">1st Notts Local Militia (737 incl. officers per HO précis) retained under arms by magistrates to 27 Nov</t>
  </si>
  <si>
    <t xml:space="preserve">ROUTE: report to HS. Magistrates decided to KEEP local militia under arms (retention). HO (letter of 20 Nov) had recommended dismissing provincial corps. Continuation f.556 (return of 2nd LM).</t>
  </si>
  <si>
    <t xml:space="preserve">HO42-0227</t>
  </si>
  <si>
    <t xml:space="preserve">72-76</t>
  </si>
  <si>
    <t xml:space="preserve">Duke of Newcastle, Clumber, [27] Nov 1811: "the Town of Nottingham is by no means in a state of quiet. Early this morning I received intelligence that the outrages in that quarter were rather encreasing than diminishing, and the Magistrates thought it of the first importance to have a stationary Infantry force in addition to the Cavalry which they now have." "their answer was, that they were decidedly of opinion that such a force was indispensable for the security of the property of Individuals and for the peace of the Town - I in consequence ordered two companies of the 2d Regt. of Local Militia to march instantly to Nottingham". "It would be most desirable, if any regiment of the Line or of Militia or any part of either could be marched into this County - There appears to be too much system amongst the rioters to expect that they will desist from committing any sort of outrages unless overawed by a sufficient Military Force".</t>
  </si>
  <si>
    <t xml:space="preserve">Clumber Nov. [27] 1811 (docket 27 Nov 1811)</t>
  </si>
  <si>
    <t xml:space="preserve">1811-11-27</t>
  </si>
  <si>
    <t xml:space="preserve">Stationary infantry force; 'any regiment of the Line or of Militia or any part of either'; meanwhile 2 companies 2nd Local Militia ordered to Nottingham</t>
  </si>
  <si>
    <t xml:space="preserve">ROUTE: forwarded by LL (magistrates' request passed on with LL's own support). CHECK: date - docket on f.565 verso area reads 27 Nov 1811; first page f.561 not read in full. Also corrects earlier report: only 1st LM kept 14 days; 2nd LM only 2 companies; 4th LM never called out. Outcome: Berkshire Militia ordered (Conant, 4 Dec, f.582).</t>
  </si>
  <si>
    <t xml:space="preserve">HO42-0228</t>
  </si>
  <si>
    <t xml:space="preserve">78-79</t>
  </si>
  <si>
    <t xml:space="preserve">ff.565-566</t>
  </si>
  <si>
    <t xml:space="preserve">John Elliott, Nottingham, 27 Nov 1811: "I am requested by a Special Meeting of Magistrates held at the Shire Hall in Nottingham this day to state to you, that the Riots and Disturbances in this Neighbourhood continue and increase - that the Persons concerned seem to be organized in a very formidable and systematic manner, nor have either the Civil or Military Force as yet been able to apprehend any of the principal Offenders - that the Magistrates have thought it expedient to apply to the Bow Street Office for Six active Officers of Police". "The Magistrates found the Service of One Regiment of the Local Militia highly necessary and have only to regret that the Service of this kind of force cannot be extended to any length of time. They therefore most earnestly request that a Regiment of English Infantry may be sent and permanently fixed in this place and Neighbourhood to be at the disposal of the Magistrates in case of necessity."</t>
  </si>
  <si>
    <t xml:space="preserve">Nottingham 27th Nov. 1811</t>
  </si>
  <si>
    <t xml:space="preserve">John Elliott (Col. Elliott, county magistrate per f.582)</t>
  </si>
  <si>
    <t xml:space="preserve">A Regiment of English Infantry permanently fixed in Nottingham and neighbourhood</t>
  </si>
  <si>
    <t xml:space="preserve">ROUTE: direct to HS on behalf of special meeting of county magistrates. 'English' infantry (i.e. not Irish militia - CHECK meaning). Margin 'Copy'; struck 'Answer'. Outcome: Berkshire Militia ordered (Conant f.582).</t>
  </si>
  <si>
    <t xml:space="preserve">HO42-0229</t>
  </si>
  <si>
    <t xml:space="preserve">84-89</t>
  </si>
  <si>
    <t xml:space="preserve">ff.570-574</t>
  </si>
  <si>
    <t xml:space="preserve">Duke of Newcastle, Clumber, 30 Nov 1811, enclosing two copy letters from Nottingham: "the riots in this County become more serious as they appear to be more systematic. As you will perceive I am now called upon to assemble the whole of the Volunteer Cavalry of this County - I have in consequence, (in the first instance) complied with it only in part, and I have ordered out the Bunny and Holme-Pierrepont Troops of Yeo. Cavy." Enclosure, W. Sherbrooke, Chairman of the Special Sessions, Nottingham, 30 Nov 1811, to Newcastle: "the Military Force in this District is completely inadequate to the suppression of the mischief, and the Secretary of State (notwithstanding repeated applications from the Magistrates for an adequate Military Force to be established here during the winter) has not hitherto complied with the application. I am desired ... to request that your Grace will give immediate directions that the whole of the Volunteer Yeomanry Cavalry of the County shall be immediately called into actual service". Second enclosure, Sherbrooke to Newcastle: "The Mob is now so organized that nothing but Military placed in every parish will be adequate to suppress it." "the Military cannot act efficiently unless stationed in every village."</t>
  </si>
  <si>
    <t xml:space="preserve">Clumber Nov. 30 1811; enclosures Nottingham 30th Novr. 1811</t>
  </si>
  <si>
    <t xml:space="preserve">1811-11-30</t>
  </si>
  <si>
    <t xml:space="preserve">Nottingham; Beeston and Bulwell</t>
  </si>
  <si>
    <t xml:space="preserve">W. Sherbrooke, chairman of county magistrates (to LL); forwarded by Duke of Newcastle</t>
  </si>
  <si>
    <t xml:space="preserve">Lord Lieutenant Newcastle ('My Lord Duke', 'Your Grace'); forwarded by Newcastle to Ryder ('Sir')</t>
  </si>
  <si>
    <t xml:space="preserve">Whole of Volunteer Yeomanry Cavalry of the County called into actual service; military in every parish/village</t>
  </si>
  <si>
    <t xml:space="preserve">ROUTE: local request (magistrates to LL) forwarded by LL to HS. 'Your Grace' here = Duke of Newcastle, NOT Portland. Magistrates complain HS has ignored 'repeated applications' for an adequate force for the winter. LL complied only in part (Bunny &amp; Holme Pierrepont troops). Same call-out as Receiver General letter 7 Dec (HO 42/113 f.180). Rioters at Beeston and Bulwell posted men threatening to shoot anyone calling civil or military power.</t>
  </si>
  <si>
    <t xml:space="preserve">HO42-0230</t>
  </si>
  <si>
    <t xml:space="preserve">94-97</t>
  </si>
  <si>
    <t xml:space="preserve">ff.579-581</t>
  </si>
  <si>
    <t xml:space="preserve">Thomas Wright, High Sheriff, Norwood Park, 1 Dec 1811: "the disturbed state of the County makes me ... anxious to address you at present, as it appears expedient to the Lord Lieutenant to call them again into activity." "The Rioters continue their violence in an alarming manner. I have this Morning seen two Letters from most respectable Magistrates, in both of which it is stated that the outrages committed are 'worse than ever'; that on Friday Night last many Frames were destroyed at Arnold ... by a Large Body of Rioters, who, having posted Guards at the different Avenues of the Village, levied contributions of Money from the Inhabitants. - Four Troops of Yeo. Cavalry are I understand, actually under Orders for assembling."</t>
  </si>
  <si>
    <t xml:space="preserve">Norwood Park Decr. 1st 1811</t>
  </si>
  <si>
    <t xml:space="preserve">1811-12-01</t>
  </si>
  <si>
    <t xml:space="preserve">Four troops of Yeomanry Cavalry under orders to assemble (re-call-out)</t>
  </si>
  <si>
    <t xml:space="preserve">ROUTE: report to HS. Encloses return of dismissal dates (f.580): 1st LM 27 Nov, 2nd LM 23 Nov, Newark troop 16 Nov, Bunny 19 Nov, Mansfield troop 21 Nov. Sheriff accused of interfering with LL's authority; Prince Regent approved his conduct.</t>
  </si>
  <si>
    <t xml:space="preserve">HO42-0231</t>
  </si>
  <si>
    <t xml:space="preserve">90-93</t>
  </si>
  <si>
    <t xml:space="preserve">ff.575-578</t>
  </si>
  <si>
    <t xml:space="preserve">Duke of Newcastle, Clumber, 1 &amp; 2 Dec 1811 (private): "The rioters have adopted a system by which they levy contributions on the villages, and actually subsist themselves on the produce of their plunder." "Constables have been sworn in for every village, these will form a night patrole and troops are placed in every village ready to assist the civil force when called upon". 1 Dec: "I was happy to find today that my compliance in part only with the request of the Magistrates to call out the whole Yeomanry cavalry force, has been found to be right, as two troops are now found sufficient. The Provincial corps now assembled are - Two troops Yeo. Cav.y and two companies of the 2d Local Militia about 170 men".</t>
  </si>
  <si>
    <t xml:space="preserve">Clumber Decr. 1 1811; Clumber Decr. 2 1811</t>
  </si>
  <si>
    <t xml:space="preserve">1811-12-02</t>
  </si>
  <si>
    <t xml:space="preserve">Nottingham and villages</t>
  </si>
  <si>
    <t xml:space="preserve">Troops placed in every village; 2 troops yeomanry + 2 companies 2nd LM (~170 men)</t>
  </si>
  <si>
    <t xml:space="preserve">ROUTE: LL to HS. Civil power inadequate: villagers afraid to inform; LL criticises 'remissness or want of activity' of magistrates near Nottingham. Follow-up to 30 Nov request.</t>
  </si>
  <si>
    <t xml:space="preserve">HO42-0232</t>
  </si>
  <si>
    <t xml:space="preserve">107</t>
  </si>
  <si>
    <t xml:space="preserve">f.590</t>
  </si>
  <si>
    <t xml:space="preserve">Wm. Lilley, Nottingham, Decr. 2[?] 1811: "I am sorry to inform you the frame breaking continues, I fear not less than 15 of yours are demolished - also a great number of other persons nearly 100 saturday and sunday night ... I have plac'd Military guards every night at Cow Lane &amp; Barker gate shops - we have got a Military escort to bring what frames are left at New Radford down to Cow Lane".</t>
  </si>
  <si>
    <t xml:space="preserve">Nottingham Decr. 2[?] 1811</t>
  </si>
  <si>
    <t xml:space="preserve">Nottingham / New Radford</t>
  </si>
  <si>
    <t xml:space="preserve">Wm. Lilley (manager/agent of a hosiery firm - CHECK)</t>
  </si>
  <si>
    <t xml:space="preserve">CHECK: addressed on cover to 'Sir James [?] Bart MP' (frame owner), forwarded to HO</t>
  </si>
  <si>
    <t xml:space="preserve">Military guards at warehouses; military escort for frames</t>
  </si>
  <si>
    <t xml:space="preserve">BORDERLINE. ROUTE: private letter to employer/MP, forwarded to HO. Shows local use of troops as guards/escorts (request to local garrison implied). CHECK date digit and addressee.</t>
  </si>
  <si>
    <t xml:space="preserve">HO42-0233</t>
  </si>
  <si>
    <t xml:space="preserve">E170</t>
  </si>
  <si>
    <t xml:space="preserve">ff.616-617</t>
  </si>
  <si>
    <t xml:space="preserve">Edwd. Dawson, Magistrate Co. Leicester, Whatton House, Loughborough, 2 Dec 1811 (endorsed by T. Parkinson, magistrate): "After the representations of the state of this neighbourhood already transmitted to the Secretary at War, I trouble you only to suggest the expediency there would be in stationing a small detachment of Military also at Kegworth as well as at Loughbro. The Magistrates have thought it expedient to swear in Special Constables in the villages; and tho there are near 1700 inhabitants at Kegworth ... not one person has come forward to be so sworn in." "There is a populous village of Sheepshead near to Kegworth, where it is almost impossible to maintain a good police, and I think a military detachment moving occasionally from the one place to the other would answer the purpose." "their proceeding ... in the dead of the night in small parties with regular muskets &amp; bayonets sufficiently proves that the offenders are organized and upon a system".</t>
  </si>
  <si>
    <t xml:space="preserve">Whatton House Loughbro. Decr. 2nd 1811</t>
  </si>
  <si>
    <t xml:space="preserve">Kegworth; Loughbro.; Sheepshead</t>
  </si>
  <si>
    <t xml:space="preserve">Kegworth / Loughborough / Shepshed</t>
  </si>
  <si>
    <t xml:space="preserve">Edward Dawson (with T. Parkinson concurring)</t>
  </si>
  <si>
    <t xml:space="preserve">small detachment of military at Kegworth as well as Loughborough, moving between Kegworth and Shepshed</t>
  </si>
  <si>
    <t xml:space="preserve">ROUTE: direct to HS (earlier representations to Secretary at War). Civil power: nobody will be sworn as special constable at Kegworth ('jacobinical spirit'). Outcome: Horse Guards 6 Dec ordered two troops Royal Horse Guards from Reading to Leicestershire for Shepshed riots (f.593, see next row).</t>
  </si>
  <si>
    <t xml:space="preserve">HO42-0234</t>
  </si>
  <si>
    <t xml:space="preserve">99-100</t>
  </si>
  <si>
    <t xml:space="preserve">ff.582-583</t>
  </si>
  <si>
    <t xml:space="preserve">N. Conant, Nottingham, Wednesday night 4 Dec 1811: "I have seen the Mayor &amp; Town Clerk - and also Col. Elliott &amp; Dr [?] Rector of one of the Parishes who are both very active County Magistrates - they all seem perfectly satisfied that a Commission would not be expedient ... They seem much set upon having a Regiment or Party of Foot - I told them I knew the Berkshire Militia were ordered." "The defence is sufficient; &amp; the chance of detection &amp; provisions of the Civil Power in the Town such as will prevent." "The frames are here &amp; there for ten miles round which are all open to the depredators".</t>
  </si>
  <si>
    <t xml:space="preserve">Nottingham Wednesday night Decr. 4th 1811</t>
  </si>
  <si>
    <t xml:space="preserve">1811-12-04</t>
  </si>
  <si>
    <t xml:space="preserve">N. Conant (Bow Street police magistrate sent by HO)</t>
  </si>
  <si>
    <t xml:space="preserve">CHECK: 'Sir' - Ryder or Beckett</t>
  </si>
  <si>
    <t xml:space="preserve">Regiment or Party of Foot (magistrates' wish, reported)</t>
  </si>
  <si>
    <t xml:space="preserve">Berkshire Militia ordered to Nottingham</t>
  </si>
  <si>
    <t xml:space="preserve">ROUTE: HO's own agent reporting local magistrates' standing request. Outcome: Berkshire Militia already ordered (so infantry request of 20/27 Nov approved). CHECK: Conant role (Nathaniel Conant, Great Marlborough St police magistrate).</t>
  </si>
  <si>
    <t xml:space="preserve">HO42-0235</t>
  </si>
  <si>
    <t xml:space="preserve">103-107</t>
  </si>
  <si>
    <t xml:space="preserve">ff.586-588</t>
  </si>
  <si>
    <t xml:space="preserve">Wm. Nunn, Wood Street, Cheapside, 3-5 Dec 1811, to [Wharton / Beckett]: "the supineness of the Magistrates is hardly credible - that a Rebellion against all Order and Property should be suffer'd for three weeks in the Centre of the Country". 5 Dec: "the County Magistrates have refused to head the Soldiers: all Manufacturers are sending far and near for their Frames guarded by Soldiers, leaving Hundreds of Families in the Villages to starve: every Person in the Town is afraid of his Person and Property. The Peace Officers and Local Militia have been Lookers-on, cheering the Men". 4 Dec (f.587): "should request the Lord Lieutenant the Duke of Portland ... to send down twenty Bow Street Officers".</t>
  </si>
  <si>
    <t xml:space="preserve">3, 4 and 5 December 1811</t>
  </si>
  <si>
    <t xml:space="preserve">1811-12-05</t>
  </si>
  <si>
    <t xml:space="preserve">Wm. Nunn, Wood Street, Cheapside (London hosier/merchant with Nottingham trade - CHECK)</t>
  </si>
  <si>
    <t xml:space="preserve">J. Beckett / Mr Wharton (CHECK)</t>
  </si>
  <si>
    <t xml:space="preserve">None (wants Bow Street officers); reports soldiers used to guard frames in transit</t>
  </si>
  <si>
    <t xml:space="preserve">BORDERLINE. Private complaint: magistrates refuse to lead soldiers; local militia sympathise with rioters; manufacturers using soldiers as frame escorts. Names Blackner (Nottingham Review) and Waterfall as instigators. Mentions Duke of Portland as LL (CHECK: Portland was LL of Notts? writer may err).</t>
  </si>
  <si>
    <t xml:space="preserve">HO42-0236</t>
  </si>
  <si>
    <t xml:space="preserve">f.593</t>
  </si>
  <si>
    <t xml:space="preserve">[Calvert ?], Horse Guards, 6 Dec 1811, to J. Beckett: "On the receipt of Duplicates of the enclosed Papers from the Quarter Master General this Morning, orders were given for the march of Two Troops of the Royal Regiment of Horseguards from Reading to Leicestershire for the purpose of quelling the Riots at Sheepshead. These Troops will arrive at Leicester on the 10th Instant."</t>
  </si>
  <si>
    <t xml:space="preserve">Horseguards 6th December 1811</t>
  </si>
  <si>
    <t xml:space="preserve">1811-12-06</t>
  </si>
  <si>
    <t xml:space="preserve">Sheepshead; Leicester</t>
  </si>
  <si>
    <t xml:space="preserve">Shepshed</t>
  </si>
  <si>
    <t xml:space="preserve">Horse Guards (signature illegible; CHECK: Calvert, Adjutant-General)</t>
  </si>
  <si>
    <t xml:space="preserve">J. Beckett (HO under-secretary)</t>
  </si>
  <si>
    <t xml:space="preserve">Two troops Royal Horse Guards (Blues), Reading to Leicester by 10 Dec</t>
  </si>
  <si>
    <t xml:space="preserve">Military response to Leicestershire requests (Dawson 2 Dec and representations to Secretary at War). Response, not request; logged as Other for episode linkage.</t>
  </si>
  <si>
    <t xml:space="preserve">HO42-0237</t>
  </si>
  <si>
    <t xml:space="preserve">E171</t>
  </si>
  <si>
    <t xml:space="preserve">2-4</t>
  </si>
  <si>
    <t xml:space="preserve">ff.595-597</t>
  </si>
  <si>
    <t xml:space="preserve">Magistrates of Derbyshire (F.N.C. Mundy, Danl. Parker Coke, J. Byng, B. Heathcote, John Radford, Edward Miller Mundy and another), County Hall Derby, 6 Dec 1811: "We the Magistrates resident &amp; acting in the District of our County contiguous to that part of Nottinghamshire, where disturbances amongst the stockingers have, during some time, alarmingly prevailed". "we directed Watch to be kept, &amp; a large number of special Constables were appointed in those Townships where the Inhabitants are chiefly stockingers. Of the failure of our endeavours the Depositions &amp; Statements, accompanying this letter, both but too plainly evince". "In the Military Depot near Derby (a Building of little defence in its construction &amp; guarded only by a few men) there are supposed to be at this time twelve Thousand Stand of Arms &amp; forty Tons of Gunpowder". "We are fully persuaded that these mischiefs will proceed, unless immediate measures are adopted for the protection of the Country ... and we request the favor of your attention to the circumstances, &amp; press for immediate assistance."</t>
  </si>
  <si>
    <t xml:space="preserve">County Hall Derby Decr. 6. 1811</t>
  </si>
  <si>
    <t xml:space="preserve">County Hall Derby; Ilkeston; Shardlow &amp; Cavendish Bridge</t>
  </si>
  <si>
    <t xml:space="preserve">Ilkeston / Derby</t>
  </si>
  <si>
    <t xml:space="preserve">Derbyshire magistrates (F.N.C. Mundy, D.P. Coke, J. Byng, B. Heathcote, J. Radford, E.M. Mundy et al.)</t>
  </si>
  <si>
    <t xml:space="preserve">Ryder ('Sir'; docket 'Right Honble R. Ryder')</t>
  </si>
  <si>
    <t xml:space="preserve">'immediate assistance' (military protection; depot near Derby with 12,000 stand of arms and 40 tons gunpowder poorly guarded)</t>
  </si>
  <si>
    <t xml:space="preserve">ROUTE: direct to HS. Encloses depositions of frame-breaking at Ilkeston (Thomas Harrison, 6 Dec, ff.597-600) and Byng's statement (f.608). Fear also for Trent navigation locks (Shardlow) - 'ten thousand colliers out of work'. War Office note 6 Dec (Col. Torrens, f.594 docket): 'only doubt is whether the military force mentioned will be sufficient &amp; whether it is not desirable that a Militia Regt. should be quartered at Leicester or in the neighbourhood for the winter'. Clause about depot marked 'sent to the Ordnance'. CHECK: one signatory illegible.</t>
  </si>
  <si>
    <t xml:space="preserve">HO42-0238</t>
  </si>
  <si>
    <t xml:space="preserve">HO 42/118</t>
  </si>
  <si>
    <t xml:space="preserve">HO-42-118_06.pdf</t>
  </si>
  <si>
    <t xml:space="preserve">Charles Thos. Hudson, W. Tyson, Revd. Hardy, Edwd. Dawson (magistrates), [Loughborough, c. 6 Dec 1811], to Duke of Rutland: "In consequence of an application from Dr Hardy, two Troops of the County Yeomanry are now embodied at Loughborough, in the neighbourhood of which, the System of Framebreaking has commenced, 20 Frames having been broken at Shepshead on the night before last" and a stack fired at Queniborough [?]. "it will be necessary to station parties of Yeomanry in the several Villages, &amp; to swear in the principal Inhabitants as Special Constables... as it is not possible for Yeomanry to continue long on this service, The Magistrates submit to Your Grace's better judgement the necessity of Your making an application to Government for a permanent force which may be better able to continue this Species of Service."</t>
  </si>
  <si>
    <t xml:space="preserve">undated (enclosed in Rutland 7 Dec 1811)</t>
  </si>
  <si>
    <t xml:space="preserve">Loughborough; Shepshead; Long Whatton</t>
  </si>
  <si>
    <t xml:space="preserve">Loughborough / Shepshed</t>
  </si>
  <si>
    <t xml:space="preserve">Charles Thomas Hudson, W. Tyson, Rev. Hardy, Edward Dawson</t>
  </si>
  <si>
    <t xml:space="preserve">Duke of Rutland, LL ("My Lord", "Your Grace") - forwarded to Ryder</t>
  </si>
  <si>
    <t xml:space="preserve">2 troops County Yeomanry embodied at Loughborough (local request by Dr Hardy); ask LL to apply to Government for a 'permanent force'</t>
  </si>
  <si>
    <t xml:space="preserve">Same episode as F1. ROUTE: local request (to Yeomanry) plus request to LL, forwarded by LL to HS. CHECK: date inferred (letter undated; enclosure of 7 Dec; Yeomanry called out 4 Dec per Rutland 12 Dec). 'Your Grace' here = Duke of Rutland, not a Home Secretary. Second place name (Queniborough?) uncertain.</t>
  </si>
  <si>
    <t xml:space="preserve">HO42-0239</t>
  </si>
  <si>
    <t xml:space="preserve">HO 42/113</t>
  </si>
  <si>
    <t xml:space="preserve">HO-42-113_3.pdf</t>
  </si>
  <si>
    <t xml:space="preserve">ff.180-182</t>
  </si>
  <si>
    <t xml:space="preserve">Jno. Gill for Abel Smith (Receiver General of taxes), Nottingham, 7 Dec 1811, to Matthew Winter (Tax Office), copy enclosed by Winter to Beckett 9 Dec 1811: "In consequence of the disturbed State of this Neighbourhood the Lord Lieutenant of the County has thought it prudent to call out the different Volunteer Troops in the immediate Vicinity of the Town to aid the Civil power, and it having been intimated to me by the Officer Commanding the Bunny Troop that each Volunteer will become intitled to Two Guineas under the Act of the 44 Geo. 3 Cap 54 Sec 36 - I have taken the liberty of writing to you to enquire whether that Act is still in force".</t>
  </si>
  <si>
    <t xml:space="preserve">Nottingham Dec. 7, 1811</t>
  </si>
  <si>
    <t xml:space="preserve">1811-12-07</t>
  </si>
  <si>
    <t xml:space="preserve">Jno. Gill for Abel Smith (Receiver General, Nottingham)</t>
  </si>
  <si>
    <t xml:space="preserve">Matthew Winter, Tax Office (not HS); forwarded by Winter to John Beckett (HO under-secretary)</t>
  </si>
  <si>
    <t xml:space="preserve">Volunteer cavalry troops near Nottingham (incl. Bunny Troop of Volunteer Cavalry) called out by Lord Lieutenant to aid civil power</t>
  </si>
  <si>
    <t xml:space="preserve">ROUTE: local call-out by Lord Lieutenant (Duke of Newcastle, CHECK:) reported afterwards, via tax administration (Receiver General -&gt; Tax Office -&gt; HO). Date is of letter; call-out shortly before. Issue is payment of 2 guineas per volunteer under 44 Geo.3 c.54 s.36. BORDERLINE (not a request to HS; Luddite context inferred, 'disturbed state' only). Back docket illegible in part. CHECK: disturbance type inferred from Nottingham Dec 1811 context. Same episode as E2 (Nottinghamshire Luddite disturbances Nov-Dec 1811); this call-out is the one Newcastle reports 30 Nov (HO 42/117 f.570).</t>
  </si>
  <si>
    <t xml:space="preserve">HO42-0240</t>
  </si>
  <si>
    <t xml:space="preserve">98</t>
  </si>
  <si>
    <t xml:space="preserve">f.389</t>
  </si>
  <si>
    <t xml:space="preserve">Duke of Rutland (Lord Lieutenant of Leicestershire), Belvoir Castle, 7 Dec 1811, to Richard Ryder: "the System of Frame breaking, &amp; Stack Burning, lately prevalent in the Neighborhood of Nottingham, has extended itself to this County... I submit to your better Judgement, whether it would not be advisable to station some Regular Cavalry at Loughborough, and in the Adjacent Villages, whereby the Yeomanry may be relieved and assisted in the Service, on which they are now acting, and any tendency to a repetition of similar disturbances may be effectually kept down, and prevented."</t>
  </si>
  <si>
    <t xml:space="preserve">7th Decr. 1811</t>
  </si>
  <si>
    <t xml:space="preserve">Belvoir Castle; Loughborough</t>
  </si>
  <si>
    <t xml:space="preserve">Loughborough</t>
  </si>
  <si>
    <t xml:space="preserve">Duke of Rutland</t>
  </si>
  <si>
    <t xml:space="preserve">Ryder ("Sir")</t>
  </si>
  <si>
    <t xml:space="preserve">Regular cavalry at Loughborough and adjacent villages, to relieve the Yeomanry</t>
  </si>
  <si>
    <t xml:space="preserve">ROUTE: forwarded by LL (encloses magistrates' report, f.390-391). Same episode as F1 (Rutland 12 Dec, HO-42-118_02 ff.51-52, which confirms troops sent to Leicester &amp; Loughborough). Docket f.392: 7 Dec 1811 (CHECK wording). This is the originating request of episode F1.</t>
  </si>
  <si>
    <t xml:space="preserve">HO42-0241</t>
  </si>
  <si>
    <t xml:space="preserve">HO-42-118_02.pdf</t>
  </si>
  <si>
    <t xml:space="preserve">56-59</t>
  </si>
  <si>
    <t xml:space="preserve">ff.74-75</t>
  </si>
  <si>
    <t xml:space="preserve">John Conant, Finchley, 8 Dec 1811, to John Beckett, on his visit to Nottingham magistrates: "They appeared much gratified by the arrival of the Troops &amp; in the substitution of the Berkshire Regiment." The magistrates "have given notice in all the Villages that persons will be taken up who are out after ten o'clock at night - and have placed about small parties of Military with orders to do so." "The Damage hitherto done is 600 frames destroyed of which 6 only were in Nottingham". P.S.: county justices "very urgent to have two Bow Street Officers sent down".</t>
  </si>
  <si>
    <t xml:space="preserve">Decr. 8. 1811</t>
  </si>
  <si>
    <t xml:space="preserve">1811-12-08</t>
  </si>
  <si>
    <t xml:space="preserve">Finchley; Nottingham</t>
  </si>
  <si>
    <t xml:space="preserve">John Conant</t>
  </si>
  <si>
    <t xml:space="preserve">John Beckett ("Sir")</t>
  </si>
  <si>
    <t xml:space="preserve">Small parties of military posted in villages by county magistrates; troops arrived replacing Berkshire Regiment</t>
  </si>
  <si>
    <t xml:space="preserve">BORDERLINE. Same episode as F2. HO agent's report; magistrates' local deployment of troops; request for 2 Bow Street officers (police, not military).</t>
  </si>
  <si>
    <t xml:space="preserve">HO42-0242</t>
  </si>
  <si>
    <t xml:space="preserve">49-50</t>
  </si>
  <si>
    <t xml:space="preserve">ff.67-68</t>
  </si>
  <si>
    <t xml:space="preserve">J. Conant (Bow Street magistrate sent by HO), Finchley, 10 Dec 1811, to [John Beckett]: "I purposely made Leicester in my way back but no disorders have appeared there... The arrival of the Troops you mention will give confidence &amp; I hope security of the Leicestershire side, &amp; must have been wanted as the chief force has been placed at Mansfield &amp; Nottingham. I mentioned to Mr Coldham the Town Clerk, that the local Militia should be used with caution - but the division now there are not from the manufacturing part of the County."</t>
  </si>
  <si>
    <t xml:space="preserve">Decr. 10. 1811</t>
  </si>
  <si>
    <t xml:space="preserve">1811-12-10</t>
  </si>
  <si>
    <t xml:space="preserve">Finchley; Leicester</t>
  </si>
  <si>
    <t xml:space="preserve">CHECK: John Beckett (Under-Secretary) ("Sir"); docket "Mr Conant"</t>
  </si>
  <si>
    <t xml:space="preserve">Troops sent to Leicestershire side; chief force at Mansfield &amp; Nottingham; local militia division at Nottingham</t>
  </si>
  <si>
    <t xml:space="preserve">BORDERLINE. Troop movement report by HO's own agent, no civil request; caution about using local militia. Linked to F1 (Leicestershire) and F2 (Nottingham).</t>
  </si>
  <si>
    <t xml:space="preserve">HO42-0243</t>
  </si>
  <si>
    <t xml:space="preserve">ff.51-52</t>
  </si>
  <si>
    <t xml:space="preserve">Duke of Rutland (Lord Lieutenant), Belvoir Castle, 12 Dec 1811, to Richard Ryder: "The County of Leicester will feel indebted to you for the prompt assistance which you have extended to it, on the existing indication of a disturbed spirit, in certain parts of it, similar to that which has shewn itself in the neighbourhood of Nottingham... the Military Force which has either actually arrived at, or is on its route to Leicester &amp; Loughborough, will effectually ensure the maintenance of Tranquillity." "It was strongly his [the Mayor of Leicester's] wish that the Local Militia Force of the County should be embodied, and that the Yeomanry Corps should be placed on Permanent Duty... Two Squadrons of the Regiment of Yeomanry Cavalry have been employed since the 4th Inst, and as they were called out by the Magistrates at Loughborough, without any previous sanction as directed... at the moment when their assistance was requested, a very strong persuasion existed among the Magistrates, that a large Body of Rioters intended on that very night, to visit Loughborough."</t>
  </si>
  <si>
    <t xml:space="preserve">12th Decr. 1811</t>
  </si>
  <si>
    <t xml:space="preserve">1811-12-12</t>
  </si>
  <si>
    <t xml:space="preserve">Belvoir Castle; Leicester &amp; Loughborough</t>
  </si>
  <si>
    <t xml:space="preserve">Loughborough / Leicester</t>
  </si>
  <si>
    <t xml:space="preserve">Regular troops to Leicester &amp; Loughborough (already sent by govt); 2 squadrons Leicestershire Yeomanry called out by Loughborough magistrates from 4 Dec; Mayor of Leicester wished Local Militia embodied and Yeomanry on permanent duty (LL declines until emergency)</t>
  </si>
  <si>
    <t xml:space="preserve">ROUTE: local request (Loughborough magistrates to Yeomanry, 4 Dec) reported afterwards by LL; also Mayor of Leicester's wish (via War Office) for local militia/Yeomanry on permanent duty. LL asks HO to pay Yeomanry regular pay for 3 days of duty; suggests reward for discovering leaders. Marginal note on f.52 (illegible, CHECK). Date of Yeomanry call-out 4 Dec 1811 (event); letter 12 Dec.</t>
  </si>
  <si>
    <t xml:space="preserve">HO42-0244</t>
  </si>
  <si>
    <t xml:space="preserve">40-42</t>
  </si>
  <si>
    <t xml:space="preserve">ff.59-61</t>
  </si>
  <si>
    <t xml:space="preserve">George Coldham, Town Clerk, Nottingham, 12 Dec 1811: "Ever since the 21st of November the Magistrates for the Town have kept up a nightly watch of Thirty six Constables and placed Guards of the Military in different parts of the Town... so that a Military Guard could be moved at any moment to any part of their district". "This System must be kept down by Force before we can expect the restoration of public Tranquility." The people are "making such arrangements as may be necessary to keep up the system of Terror under the difficulties which are created to it by the large Military Force which the Magistrates have called to their aid in the district."</t>
  </si>
  <si>
    <t xml:space="preserve">12 Decr. 1811</t>
  </si>
  <si>
    <t xml:space="preserve">Military guards posted in the town since 21 Nov; 'large Military Force' called in by magistrates</t>
  </si>
  <si>
    <t xml:space="preserve">ROUTE: local request (magistrates called military) reported afterwards, direct to HS. About 800 frames destroyed (£8000). Endorsement f.59 verso: reply 18 Dec re anonymous informant (CHECK). Event date of troop deployment: from 21 Nov 1811.</t>
  </si>
  <si>
    <t xml:space="preserve">HO42-0245</t>
  </si>
  <si>
    <t xml:space="preserve">33-36</t>
  </si>
  <si>
    <t xml:space="preserve">ff.53-56</t>
  </si>
  <si>
    <t xml:space="preserve">Lord Middleton, Leamington near Warwick, 12 Dec 1811, to Earl of Liverpool: "The Riots at Nottingham &amp; the vicinity... called me promptly to my House at Wollaton, as they had threatened to take possession of 200 stand of Arms I have there". "it is particularly pressing in my humble opinion, that small Military Escorts, should be so stationed, as to enable the well disposed to get together... a very small intermixed force of Cavalry &amp; Infantry quartered in neighbouring villages, would do this effectually". "it should never be without a Regiment of Five Hundred Infantry, &amp; a strong Squadron of Cavalry; Had such means been within the reach of the County Magistrates when the first act of Open violence took place, the subsequent consequences would not... have occurred." "I have 30 Armed men night &amp; Day in Wollaton House".</t>
  </si>
  <si>
    <t xml:space="preserve">12 Decr 1811</t>
  </si>
  <si>
    <t xml:space="preserve">Leamington near Warwick; Nottingham; Wollaton</t>
  </si>
  <si>
    <t xml:space="preserve">Nottingham / Wollaton</t>
  </si>
  <si>
    <t xml:space="preserve">Lord Middleton</t>
  </si>
  <si>
    <t xml:space="preserve">Earl of Liverpool ("My Lord") - forwarded to HO</t>
  </si>
  <si>
    <t xml:space="preserve">Small mixed cavalry &amp; infantry escorts in villages; permanent garrison of 500 infantry and a strong squadron of cavalry at Nottingham; troops in small parties on an arc around manufacturing towns</t>
  </si>
  <si>
    <t xml:space="preserve">ROUTE: forwarded by peer (to Liverpool, Secretary for War, who passed it to HO; covering letter f.53 asks it be placed 'in the proper channel'). Says constables in scattered villages cannot unite; 'a few dismounted Dragoons' insufficient. Private armed guard of 30 at Wollaton.</t>
  </si>
  <si>
    <t xml:space="preserve">HO42-0246</t>
  </si>
  <si>
    <t xml:space="preserve">HO-42-118_03.pdf</t>
  </si>
  <si>
    <t xml:space="preserve">ff.133-134</t>
  </si>
  <si>
    <t xml:space="preserve">Duke of Newcastle (Lord Lieutenant), Clumber, 14 Dec 1811, to Richard Ryder: "The evil is great and may become greater if the most effectual means are not had recourse to without delay. The arrival of the Berkshire Militia has prevented the further necessity of employing the (3) three companies of the 2d Local Militia and the Holme Pierrepoint, Bunny, and Mansfield troops of Yeomanry Cavalry; they were accordingly dismissed the day before yesterday." Encloses resolution of meeting of magistrates and Deputy Lieutenants at Nottingham, 13 Dec, asking for funds to procure evidence.</t>
  </si>
  <si>
    <t xml:space="preserve">Decr. 14. 1811</t>
  </si>
  <si>
    <t xml:space="preserve">1811-12-14</t>
  </si>
  <si>
    <t xml:space="preserve">Clumber; Nottingham</t>
  </si>
  <si>
    <t xml:space="preserve">Duke of Newcastle</t>
  </si>
  <si>
    <t xml:space="preserve">3 companies 2nd Notts Local Militia and Holme Pierrepoint, Bunny and Mansfield Yeomanry troops had been called out; dismissed 12 Dec on arrival of Berkshire Militia</t>
  </si>
  <si>
    <t xml:space="preserve">Same episode as F2 (Nottingham). ROUTE: local call-out of local militia &amp; yeomanry reported afterwards by LL, direct to HS. Docket on cover 'Nightly watch for the City &amp; Liberty of Westminster' appears misfiled (CHECK).</t>
  </si>
  <si>
    <t xml:space="preserve">HO42-0247</t>
  </si>
  <si>
    <t xml:space="preserve">ff.38-39</t>
  </si>
  <si>
    <t xml:space="preserve">Rev. [?] Hardy, Rector of Loughborough, JP, Loughborough, 16 Dec 1811: "the activity of the Magistrates, by swearing many of the Inhabitants of the different Parishes as special Constables, &amp; collecting as many of the Yeomanry Cavalry (who were very alert upon the occasion) have prevented any considerable damage from being done in this County; &amp; the presence of the Military force, which his Majesty's Government have provided for us, will, of course, tend greatly to secure the public Peace". Committed a man "for extorting Money to support Ned Ludd's Army".</t>
  </si>
  <si>
    <t xml:space="preserve">Decr. 16. 1811</t>
  </si>
  <si>
    <t xml:space="preserve">1811-12-16</t>
  </si>
  <si>
    <t xml:space="preserve">[?] Hardy, Rector of Loughborough</t>
  </si>
  <si>
    <t xml:space="preserve">Ryder ("Sir"; to Secretary of State for the Home Department)</t>
  </si>
  <si>
    <t xml:space="preserve">Yeomanry Cavalry collected by magistrates; regular military provided by government</t>
  </si>
  <si>
    <t xml:space="preserve">Same episode as F1 (Rutland 12 Dec). ROUTE: local request (magistrates to Yeomanry) reported afterwards, direct to HS. Asks for funds for information/rewards. Writer's first name not legible, CHECK.</t>
  </si>
  <si>
    <t xml:space="preserve">HO42-0248</t>
  </si>
  <si>
    <t xml:space="preserve">E172</t>
  </si>
  <si>
    <t xml:space="preserve">16-18</t>
  </si>
  <si>
    <t xml:space="preserve">Wm. Milnes, Ashover, 22 Dec 1811, to Sir Joseph Banks (forwarded by Banks, Soho Square, 25 Dec): "the Stocking frame breaking system which has caused so much alarm and disturbance in the neighborhood of Nottingham, has extended its baneful effects, into this neighborhood, at Pentridge about six miles from hence a Person of the name of Topham, has had frames destroyed to the amount of 500". "There is no military at Chesterfield [?], we are therefore doing all we can to protect ourselves, &amp; neighbors by the civil power. Mr Jebb has been here to day &amp; sworn in upwards of 40 stout young men as special constables".</t>
  </si>
  <si>
    <t xml:space="preserve">22nd Decr. 1811</t>
  </si>
  <si>
    <t xml:space="preserve">1811-12-22</t>
  </si>
  <si>
    <t xml:space="preserve">Ashover; Pentridge; Wessington</t>
  </si>
  <si>
    <t xml:space="preserve">Ashover / Pentrich</t>
  </si>
  <si>
    <t xml:space="preserve">William Milnes</t>
  </si>
  <si>
    <t xml:space="preserve">Sir Joseph Banks ("Respected Honble Sir") - forwarded to Ryder</t>
  </si>
  <si>
    <t xml:space="preserve">None; notes absence of military at Chesterfield; 40 special constables sworn</t>
  </si>
  <si>
    <t xml:space="preserve">BORDERLINE (no request; notes absence of troops and reliance on civil power). ROUTE: forwarded by Sir Joseph Banks (Privy Councillor), who describes Milnes as his steward. Place name 'Chesterfield' partly hidden by damage, CHECK.</t>
  </si>
  <si>
    <t xml:space="preserve">HO42-0249</t>
  </si>
  <si>
    <t xml:space="preserve">E173</t>
  </si>
  <si>
    <t xml:space="preserve">HO-42-150_5.pdf</t>
  </si>
  <si>
    <t xml:space="preserve">ff.338-339</t>
  </si>
  <si>
    <t xml:space="preserve">William Robert Hay (chairman of Quarter Sessions), New Bailey Court House, Manchester, 1 May 1816: weavers largely out of employ "seem to lay great stress on the small number of men in the barracks, which they represent to be only one hundred". He and Mr Evans wrote to General Barlow at Liverpool "requesting to know, in case of necessity, what force could be brought to bear on this neighbourhood". Cavalry in Manchester Barracks 151 rank &amp; file, 95 horses; Liverpool 261/227; infantry under Major Brice under 500. "in the opinion of the Magistrates, should any commotion take place in this manufacturing district, the force at present here would be found inadequate to the public service."</t>
  </si>
  <si>
    <t xml:space="preserve">1 May 1816</t>
  </si>
  <si>
    <t xml:space="preserve">1816-05-01</t>
  </si>
  <si>
    <t xml:space="preserve">William Robert Hay</t>
  </si>
  <si>
    <t xml:space="preserve">Sidmouth ("My Lord")</t>
  </si>
  <si>
    <t xml:space="preserve">Implicit: more force; enquiry to Gen. Barlow (Liverpool) what force available</t>
  </si>
  <si>
    <t xml:space="preserve">BORDERLINE (says existing force inadequate; no explicit number requested). ROUTE: direct to HS on direction of magistrates at Quarter Sessions, plus local enquiry to General commanding. Docket: 'Apprehends disturbances - Insufficiency of Military Force'. Follow-up 5 May (f.372) encloses threatening letter copy.</t>
  </si>
  <si>
    <t xml:space="preserve">HO42-0250</t>
  </si>
  <si>
    <t xml:space="preserve">E174</t>
  </si>
  <si>
    <t xml:space="preserve">34-37</t>
  </si>
  <si>
    <t xml:space="preserve">ff.348-350</t>
  </si>
  <si>
    <t xml:space="preserve">J. Nicholson, [neighbourhood of Bildeston, Suffolk, undated, c. 1 May 1816]: "the great disorder that prevails &amp; the spirit of insurrection that hourly shews itself"; "every night we have the horrors of observing a fire from some part of the County". "nothing will quell this tumult but some regiments being sent into this district"; "we cannot depend upon one of our civil people - even the constables chosen by the parish... are suspicious persons". "a troop being stationed in the environs of Bildeston would soon disperse these wretches". "Send some Troops directly &amp; some police Officers to the Villages of Kettlebaston Hitcham &amp; Bildestone... I was in Town when the mob rose on the Corn Bill - I saw the good effect that the Soldiers had immediately in quelling the riots."</t>
  </si>
  <si>
    <t xml:space="preserve">No date (docket: R[eceived] 1st May)</t>
  </si>
  <si>
    <t xml:space="preserve">Bildeston; Kettlebaston; Hitcham</t>
  </si>
  <si>
    <t xml:space="preserve">Bildeston</t>
  </si>
  <si>
    <t xml:space="preserve">J. Nicholson</t>
  </si>
  <si>
    <t xml:space="preserve">A troop near Bildeston; 'some regiments' for the district; police officers</t>
  </si>
  <si>
    <t xml:space="preserve">ROUTE: direct to HS. Date = date received (docket 'No date... R. 1st May'; clerk: 'evidently comes from the neighbourhood of Bildeston'). Disturbance mixes incendiarism, low wages, tithes (CHECK type: food/wages). No resident magistrate or rector.</t>
  </si>
  <si>
    <t xml:space="preserve">HO42-0251</t>
  </si>
  <si>
    <t xml:space="preserve">E175</t>
  </si>
  <si>
    <t xml:space="preserve">HO 42/151</t>
  </si>
  <si>
    <t xml:space="preserve">HO-42-151_1.pdf</t>
  </si>
  <si>
    <t xml:space="preserve">ff.51-53</t>
  </si>
  <si>
    <t xml:space="preserve">Deposition of Stephen Goodenough, Lieutenant, 1st Royal Dragoons, sworn before J. Barker JP, Suffolk, 8 Jun 1816 (copy, sent by Barker from Newmarket 9 Jun 1816): "being quartered at Thetford in the County of Norfolk on the sixteenth day of May last (where a Riot had lately been) he received a Letter signed by Mr. Mosely and Mr. Burch about Eleven o'Clock at Night requiring this Deponent and his Soldiers immediately to proceed to Brandon as the civil power was not sufficient to disperse the Riot in that parish" ... the special constables "were afraid to do" [arrest an armed man] ... "had he been allowed with his men to act, the Mob would have been easily dispersed. That this Deponent was shortly afterwards obliged with his Men to return to Thetford having been recalled by the Mayor in Consequence of the Mob having again assembled in that Town."</t>
  </si>
  <si>
    <t xml:space="preserve">sixteenth day of May last [1816] (deposition 8 June 1816)</t>
  </si>
  <si>
    <t xml:space="preserve">1816-05-16</t>
  </si>
  <si>
    <t xml:space="preserve">Brandon (Suffolk); Thetford (Norfolk)</t>
  </si>
  <si>
    <t xml:space="preserve">Brandon</t>
  </si>
  <si>
    <t xml:space="preserve">Mr Mosely and Mr Burch (magistrates), reported in deposition of Lt Stephen Goodenough; forwarded by J. Barker JP</t>
  </si>
  <si>
    <t xml:space="preserve">Lt Goodenough, 1st Royal Dragoons at Thetford; deposition sent to Sidmouth by J. Barker ("My Lord")</t>
  </si>
  <si>
    <t xml:space="preserve">Detachment of 1st Royal Dragoons from Thetford (size not stated)</t>
  </si>
  <si>
    <t xml:space="preserve">Dragoons marched to Brandon, arrived 2-3 a.m. 17 May; not allowed to act</t>
  </si>
  <si>
    <t xml:space="preserve">1816-05-17</t>
  </si>
  <si>
    <t xml:space="preserve">Lt S. Goodenough</t>
  </si>
  <si>
    <t xml:space="preserve">ROUTE: local request to garrison, reported afterwards (deposition forwarded by JP Barker; Barker's covering letter 9 Jun says it is 'a sequel of those upon the same subject now in the Secretary of State's office' and refers to an earlier letter of Mosely to the Duke of Grafton [Lord Lieutenant of Suffolk] - CHECK HO 42/150 for earlier Brandon papers; may already be logged by another agent). Also records a second request: the Mayor of Thetford recalled the dragoons because the mob had reassembled at Thetford (Thetford riot, Norfolk, c.17 May 1816). Burch conceded 2s/day wages and flour at 2s 6d/stone; officer thought this improper. Docket: 'File with letters herein referred to'.</t>
  </si>
  <si>
    <t xml:space="preserve">HO42-0252</t>
  </si>
  <si>
    <t xml:space="preserve">E176</t>
  </si>
  <si>
    <t xml:space="preserve">HO-42-150_2.pdf</t>
  </si>
  <si>
    <t xml:space="preserve">ff.163-164</t>
  </si>
  <si>
    <t xml:space="preserve">Moses Chanter, Bideford, 17 May 1816: riot over potatoes shipped to London; mob broke prison and liberated prisoners, "the Civil Power being totally unable to resist them, they immediately sent me Orders to call out as many of the Yeomanry Cavalry as I could to preserve the Peace"; "I dispatched my Servant to Torrington with a Letter addressed to Captn. Moore or in his absence to the Commanding officer stating the circumstance and requesting his aid and assistance". "The Mob are in complete possession of the Town".</t>
  </si>
  <si>
    <t xml:space="preserve">Bideford May 17th 1816</t>
  </si>
  <si>
    <t xml:space="preserve">Moses Chanter</t>
  </si>
  <si>
    <t xml:space="preserve">Lord Lieutenant? ("My Lord") - CHECK: probably Lord Rolle, forwarded</t>
  </si>
  <si>
    <t xml:space="preserve">Bideford squadron of Yeomanry Cavalry called out by Mayor; aid requested from Torrington (Capt Moore)</t>
  </si>
  <si>
    <t xml:space="preserve">ROUTE: local request (Mayor to Yeomanry; Yeomanry officer to Torrington) reported to Lord Rolle and forwarded with his letter (ff.159-160). CHECK: Chanter's role inferred (Yeomanry officer receiving Mayor's orders). Many Yeomanry absent at Exeter for county election.</t>
  </si>
  <si>
    <t xml:space="preserve">HO42-0253</t>
  </si>
  <si>
    <t xml:space="preserve">HO-42-150_4.pdf</t>
  </si>
  <si>
    <t xml:space="preserve">ff.307-308</t>
  </si>
  <si>
    <t xml:space="preserve">J. H. Gallop, Mayor, Guildhall Norwich, 17 May 1816: "A Tumult having arisen last Night in this City and the Persons assembled having proceeded to acts of violence in the destruction of Flour, breaking of Windows &amp;c. it became necessary for myself and the other Magistrates to call in the aid of the Military; which was difficult to be done effectually, the principal part of the West Norfolk Regiment being quartered in different parts of the City and not in Barracks." "it would be highly desirable if your Lordship immediately would cause Orders to be given that such Regiment shall continue embodied for some short Time, or at least until the present apprehensions have subsided". Thanks Col. Nelthorpe and Capt. Phipps of the Royals at the Horse Barracks.</t>
  </si>
  <si>
    <t xml:space="preserve">May 17th 1816</t>
  </si>
  <si>
    <t xml:space="preserve">J. H. Gallop</t>
  </si>
  <si>
    <t xml:space="preserve">Military called in 16 May (West Norfolk Militia, Royals at Horse Barracks); asks that West Norfolk Militia not be disbanded, and kept together in barracks</t>
  </si>
  <si>
    <t xml:space="preserve">Request to KEEP troops (delay disbandment). CHECK: same episode as logged Norwich 13 May? (riot of 16 May). Same as Patteson 18 May (150_3). ROUTE: local call-out reported afterwards + request direct to HS. PS copies seditious placard 'meet on the Castle Hill... then March to London'.</t>
  </si>
  <si>
    <t xml:space="preserve">HO42-0254</t>
  </si>
  <si>
    <t xml:space="preserve">f.53</t>
  </si>
  <si>
    <t xml:space="preserve">Deposition of Lt Stephen Goodenough, 1st Royal Dragoons, 8 Jun 1816 (copy), on 17 May 1816: "That this Deponent was shortly afterwards obliged with his Men to return to Thetford having been recalled by the Mayor in Consequence of the Mob having again assembled in that Town." Earlier: "being quartered at Thetford ... (where a Riot had lately been)".</t>
  </si>
  <si>
    <t xml:space="preserve">[17 May 1816] (deposition 8 June 1816)</t>
  </si>
  <si>
    <t xml:space="preserve">Thetford</t>
  </si>
  <si>
    <t xml:space="preserve">Mayor of Thetford (unnamed), reported in deposition of Lt Goodenough</t>
  </si>
  <si>
    <t xml:space="preserve">Lt Goodenough, 1st Royal Dragoons; deposition sent to Sidmouth by J. Barker JP</t>
  </si>
  <si>
    <t xml:space="preserve">Recall of 1st Royal Dragoons detachment to Thetford</t>
  </si>
  <si>
    <t xml:space="preserve">Dragoons returned to Thetford</t>
  </si>
  <si>
    <t xml:space="preserve">BORDERLINE (recall of troops already quartered in town). ROUTE: local request reported afterwards. Thetford had had a riot shortly before 16 May (deponent's words). Linked to G2 Brandon. CHECK whether Thetford riot already logged from HO 42/150.</t>
  </si>
  <si>
    <t xml:space="preserve">HO42-0255</t>
  </si>
  <si>
    <t xml:space="preserve">HO-42-150_3.pdf</t>
  </si>
  <si>
    <t xml:space="preserve">7-9</t>
  </si>
  <si>
    <t xml:space="preserve">ff.172-174</t>
  </si>
  <si>
    <t xml:space="preserve">John Patteson, Norwich, 18 May 1816, to Sidmouth: "the evil spirit of the last 20 years, however smothered, is not wholly extinguished &amp; it has shewn itself in the imposing language of not calling in the military until it became certain that the exertion of the civil power was unequal to the task - thoroughly convinced that the civil power was unequal the military were called in at dusk &amp; the rioters dispersed." "it would secure the peace of the City &amp; give confidence to the well disposed, if there could be not less at any time than a troop of horse in our barracks". A flour mill owner "applied for a military guard &amp; a question on the propriety of granting it was raised amongst the magistrates but fortunately overruled". "certain persons... knew there were but few Dragoons in the barracks &amp; that the W[est] Yorks M[ilitia] were here for the purpose of being disbanded".</t>
  </si>
  <si>
    <t xml:space="preserve">18 May 1816</t>
  </si>
  <si>
    <t xml:space="preserve">1816-05-18</t>
  </si>
  <si>
    <t xml:space="preserve">John Patteson</t>
  </si>
  <si>
    <t xml:space="preserve">Military called in by magistrates at dusk (Thursday 16 May); asks for a permanent troop of horse in Norwich barracks; mill owner's request for military guard</t>
  </si>
  <si>
    <t xml:space="preserve">CHECK: likely same episode as logged Norwich (13 May) - follow-up riot 16 May. ROUTE: direct to HS; local call-out reported afterwards. Writer role CHECK (alderman/former MP). Mayor Gallop's letter 19 May (150_2 ff.161-162) says he struck his name off a letter by Patteson to Sidmouth.</t>
  </si>
  <si>
    <t xml:space="preserve">HO42-0256</t>
  </si>
  <si>
    <t xml:space="preserve">81-84</t>
  </si>
  <si>
    <t xml:space="preserve">ff.313-315</t>
  </si>
  <si>
    <t xml:space="preserve">J. R. Burch JP and Jn. Moseley, Magistrates for the Counties of Norfolk &amp; Suffolk, Brandon, 18 May 1816: "Conformable to the instructions of the Duke of Grafton L[ord] L[ieutenant] of the County of Suffolk - We state to Your Lordship the very riotous state of Brandon &amp; its Vicinity, &amp; that the force civil &amp; military are totally inadequate to suppress them." "our efforts will be unavailing in restoring order, or keeping the Rioters from continuing their excesses unless we are immediately assisted by your Lordship with some of the London Police Officers to find out &amp; apprehend the Ringleaders, &amp; a troop of Cavalry (at least) sent to Brandon from the nearest quarter without delay which may continue their Station there untill... Peace &amp; Order are again restored to a district containing a population of thirteen parishes in Norfolk &amp; several other large parishes in Suffolk".</t>
  </si>
  <si>
    <t xml:space="preserve">Brandon 18th May 16</t>
  </si>
  <si>
    <t xml:space="preserve">J. R. Burch and John Moseley</t>
  </si>
  <si>
    <t xml:space="preserve">At least one troop of cavalry from nearest quarter, to remain; plus London police officers</t>
  </si>
  <si>
    <t xml:space="preserve">Originating request of Brandon episode F5 (follow-up 24 May asking to keep the dragoons, 150_2 ff.120-121). ROUTE: direct to HS, on LL Grafton's instructions; Grafton's covering note 18 May (f.315) asks for instructions to convey by evening post. Docket f.315: answered 19 May (CHECK). Brandon on Norfolk/Suffolk border.</t>
  </si>
  <si>
    <t xml:space="preserve">HO42-0257</t>
  </si>
  <si>
    <t xml:space="preserve">84-85</t>
  </si>
  <si>
    <t xml:space="preserve">ff.159-160</t>
  </si>
  <si>
    <t xml:space="preserve">Lord Rolle, Bicton Lodge, 19 May 1816: "The enclosed letter I have this instant received... for Bideford. The Rioters took the advantage of the absence of a great many of the Yeomanry, four days were at Exeter attending the Election." "I think it would be prudent to have one of the troops of Cavalry now at Exeter stationed in the Barracks at Barnstaple."</t>
  </si>
  <si>
    <t xml:space="preserve">19 May 1816</t>
  </si>
  <si>
    <t xml:space="preserve">1816-05-19</t>
  </si>
  <si>
    <t xml:space="preserve">Bicton Lodge; Bideford; Barnstaple</t>
  </si>
  <si>
    <t xml:space="preserve">Bideford / Barnstaple</t>
  </si>
  <si>
    <t xml:space="preserve">Sidmouth ("My dear Lord")</t>
  </si>
  <si>
    <t xml:space="preserve">One troop of cavalry from Exeter to be stationed in Barnstaple barracks</t>
  </si>
  <si>
    <t xml:space="preserve">ROUTE: forwarded by peer (CHECK: Rolle may be acting as Colonel of Yeomanry / LL deputy). Same episode as Bideford (Chanter 17 May). Docket 20 May 1816.</t>
  </si>
  <si>
    <t xml:space="preserve">HO42-0258</t>
  </si>
  <si>
    <t xml:space="preserve">53, 71-73</t>
  </si>
  <si>
    <t xml:space="preserve">ff.208, 225-227</t>
  </si>
  <si>
    <t xml:space="preserve">[Writer CHECK: docket 'Mr Jekyll'?], Parliament Chambers, Clifford's Inn, 23 May 1816, on Downham Market riot of Monday 20 May: magistrates (Hare, Pratt, Dering) met at the Crown Inn; mob forced them out. "The Magistrates in the mean time sent to Thetford for military assistance, but were unable to procure it: the Clackclose Hundred Troop of Yeomanry Cavalry, however, was called out, &amp; immediately obeyed the call with a Zeal &amp; alacrity in the highest degree creditable to them... On their reaching Downham the Riot Act was read". Earlier (f.208, Wednesday evening): a large mob assembled at South Wereham; "the pusillanimity &amp; want of energy which has been evinced by the Magistrates in that District, are likely to be productive of very serious consequences".</t>
  </si>
  <si>
    <t xml:space="preserve">23 May 1816 (and Wednesday evening [22 May])</t>
  </si>
  <si>
    <t xml:space="preserve">1816-05-20</t>
  </si>
  <si>
    <t xml:space="preserve">Downham Market; Thetford</t>
  </si>
  <si>
    <t xml:space="preserve">CHECK: unidentified writer (docket name unclear)</t>
  </si>
  <si>
    <t xml:space="preserve">Sidmouth / J. Beckett ("Sir", f.225; "My Lord", f.208)</t>
  </si>
  <si>
    <t xml:space="preserve">Military requested from Thetford (not obtained); Clackclose Hundred Yeomanry Cavalry called out</t>
  </si>
  <si>
    <t xml:space="preserve">Same episode as logged Downham Market (27 May). Date = event date 20 May. ROUTE: local request (to Thetford garrison &amp; Yeomanry) reported afterwards by eyewitness. Extract sent to Lord Suffield (docket). f.224: Mr Dering 'compromising with People in Arms'; Yeomanry thought differently. CHECK writer &amp; role.</t>
  </si>
  <si>
    <t xml:space="preserve">HO42-0259</t>
  </si>
  <si>
    <t xml:space="preserve">E177</t>
  </si>
  <si>
    <t xml:space="preserve">13-14, 17-18</t>
  </si>
  <si>
    <t xml:space="preserve">ff.251-252, 255-256</t>
  </si>
  <si>
    <t xml:space="preserve">W. Withering, The Larches near Birmingham, 20 May 1816: "The very depressed state of trade in the town of Birmingham has recently compelled the manufacturers to discharge a large proportion of their workmen... but as there are at this time no troops in the Barracks at Birmingham, I am desired by the Magistrates acting in this vicinity, to request that some military force may immediately be moved thereto." "the Military can never be wholly withdrawn without risking the public safety". Wm. Bedford, Birches Green, 20 May 1816: "I have heard that Troops are station'd at Wolverhampton... but as attempts are suspected to be making from ill dispos'd persons in Birm[ingha]m to the Colliers to make a common Cause with them, I think it my duty, as a Magistrate, to state to your Lordship, that it is highly expedient that some Troops shoud be stationed in the Birmingham Barracks with as little delay as possible."</t>
  </si>
  <si>
    <t xml:space="preserve">May 20. 1816</t>
  </si>
  <si>
    <t xml:space="preserve">The Larches near Birmingham; Birches Green</t>
  </si>
  <si>
    <t xml:space="preserve">W. Withering (for the magistrates); William Bedford JP</t>
  </si>
  <si>
    <t xml:space="preserve">Military force to be moved into Birmingham barracks (empty)</t>
  </si>
  <si>
    <t xml:space="preserve">Two letters same day, same request. ROUTE: direct to HS. Docket on Bedford f.256: 'Write... orders for troops to be stationed at Birm[ingham]' (CHECK reading) - suggests approved. Withering's role CHECK (writing on behalf of magistrates). Encloses handbill 'Now mee lads if hunger wont make us sum ourselves wot will... meet in the market place at 2 o'clock May 20'. Links to Stourbridge (F14) colliers' unrest.</t>
  </si>
  <si>
    <t xml:space="preserve">HO42-0260</t>
  </si>
  <si>
    <t xml:space="preserve">E178</t>
  </si>
  <si>
    <t xml:space="preserve">8</t>
  </si>
  <si>
    <t xml:space="preserve">Jno. Houchen [?], Stoke [Ferry], Norfolk, 20 May 1816: "I am sorry to say that a great tendency to riot &amp; mischief is shewn in this neighbourhood by the lower order of people on account of the price of Corn &amp; unless some steps are immediately taken to prevent it, by your Lordship sending some of his Majesties Cavalry, I fear it will be of serious consequence to this &amp; the adjacent Villages".</t>
  </si>
  <si>
    <t xml:space="preserve">20 May 1816</t>
  </si>
  <si>
    <t xml:space="preserve">Stoke, Norfolk</t>
  </si>
  <si>
    <t xml:space="preserve">Stoke Ferry</t>
  </si>
  <si>
    <t xml:space="preserve">John Houchen [?]</t>
  </si>
  <si>
    <t xml:space="preserve">Some of His Majesty's Cavalry</t>
  </si>
  <si>
    <t xml:space="preserve">ROUTE: direct to HS. Received 21 May. Writer's surname and role uncertain (CHECK). Stoke Ferry is near Downham Market (Downham riots same week). Also f.249: extract of letter from bailiff at Woodhall near Downham, 20 May, rioters pressed farm men (background).</t>
  </si>
  <si>
    <t xml:space="preserve">HO42-0261</t>
  </si>
  <si>
    <t xml:space="preserve">3-6</t>
  </si>
  <si>
    <t xml:space="preserve">ff.3-4</t>
  </si>
  <si>
    <t xml:space="preserve">'An Account of the Circumstances relative to the late Disturbances at and in the Vicinity of Downham Market in the County of Norfolk, &amp; of the proceedings of John Thurlow Dering, Edward Roger Pratt and Thomas Hare Esquires', enclosed by Lord Suffield, Gunton, 10 Jun 1816, describing Monday 20 May 1816: "In the early part of the day when the first symptoms of disturbance appeared, Mr. Dering had dispatched a Letter to Capt. Lee at Upwell, requesting that the Clackclose Corps of Cavalry would hold themselves in readiness to act in case any riot should take place, &amp; about noon Mr. Dering with the concurrence of Mr. Hare and Mr. Pratt dispatched a second Letter to Capt. Lee requesting that he would immediately proceed to Downham with his Troop. A Messenger was also dispatched by Mr. Hare and Mr. Dering ... to Thetford, requesting the assistance of the Military stationed there, but the Commanding Officer answered that he could not move unless he received proper orders for that purpose." ... "Capt. Lee with his Troop of about forty Cavalry arrived at Downham between five and six o'clock on the Monday afternoon" ... "unless they had been dispersed by the timely arrival and assistance of the Cavalry, the Town of Downham would have been in flames."</t>
  </si>
  <si>
    <t xml:space="preserve">Monday the 20th May [1816] (account dated Gunton, June 10th 1816)</t>
  </si>
  <si>
    <t xml:space="preserve">Downham Market, Norfolk</t>
  </si>
  <si>
    <t xml:space="preserve">J. T. Dering, E. R. Pratt, T. Hare (magistrates, Clackclose Hundred), as reported in account sent by Lord Suffield</t>
  </si>
  <si>
    <t xml:space="preserve">Capt. Lee (Clackclose Yeomanry Cavalry, Upwell) and commanding officer at Thetford; account forwarded to Sidmouth by Lord Suffield</t>
  </si>
  <si>
    <t xml:space="preserve">Clackclose Yeomanry Cavalry (Capt. Lee's troop, c.40 arrived); regular military at Thetford (refused without orders)</t>
  </si>
  <si>
    <t xml:space="preserve">Yeomanry came (c.40 cavalry); Thetford commanding officer refused without orders</t>
  </si>
  <si>
    <t xml:space="preserve">Capt. Lee / CO Thetford</t>
  </si>
  <si>
    <t xml:space="preserve">Same episode as the Downham Market 27 May 1816 row already logged from HO 42/150_1 (CHECK row ID). Date ISO = date of the local requests, not of the account. ROUTE: local request (to yeomanry and Thetford garrison) reported afterwards, via Lord Suffield. Special constables: only 8-10 volunteered until cavalry arrived, then c.70 sworn. Account also says Dering went to London 22 May and at the Secretary of State's office asked Mr Beckett 'that a Military force might be sent to Downham: and such force did arrive there on Monday the 27th May' (f.6) - that request may be the one already logged. Magistrates had been driven from the Crown Inn and pelted. Food riot over flour price; demand 2s/day wages and flour at 2s 6d/stone.</t>
  </si>
  <si>
    <t xml:space="preserve">HO42-0262</t>
  </si>
  <si>
    <t xml:space="preserve">E179</t>
  </si>
  <si>
    <t xml:space="preserve">67-69</t>
  </si>
  <si>
    <t xml:space="preserve">ff.143-145</t>
  </si>
  <si>
    <t xml:space="preserve">Peter C[?], acting magistrate for the County of Huntingdon, [c. 21-24 May 1816]: mob at Bury near Ramsey, 20 May, stripped tiles, broke windows; constables defied. "it was suggested... that it would be advisable to apprise the Commandant of the Cavalry that such a Riot did exist stating to him the propriety of a military interference". "With great alacrity he collected within 3 hours 40 Horse well mounted &amp; well equipped... the Troop was drawn up, &amp; the Commandant offered his services to execute any Commands the Magistrates might think it prudent... to do". "No attempt to riot did appear &amp; he therefore dismissed the Cavalry on the following morning".</t>
  </si>
  <si>
    <t xml:space="preserve">[undated; events 20-21 May 1816]</t>
  </si>
  <si>
    <t xml:space="preserve">1816-05-21</t>
  </si>
  <si>
    <t xml:space="preserve">Bury near Ramsey; Warboys</t>
  </si>
  <si>
    <t xml:space="preserve">Bury (Ramsey)</t>
  </si>
  <si>
    <t xml:space="preserve">Huntingdonshire</t>
  </si>
  <si>
    <t xml:space="preserve">Peter C[?] (surname unclear)</t>
  </si>
  <si>
    <t xml:space="preserve">CHECK: no salutation visible; enclosure (cover f.147 '24 May 1816')</t>
  </si>
  <si>
    <t xml:space="preserve">Yeomanry cavalry (40 horse) called by magistrates</t>
  </si>
  <si>
    <t xml:space="preserve">ROUTE: local request (to cavalry commandant, likely Huntingdon Yeomanry - CHECK) reported afterwards. Date is event date (20-21 May); letter undated. Writer surname illegible.</t>
  </si>
  <si>
    <t xml:space="preserve">HO42-0263</t>
  </si>
  <si>
    <t xml:space="preserve">E180</t>
  </si>
  <si>
    <t xml:space="preserve">76</t>
  </si>
  <si>
    <t xml:space="preserve">f.230</t>
  </si>
  <si>
    <t xml:space="preserve">Chris. Hindle, Chief Constable of the Hundred, Blackburn, 22 May 1816: "There being no Magistrate resident within this Parish (altho' according to the Census of 1811 it contains upwards of 40,000 Inhabitants)... there is strong reason to apprehend the property of the Inhabitants of the Town and Neighbourhood of Blackburn is in danger of being attacked by a numerous body of Insurgents as a considerable number assembled together on Monday last on an Eminence overlooking the Town... I have therefore most earnestly to request that your Lordship will be pleased to direct a Troop of Horse to be sent to Blackburn previous to Monday next if it be possible".</t>
  </si>
  <si>
    <t xml:space="preserve">Blackburn 22d May 1816</t>
  </si>
  <si>
    <t xml:space="preserve">1816-05-22</t>
  </si>
  <si>
    <t xml:space="preserve">Blackburn</t>
  </si>
  <si>
    <t xml:space="preserve">Christopher Hindle</t>
  </si>
  <si>
    <t xml:space="preserve">A troop of horse to Blackburn before Monday</t>
  </si>
  <si>
    <t xml:space="preserve">ROUTE: direct to HS (cover addressed to Prince Regent, Carlton House, CHECK). Docket: 'Recd 23rd ... Lt Genl [?] and to write to him [?]' - apparently referred to military commander (CHECK). Disturbance type CHECK: weavers' distress, no food riot stated. No resident magistrate.</t>
  </si>
  <si>
    <t xml:space="preserve">HO42-0264</t>
  </si>
  <si>
    <t xml:space="preserve">E181</t>
  </si>
  <si>
    <t xml:space="preserve">11-14</t>
  </si>
  <si>
    <t xml:space="preserve">ff.91-94</t>
  </si>
  <si>
    <t xml:space="preserve">Rev. [?] Edwards JP, Stoke College near Clare, Suffolk, 23 May 1816: threshing machine burnt at Clare 8 May; 150 special constables sworn. "I am convinced that the Spirit of Insurrection has been gaining ground... as commotions have taken place in most of the neighbouring Parishes as well as in some of the adjacent ones in the County of Essex". A mob threatened his barn: "considering that it was essentially necessary to put a prompt stop to such continued illegal proceedings, I sent off an express to Colchester requesting the aid of some Military". "the Grenadier Company of the 69th Regiment from Colchester arrived".</t>
  </si>
  <si>
    <t xml:space="preserve">May 23d 1816</t>
  </si>
  <si>
    <t xml:space="preserve">1816-05-23</t>
  </si>
  <si>
    <t xml:space="preserve">Stoke College near Clare, Suffolk</t>
  </si>
  <si>
    <t xml:space="preserve">Clare / Stoke-by-Clare</t>
  </si>
  <si>
    <t xml:space="preserve">Rev. [?] Edwards</t>
  </si>
  <si>
    <t xml:space="preserve">Military aid from Colchester garrison; Grenadier Company, 69th Regiment arrived</t>
  </si>
  <si>
    <t xml:space="preserve">ROUTE: local request (express to Colchester garrison) reported afterwards, direct to HS. Also threshing-machine breaking (mixed food/anti-machinery). Docket 27 May. Writer's name from docket on f.132 cover 'Rev. Mr Edwards' (CHECK first name). Distinct from Clare Oct 1800 episode.</t>
  </si>
  <si>
    <t xml:space="preserve">HO42-0265</t>
  </si>
  <si>
    <t xml:space="preserve">E182</t>
  </si>
  <si>
    <t xml:space="preserve">f.220</t>
  </si>
  <si>
    <t xml:space="preserve">Peploe Ward DD, Wm. Metcalfe, Henry Law, acting magistrates in the Isle of Ely, Ely, Thursday 23 May [1816], to the Secretary of State for the Home Department: "We the undersigned think it our Duty to represent to you the alarming &amp; dreadful state of our district. Riots at Littleport have taken place, &amp; the house of one of our Brother Magistrates nearly destroyed. We hope therefore for the most prompt assistance."</t>
  </si>
  <si>
    <t xml:space="preserve">Ely Thursday May 23d</t>
  </si>
  <si>
    <t xml:space="preserve">Ely; Littleport</t>
  </si>
  <si>
    <t xml:space="preserve">Littleport / Ely</t>
  </si>
  <si>
    <t xml:space="preserve">Cambridgeshire (Isle of Ely)</t>
  </si>
  <si>
    <t xml:space="preserve">Peploe Ward DD, William Metcalfe, Henry Law</t>
  </si>
  <si>
    <t xml:space="preserve">Secretary of State for the Home Department (Sidmouth)</t>
  </si>
  <si>
    <t xml:space="preserve">'most prompt assistance' (military implied)</t>
  </si>
  <si>
    <t xml:space="preserve">Originating request of Littleport/Ely episode (cf. F8 Bate Dudley report 28 May in 150_2, same episode). ROUTE: direct to HS. Docket: 'Ely 23 May 1816. The Magistrates ... Having [?] the dreadful state of the district, apply for assistance' (CHECK first signatory's name). Civil power inadequacy implied by plea, not stated: CHECK.</t>
  </si>
  <si>
    <t xml:space="preserve">HO42-0266</t>
  </si>
  <si>
    <t xml:space="preserve">E183</t>
  </si>
  <si>
    <t xml:space="preserve">77-78</t>
  </si>
  <si>
    <t xml:space="preserve">ff.231-232</t>
  </si>
  <si>
    <t xml:space="preserve">Magistrates of the Isle of Ely acting for Wisbech, Wisbech, 23 May 1816: since the disturbances at Downham "the disaffected here have more openly intimated their Disposition for and Intention of disturbing the publick Tranquility"; threatened assembly Saturday (market day). "as they have no Yeomanry Cavalry, nor any Description of military Force in the Town to aid - if required - the Efforts of the Civil Power... they cannot but feel some Apprehension that their Endeavours may not be equal to check that Torrent of Evil". "We venture to submit to your Lordship, whether the immediate stationing of a small Force of Cavalry in this Place, which has good and ample Accommodation... might not have a more powerful Effect".</t>
  </si>
  <si>
    <t xml:space="preserve">Wisbech 23d May 1816</t>
  </si>
  <si>
    <t xml:space="preserve">Wisbech magistrates (Isle of Ely)</t>
  </si>
  <si>
    <t xml:space="preserve">Sidmouth ("My Lords" [sic])</t>
  </si>
  <si>
    <t xml:space="preserve">Small force of cavalry stationed at Wisbech</t>
  </si>
  <si>
    <t xml:space="preserve">Originating request of episode F11 (follow-up 26 May in 150_2 ff.82-84). ROUTE: direct to HS. Signatures on following page not viewed (CHECK).</t>
  </si>
  <si>
    <t xml:space="preserve">HO42-0267</t>
  </si>
  <si>
    <t xml:space="preserve">58</t>
  </si>
  <si>
    <t xml:space="preserve">f.369</t>
  </si>
  <si>
    <t xml:space="preserve">Copy of letter, W. Scott to W. Jones, Woodhall near Downham, Sunday 26 May 1816: at Ely Fair Thursday "I saw twelve of the Ringleaders put into Gaol, but the Magistrates were soon compelled to release them, there being but 20 Soldiers of the 5th Dragoon Guards from Bury there, but these were reinforced next day and went to Littleport after the Rioters... The Soldiers came up to Littleport while they were plundering, upon which the Rioters tacked about and met the Soldiers with Fowling pieces".</t>
  </si>
  <si>
    <t xml:space="preserve">Sunday 26th May 1816</t>
  </si>
  <si>
    <t xml:space="preserve">Woodhall near Downham; Ely; Littleport</t>
  </si>
  <si>
    <t xml:space="preserve">Ely / Littleport</t>
  </si>
  <si>
    <t xml:space="preserve">W. Scott</t>
  </si>
  <si>
    <t xml:space="preserve">W. Jones ("Sir") - forwarded copy</t>
  </si>
  <si>
    <t xml:space="preserve">20 soldiers 5th Dragoon Guards from Bury, reinforced next day</t>
  </si>
  <si>
    <t xml:space="preserve">Same episode as F8/F12 (Littleport/Ely). Event date 23 May (Ely Fair, Thursday); letter 26 May. Eyewitness account: magistrates forced to release prisoners because force too small. Also f.365: coroner's depositions 27 May on Thomas Sindall shot by soldiers at Littleport 24 May (Bate Dudley arrived 'attended by some Horse Soldiers').</t>
  </si>
  <si>
    <t xml:space="preserve">HO42-0268</t>
  </si>
  <si>
    <t xml:space="preserve">41-42</t>
  </si>
  <si>
    <t xml:space="preserve">ff.120-121</t>
  </si>
  <si>
    <t xml:space="preserve">J. R. Burch JP, Brandon, 24 May 1816, to J. Beckett: Hearing the troop of Dragoons at Brandon may be removed, "I cannot answer for the continuation of quiet in this neighbourhood (which is only partially restored) if the Military force which is now stationed in Brandon is allowed to be sent from thence to suppress Riot &amp; Tumult elsewhere". Parishioners of Feltwell and Hockwold "dare not lay any information... if the regular force is removed from Brandon because the Yeomanry cannot be collected in sufficient time". "We trust therefore... Lord Sidmouth will see the necessity of continuing the present Military force at Brandon &amp; under our direction".</t>
  </si>
  <si>
    <t xml:space="preserve">May 24. 1816</t>
  </si>
  <si>
    <t xml:space="preserve">1816-05-24</t>
  </si>
  <si>
    <t xml:space="preserve">J. R. Burch</t>
  </si>
  <si>
    <t xml:space="preserve">John Beckett, Under-Secretary ("Sir")</t>
  </si>
  <si>
    <t xml:space="preserve">Retain troop of Dragoons at Brandon under magistrates' direction</t>
  </si>
  <si>
    <t xml:space="preserve">Request to KEEP troops. ROUTE: direct to HO (Under-Secretary). Bunbury (f.97, 28 May) later says Suffolk magistrates took over Brandon from Burch; Burch's 'misconduct as a Magistrate' (f.135). Brandon riots c. 17-18 May.</t>
  </si>
  <si>
    <t xml:space="preserve">HO42-0269</t>
  </si>
  <si>
    <t xml:space="preserve">E184</t>
  </si>
  <si>
    <t xml:space="preserve">f.215</t>
  </si>
  <si>
    <t xml:space="preserve">J. H. Biggs, Joseph Pepper [?], Jno. Addenbrooke, John Pidcock, Charles Hill, magistrates for Worcester and Staffordshire, Public Office, Stourbridge, 24 May 1816: the "distressed and very alarming state of this populous neighbourhood in consequence of the recent discharge from all employment of an immense number of Colliers Forgemen Nailers and other Artificers and Labourers who wander about the Country in small parties begging and in many instances extorting money and provisions... and earnestly to request that your Lordship will as speedily as possible give directions that a Troop of Horse may be stationed in this Town for the protection of the Neighbourhood against those disturbances which we have but too much reason to apprehend will otherwise very soon break out".</t>
  </si>
  <si>
    <t xml:space="preserve">24th May 1816</t>
  </si>
  <si>
    <t xml:space="preserve">Stourbridge</t>
  </si>
  <si>
    <t xml:space="preserve">J. H. Biggs, Joseph Pepper [?], John Addenbrooke, John Pidcock, Charles Hill</t>
  </si>
  <si>
    <t xml:space="preserve">A troop of horse stationed at Stourbridge</t>
  </si>
  <si>
    <t xml:space="preserve">ROUTE: direct to HS. Docket '1816 May 24 Dom.'; cover note 'Public Office ... the Magistrates ... Stourbridge' (CHECK). Black Country unemployment; overlaps Worcs/Staffs.</t>
  </si>
  <si>
    <t xml:space="preserve">HO42-0270</t>
  </si>
  <si>
    <t xml:space="preserve">9-10</t>
  </si>
  <si>
    <t xml:space="preserve">ff.6-7</t>
  </si>
  <si>
    <t xml:space="preserve">Same account (Lord Suffield's enclosure, Gunton 10 Jun 1816), describing Friday 24 May 1816: "on the Friday following considerable alarm was excited at Downham by reports of a fresh rising of the People at and in the neighbourhood of Southery, and expresses were sent to Capt. Lee and also to Col. Edmund Wodehouse, Major Wilson and Capt. Hammond who arrived with their Troops at Downham, Capt. Lee's the same Evening, and the others on the following day: And Mr. Hare and Mr. Pratt proceeded with Col. Wodehouse and Major Wilson and their Troops to Southery, where they found the People quiet". Earlier (Tue 21 May) the magistrates released all prisoners rather than face c.700-800 armed men from Southery, considering "that the Cavalry though they displayed the most intrepid spirit were few in number, and mounted on Horses not much used to Fire Arms".</t>
  </si>
  <si>
    <t xml:space="preserve">the Friday following [24 May 1816]</t>
  </si>
  <si>
    <t xml:space="preserve">Downham / Southery, Norfolk</t>
  </si>
  <si>
    <t xml:space="preserve">Downham Market (Southery)</t>
  </si>
  <si>
    <t xml:space="preserve">Magistrates Hare, Pratt (and Dering), as reported in account sent by Lord Suffield</t>
  </si>
  <si>
    <t xml:space="preserve">Yeomanry commanders (Capt. Lee, Col. Edmund Wodehouse, Major Wilson, Capt. Hammond); account forwarded to Sidmouth by Lord Suffield</t>
  </si>
  <si>
    <t xml:space="preserve">Several yeomanry troops (Lee, Wodehouse, Wilson, Hammond)</t>
  </si>
  <si>
    <t xml:space="preserve">Troops arrived same evening / next day</t>
  </si>
  <si>
    <t xml:space="preserve">Yeomanry officers</t>
  </si>
  <si>
    <t xml:space="preserve">Same episode as G1 row above and as Downham Market 27 May 1816 row (HO 42/150_1). Second wave of local requests on rumour of fresh rising at Southery. ROUTE: local request reported afterwards. CHECK: Wodehouse/Wilson/Hammond troops assumed to be Norfolk yeomanry. Account ends: 19 rioters committed to Swaffham Bridewell and Norwich Castle (list ff.7-8); flour price the cause; Fen population described as 'turbulent and riotous'. Rioters allegedly planned three ranks with pitchforks and duck guns.</t>
  </si>
  <si>
    <t xml:space="preserve">HO42-0271</t>
  </si>
  <si>
    <t xml:space="preserve">E185</t>
  </si>
  <si>
    <t xml:space="preserve">ff.113-114</t>
  </si>
  <si>
    <t xml:space="preserve">Duke of Grafton (Lord Lieutenant of Suffolk), Charles Street, 25 May 1816: reported "that Cambridge will be in a state of Commotion this day as well as the Villages of Soham, &amp; other populous places in Cambridgeshire, on the borders of Suffolk". "I beg to submit to Your Lordship whether the Town of Newmarket is not better calculated, in a Military as well as in every other point of view, to be a principal Station for Cavalry particularly, than Ely, or any place so deep in the Fens, and out of reach of communication with other points, at which disturbances may be apprehended of a description to require the prompt assistance of a Military force."</t>
  </si>
  <si>
    <t xml:space="preserve">25 May [1816]</t>
  </si>
  <si>
    <t xml:space="preserve">1816-05-25</t>
  </si>
  <si>
    <t xml:space="preserve">Charles Street [London]; Newmarket</t>
  </si>
  <si>
    <t xml:space="preserve">Newmarket</t>
  </si>
  <si>
    <t xml:space="preserve">Duke of Grafton</t>
  </si>
  <si>
    <t xml:space="preserve">Cavalry to be stationed principally at Newmarket</t>
  </si>
  <si>
    <t xml:space="preserve">BORDERLINE (proposal on where to station cavalry, cf. barracks/location). ROUTE: direct to HS by LL. Reports riot at Downham (same as logged Downham 27 May episode).</t>
  </si>
  <si>
    <t xml:space="preserve">HO42-0272</t>
  </si>
  <si>
    <t xml:space="preserve">ff.82-84</t>
  </si>
  <si>
    <t xml:space="preserve">Magistrates of Wisbech (Abr. Jobson and others), Wisbech, 26 May 1816: following "our Application to your Lordship of the 23d instant... we were enabled to collect together the three Yeomanry Corps of March, Upwell, and Whittlesea, amounting together to one hundred and twenty Men" and 200-300 special constables. As Yeomanry cannot stay and a fair is due, "We deem it expedient to depute two of our Body to proceed to Ely to day, to confer with Major General Sir J. Byng, on the Propriety and Necessity of moving a Part of his Force to this Place, as well for the Protection of the Prison, as for the Preservation of the Peace".</t>
  </si>
  <si>
    <t xml:space="preserve">Wisbech 26th May 1816</t>
  </si>
  <si>
    <t xml:space="preserve">1816-05-26</t>
  </si>
  <si>
    <t xml:space="preserve">Abraham Jobson and other Wisbech magistrates</t>
  </si>
  <si>
    <t xml:space="preserve">3 Yeomanry corps (120 men) called in; request to Gen. Byng for part of regular force to Wisbech</t>
  </si>
  <si>
    <t xml:space="preserve">ROUTE: direct to HS (earlier application 23 May, not seen) plus local request to General Byng. Signatories' names partly illegible (CHECK).</t>
  </si>
  <si>
    <t xml:space="preserve">HO42-0273</t>
  </si>
  <si>
    <t xml:space="preserve">72-73</t>
  </si>
  <si>
    <t xml:space="preserve">ff.148-149</t>
  </si>
  <si>
    <t xml:space="preserve">Sir Henry E. Bunbury, Mildenhall, 27 May 1816: meeting of Suffolk magistrates at Bury discussed "the best means of giving extraordinary aid, where necessary, to the Civil Power; - on the necessity of giving some Arms to Special Constables; - on the means of augmenting the Yeomanry". "it is that our Special Constables should be properly armed. At present they feel themselves inferior to the Rioters on account of the weapon with which the latter takes care to provide himself". "Sir John Byng is at my house... Suffolk is quite quiet at present - but we keep an Eye upon Brandon".</t>
  </si>
  <si>
    <t xml:space="preserve">May 27th 1816</t>
  </si>
  <si>
    <t xml:space="preserve">Mildenhall; Bury</t>
  </si>
  <si>
    <t xml:space="preserve">Bury St Edmunds / Mildenhall</t>
  </si>
  <si>
    <t xml:space="preserve">Sir Henry Edward Bunbury</t>
  </si>
  <si>
    <t xml:space="preserve">Arms for special constables; augmentation of Suffolk Yeomanry</t>
  </si>
  <si>
    <t xml:space="preserve">ROUTE: direct to HS. Same episode as Brandon (F5) context. Maj-Gen Sir John Byng commanding district staying with writer. Bunbury also f.80-81 (26 May) and f.97 (28 May) on Brandon/Soham, troops ready.</t>
  </si>
  <si>
    <t xml:space="preserve">HO42-0274</t>
  </si>
  <si>
    <t xml:space="preserve">E186</t>
  </si>
  <si>
    <t xml:space="preserve">ff.115-116</t>
  </si>
  <si>
    <t xml:space="preserve">Rev. Benjamin Barker, Caston, Watton, Norfolk, 28 May 1816: disturbance in the three parishes of Rockland since 21 May which he put an end to; a ringleader told him that, had he acted "instead of applying for military aid... in that case, lives would have been lost there also". "surrounded as I was for more than six hours by a mob armed with staves and cudgels". Others committed "for destroying a threshing machine in a neighbouring parish".</t>
  </si>
  <si>
    <t xml:space="preserve">May 28th 1816</t>
  </si>
  <si>
    <t xml:space="preserve">Caston, Watton; Rockland</t>
  </si>
  <si>
    <t xml:space="preserve">Rockland / Caston</t>
  </si>
  <si>
    <t xml:space="preserve">Rev. Benjamin Barker</t>
  </si>
  <si>
    <t xml:space="preserve">None - explicitly avoided applying for military aid</t>
  </si>
  <si>
    <t xml:space="preserve">BORDERLINE: clergyman (not JP: 'no person in the Commission of the peace in this hundred (Wayland)', f.119) chose not to call troops. ROUTE: direct to HS. Related letters f.109 (26 May) and ff.117-119 (24 May): six contiguous parishes rose on 21 May; Sidmouth's letter of 27 May recommends him for commission of the peace.</t>
  </si>
  <si>
    <t xml:space="preserve">HO42-0275</t>
  </si>
  <si>
    <t xml:space="preserve">ff.99-100</t>
  </si>
  <si>
    <t xml:space="preserve">Rev. Sir Henry Bate Dudley, Ely Gaol, Tuesday evening [28 May 1816]: "Every thing goes on well... An Inquisition has been taken on the principal Desperado who was killed and a verdict of Justifiable Homicide was immediately given to the satisfaction of the country. The Infantry are come in under Capt Downing - the 3 troops of the King's Guards under Col. Aclom". "One of the ringleaders has fled to Bath".</t>
  </si>
  <si>
    <t xml:space="preserve">Ely Gaol Tuesday Evening (docket 28 May 1816)</t>
  </si>
  <si>
    <t xml:space="preserve">Rev. Sir Henry Bate Dudley</t>
  </si>
  <si>
    <t xml:space="preserve">Infantry under Capt Downing; 3 troops of Guards under Col Aclom (CHECK name)</t>
  </si>
  <si>
    <t xml:space="preserve">Littleport/Ely riots 22-24 May 1816. ROUTE: direct to HS. Report of troops present, not the original request; the originating requests for Littleport not found in this file (CHECK 150_1/150_3). Bate Dudley also ff.101-102 (Ely 27/28 May) on examinations, f.139-140.</t>
  </si>
  <si>
    <t xml:space="preserve">HO42-0276</t>
  </si>
  <si>
    <t xml:space="preserve">HO-42-150_6.pdf</t>
  </si>
  <si>
    <t xml:space="preserve">ff.403-404</t>
  </si>
  <si>
    <t xml:space="preserve">Copy, [anonymous], Birmingham, 28 May 1816: "Being here I cannot but observe the restless State of the Manufacturers, who are very much out of Employ, they parade the Streets in Parties, and from their Manner &amp; Expressions shew a strong Disposition to Riot. There is a Fair here on Thursday week... I am informed there are not any Troops in the Barracks, nor are there at Coventry if any thing was to happen here Coventry would be very likely to follow a bad Example".</t>
  </si>
  <si>
    <t xml:space="preserve">Anonymous (copy; 'No one knows of the liberty I have taken')</t>
  </si>
  <si>
    <t xml:space="preserve">Implicit: troops for Birmingham (and Coventry) barracks</t>
  </si>
  <si>
    <t xml:space="preserve">BORDERLINE (no explicit request; stresses absence of troops). Same episode as F17 (Birmingham 20 May, 150_4). ROUTE: direct to HS (copy). Suggests the 20 May request had not yet produced troops by 28 May (CHECK).</t>
  </si>
  <si>
    <t xml:space="preserve">HO42-0277</t>
  </si>
  <si>
    <t xml:space="preserve">E187</t>
  </si>
  <si>
    <t xml:space="preserve">14-15</t>
  </si>
  <si>
    <t xml:space="preserve">ff.408-409</t>
  </si>
  <si>
    <t xml:space="preserve">Jno. Mansfield, Mayor, Leicester, 29 May 1816: "In the present state of the Country I think it right to call your Lordship's attention to the circumstance that we have no military stationed in this Town. Though I am far from entertaining any serious expectation of disturbances, yet I must say that the population of this Town is suffering greatly from the distress of Trade, and consequent want of employment... yet if a Troop of Horse could be conveniently spared for this Town the Magistrates would feel themselves better able to justify their preparations to the public."</t>
  </si>
  <si>
    <t xml:space="preserve">May 29. 1816</t>
  </si>
  <si>
    <t xml:space="preserve">1816-05-29</t>
  </si>
  <si>
    <t xml:space="preserve">John Mansfield</t>
  </si>
  <si>
    <t xml:space="preserve">A troop of horse for Leicester</t>
  </si>
  <si>
    <t xml:space="preserve">ROUTE: direct to HS. Docket (vertical, f.409) partly legible: reply that every possible attention will be paid (CHECK). Docket on cover reads '28 May 1816' though letter dated 29 May.</t>
  </si>
  <si>
    <t xml:space="preserve">HO42-0278</t>
  </si>
  <si>
    <t xml:space="preserve">Lewis Majendie, Hedingham Castle, 29 [?] May 1816: Halstead quiet; Sible Hedingham "in a state of Restlessness, which rendered it advisable to station the Halsted Troop of Volunteer Cavalry last night"; as the members were unable to remain embodied at their own charges, "I applied to the two Magistrates residing at Halsted, requesting them to allow a detachment of the Troop of the 20th Regt of Light Dragoons under the Command of Captain Duncan [?], with his concurrence, to march to Sible Hedingham and relieve the Volunteers; this plan has been acceded to, and the Volunteers are dismissed".</t>
  </si>
  <si>
    <t xml:space="preserve">May 29 [?] 1816 (docket 29 May)</t>
  </si>
  <si>
    <t xml:space="preserve">Hedingham Castle; Halstead; Sible Hedingham</t>
  </si>
  <si>
    <t xml:space="preserve">Sible Hedingham</t>
  </si>
  <si>
    <t xml:space="preserve">Lewis Majendie</t>
  </si>
  <si>
    <t xml:space="preserve">Detachment of 20th Light Dragoons (from Halstead) to relieve volunteer cavalry</t>
  </si>
  <si>
    <t xml:space="preserve">Same episode as F22. ROUTE: local request (to dragoon officer via Halstead magistrates) reported afterwards. Volunteers could not stay embodied at own expense. Date numeral unclear (CHECK).</t>
  </si>
  <si>
    <t xml:space="preserve">HO42-0279</t>
  </si>
  <si>
    <t xml:space="preserve">f.430</t>
  </si>
  <si>
    <t xml:space="preserve">Lord Suffield (CHECK: Lord Lieutenant of Norfolk), Gunton, 30 May 1816: "From the communications I have this day received from the Magistrates, I am enabled to state to your Lordship that Tranquillity is restored at Downham and its vicinity, but I beg to recommend that the Military may not for the present be withdrawn from Downham or from Brandon."</t>
  </si>
  <si>
    <t xml:space="preserve">Gunton May 30th 1816</t>
  </si>
  <si>
    <t xml:space="preserve">1816-05-30</t>
  </si>
  <si>
    <t xml:space="preserve">Gunton; Downham; Brandon</t>
  </si>
  <si>
    <t xml:space="preserve">Downham Market / Brandon</t>
  </si>
  <si>
    <t xml:space="preserve">Lord Suffield</t>
  </si>
  <si>
    <t xml:space="preserve">Keep military at Downham and Brandon</t>
  </si>
  <si>
    <t xml:space="preserve">Request to KEEP troops. Same episode as logged Downham Market (27 May) and Brandon (F5). ROUTE: direct to HS by LL (CHECK Suffield's office). Labelled F16 (Downham); also covers Brandon (F5).</t>
  </si>
  <si>
    <t xml:space="preserve">HO42-0280</t>
  </si>
  <si>
    <t xml:space="preserve">19-22</t>
  </si>
  <si>
    <t xml:space="preserve">ff.413-416</t>
  </si>
  <si>
    <t xml:space="preserve">Lewis Majendie JP, Hedingham Castle, Essex, 27 May and 31 May 1816: labourers at Sible Hedingham destroyed a threshing machine; prisoners "on their Arrival with the Constables, at Halsted, were rescued by a large Body of the People of that Town". "Under these Circumstances I have taken upon Myself to require the Gosfield [?] Troop of Volunteer Cavalry, under the Command of Cornet Myall... to remain embodied and to be disposed in the Parish of Sible Hedingham, untill further Directions". 31 May: "a large and riotous assembly of the inhabitants of Halsted took place last night. I had directed Cornet Myall of the Halsted Troop of Cavalry, to assemble as many of his People as he could... to the assistance of the Civil Power, but from the small number of the Men he was unable to disperse the townspeople... and the Volunteers themselves were severely assaulted. Under these Circumstances application has been made to the officer commanding at Colchester for further Military Assistance".</t>
  </si>
  <si>
    <t xml:space="preserve">Hedingham Castle, May 27 &amp; 31, 1816</t>
  </si>
  <si>
    <t xml:space="preserve">1816-05-31</t>
  </si>
  <si>
    <t xml:space="preserve">Hedingham Castle; Sible Hedingham; Halstead</t>
  </si>
  <si>
    <t xml:space="preserve">Halstead / Sible Hedingham</t>
  </si>
  <si>
    <t xml:space="preserve">Halstead troop of Volunteer Cavalry embodied (27 May); further military assistance requested from Colchester (31 May)</t>
  </si>
  <si>
    <t xml:space="preserve">ROUTE: local request (to yeomanry; to commanding officer, Colchester) reported afterwards, direct to HS. Mixed food/threshing-machine unrest; volunteers assaulted and too few. Troop name on f.414 read 'Gosfield' (CHECK; f.415 says Halsted Troop). Event date of Colchester application 30-31 May.</t>
  </si>
  <si>
    <t xml:space="preserve">HO42-0281</t>
  </si>
  <si>
    <t xml:space="preserve">E188</t>
  </si>
  <si>
    <t xml:space="preserve">HO-42-151_3.pdf</t>
  </si>
  <si>
    <t xml:space="preserve">6-8</t>
  </si>
  <si>
    <t xml:space="preserve">ff.139-140</t>
  </si>
  <si>
    <t xml:space="preserve">Ra[lph] Fletcher, Bolton le Moors, 1 Jun 1816, to Sidmouth: "The magistrates of this Division having been apprehensive of some Breach of the Public Peace, from the assemblages of numerous Bodies of Weavers that have taken place for several Evenings past, in the outskirts of the Town, deemed it expedient on the 30 ultimo, (as the Town had been without any military Force whatever, since the reduction of the Local Militia, and the Resignation of the Yeomanry Troop of Cavalry) to request from the officer commanding at the Barracks at Manchester, that a Troop of Dragoons might be sent to and remain quartered at Bolton." Lt Col. Holmes (3rd Dragoon Guards) replied that, "no Riot has actually taken place", the magistrates should apply to the Home Secretary or Secretary at War. Fletcher therefore asks "that your Lordship will be pleased to direct the Officer commanding at Manchester (Lt Col. Holmes) to detach to the Town of Bolton a Troop of Dragoons - to be there quartered, as long as circumstances shall make such a measure necessary."</t>
  </si>
  <si>
    <t xml:space="preserve">Bolton le Moors 1st June 1816</t>
  </si>
  <si>
    <t xml:space="preserve">1816-06-01</t>
  </si>
  <si>
    <t xml:space="preserve">Bolton le Moors</t>
  </si>
  <si>
    <t xml:space="preserve">Ralph Fletcher (for the magistrates of the Bolton Division)</t>
  </si>
  <si>
    <t xml:space="preserve">Sidmouth ("My Lord"; to Lord Viscount Sidmouth)</t>
  </si>
  <si>
    <t xml:space="preserve">A troop of dragoons from Manchester barracks, to be quartered at Bolton</t>
  </si>
  <si>
    <t xml:space="preserve">HO wrote to Adjutant General asking that a detachment of dragoons be stationed at Bolton for the present (endorsement)</t>
  </si>
  <si>
    <t xml:space="preserve">1816-06-03</t>
  </si>
  <si>
    <t xml:space="preserve">Home Office (endorsement 'Ans. 3d')</t>
  </si>
  <si>
    <t xml:space="preserve">ROUTE: local request to Manchester garrison (30 May) refused pending HS authority, then direct to HS. Weavers' distress/assemblies; no riot yet. Town without force since local militia reduced and yeomanry troop resigned. Refers to Fletcher's communication to Beckett 27 May and joint letter with Mr Watkins 29 May (see HO 42/151_1 coverage). Endorsement (PDF p.8, CHECK reading): 'Two additional troops were ordered to Manchester ... 25th'; 'Write to the A[djutant] G[eneral] and desire that a troop of Dragoon may be stationed at Bolton for the present ... the neighbourhood ... in a very unsettled state'; 'Acqt. Mr Fletcher that a communication has been made to the A.G. on the subject of his letter and that he has desired that a detachment of Dragoons may be stationed at Bolton for the present'. Same Bolton area as 1801 Bolton rows but a separate episode.</t>
  </si>
  <si>
    <t xml:space="preserve">HO42-0282</t>
  </si>
  <si>
    <t xml:space="preserve">HO-42-151_4.pdf</t>
  </si>
  <si>
    <t xml:space="preserve">Revd J. R. Sprowle[?], Bardfield, Braintree [Essex], 1 Jun 1816, to Sidmouth: "the Neighbourhood bordering upon Suffolk has been by no means tranquil, &amp; at Halstead, Hedingham &amp; other Places, there have been considerable Commotions" ... "I should consider small Detachments of regular Cavalry, placed so, as to be in readiness to co'operate with the Yeomanry Cavalry, would considerably assist to quell the Disposition to Rioting. Those Dragoons were of considerable use, two Nights since at Halstead, where, the Mob took possession of the Church Yard, which being elevated, &amp; surrounded by a wall, the Yeomanry Cavalry were considerably annoyed by the Stones &amp; Bricks thrown at them, and one Man materially hurt, a few Men from the 20th Light Dragoons, soon settled the Business." Also: a rescue of prisoners took place in the neighbourhood 'for want of a sufficient Escort'.</t>
  </si>
  <si>
    <t xml:space="preserve">Bardfield Braintree June 1st 1816</t>
  </si>
  <si>
    <t xml:space="preserve">Bardfield; Halstead; Hedingham</t>
  </si>
  <si>
    <t xml:space="preserve">Great Bardfield / Halstead / Sible Hedingham</t>
  </si>
  <si>
    <t xml:space="preserve">Revd J. R. Sprowle [?] (from docket)</t>
  </si>
  <si>
    <t xml:space="preserve">Small detachments of regular cavalry to co-operate with yeomanry; sufficient escorts for prisoners</t>
  </si>
  <si>
    <t xml:space="preserve">1816-06-07</t>
  </si>
  <si>
    <t xml:space="preserve">Maj. R. Du Cane / Byng</t>
  </si>
  <si>
    <t xml:space="preserve">CHECK role: clergyman who praises his parishioner in Capt. Pollett's[?] yeomanry troop; whether JP not stated. Same wider episode as Braintree 28 May 1816 row (HO 42/150_1) - 'Since I had the Honor of writing to your Lordship ... no Repetition of the Outrage I mentioned'. Halstead riot c.30 May 1816: yeomanry stoned, 20th Light Dragoons dispersed mob. Follow-up: Major R. Du Cane, 20th L. Dragoons, Halstead 7 Jun (ff.269-270) to Byng: 'every disposition to riot here or in Sible Hedingham has long subsided ... the Troop might be withdrawn'; Byng withdrew it (f.267). ROUTE: direct to HS.</t>
  </si>
  <si>
    <t xml:space="preserve">HO42-0283</t>
  </si>
  <si>
    <t xml:space="preserve">E189</t>
  </si>
  <si>
    <t xml:space="preserve">34</t>
  </si>
  <si>
    <t xml:space="preserve">f.241</t>
  </si>
  <si>
    <t xml:space="preserve">S. Butler D.D., Head Master of Shrewsbury School, Shrewsbury, 1 Jun 1816, to Sidmouth: "there is a depot containing 7000 stand of arms, &amp; a large quantity of gunpowder near this town, without a single soldier to guard it. Several hundred men have been recently discharged from the neighbouring iron works &amp; collieries, who might, should they be disposed to riot, possess themselves of this supply without opposition."</t>
  </si>
  <si>
    <t xml:space="preserve">Shrewsbury June 1. 1816</t>
  </si>
  <si>
    <t xml:space="preserve">Shrewsbury</t>
  </si>
  <si>
    <t xml:space="preserve">Shropshire</t>
  </si>
  <si>
    <t xml:space="preserve">Samuel Butler D.D.</t>
  </si>
  <si>
    <t xml:space="preserve">Implied: guard of soldiers for arms depot (7,000 stand of arms, gunpowder)</t>
  </si>
  <si>
    <t xml:space="preserve">BORDERLINE: implicit request for a guard; no explicit ask. ROUTE: direct to HS. Unemployed ironworkers/colliers (Shropshire coalfield).</t>
  </si>
  <si>
    <t xml:space="preserve">HO42-0284</t>
  </si>
  <si>
    <t xml:space="preserve">E190</t>
  </si>
  <si>
    <t xml:space="preserve">ff.236-237</t>
  </si>
  <si>
    <t xml:space="preserve">Thos. Methold, Stonham, Suffolk, 3 Jun 1816, to Sidmouth, on Morley, a tailor at Finningham suspected of inciting a riotous assembly: "It has been represented to me that the Arms lately used by the Hartsmere Rangers, are deposited at Finningham, &amp; by no means in a very secure place. It seems therefore desirable, when we consider the disturbances that have lately existed, that those Arms should be removed without delay, to a proper place of Safety, &amp; more especially as the adjoining Village contains a Number of Low Dissenters, who are not well affected, &amp; I conceive would have no objection to assist in any tumultuous proceedings that might arise."</t>
  </si>
  <si>
    <t xml:space="preserve">Stonham Suffolk June 3: 1816</t>
  </si>
  <si>
    <t xml:space="preserve">Stonham; Finningham</t>
  </si>
  <si>
    <t xml:space="preserve">Finningham</t>
  </si>
  <si>
    <t xml:space="preserve">Thomas Methold</t>
  </si>
  <si>
    <t xml:space="preserve">None; removal of disbanded volunteer corps' (Hartismere Rangers) arms to safety</t>
  </si>
  <si>
    <t xml:space="preserve">BORDERLINE (arms of former volunteer corps; security concern). CHECK role: says Mr Rust 'one of the Magistrates' spoke to Sidmouth; Methold's own role not stated. Corps was commanded by William Frere, Master of Downing College. ROUTE: direct to HS.</t>
  </si>
  <si>
    <t xml:space="preserve">HO42-0285</t>
  </si>
  <si>
    <t xml:space="preserve">ff.200-201</t>
  </si>
  <si>
    <t xml:space="preserve">John Thurlow Dering, Crow Hall [Denver, Norfolk], 4 Jun 1816, to [Benjamin] Barker: "We were concerned yesterday to find that Sir John Byng had moved his Head Quarters &amp; had sent an Intimation to Captn. Cuyler that a route would be transmitted for the Military to leave Downham abt. Thursday. The Magistrates are not yet satisfied that there exists that appearance of Tranquillity in the Division to justify a Representation from them that the Continuance of an armed Force is not requisite." ... "Surely the perseverance in such a measure [refusal of unmarked shillings] when the lower Classes in most places are ripe for riot &amp; plunder without a military power to keep them in check is a very dangerous Experiment."</t>
  </si>
  <si>
    <t xml:space="preserve">Crow Hall June 4. 1816</t>
  </si>
  <si>
    <t xml:space="preserve">1816-06-04</t>
  </si>
  <si>
    <t xml:space="preserve">Crow Hall; Downham</t>
  </si>
  <si>
    <t xml:space="preserve">John Thurlow Dering</t>
  </si>
  <si>
    <t xml:space="preserve">Benjamin Barker ("Dear Sir"; docketed 'Mr Barker 4 June 1816') - CHECK: Barker's role; letter passed to HO</t>
  </si>
  <si>
    <t xml:space="preserve">Keep the military (Capt. Cuyler's detachment) at Downham</t>
  </si>
  <si>
    <t xml:space="preserve">Request to KEEP troops. Same episode as G1 rows and Downham Market 27 May 1816 row (HO 42/150_1). ROUTE: magistrate to intermediary (Barker, who was in London seeking interview with Beckett, f.198), forwarded to HO. Also reports John Pearson apprehended and sent to Norwich Castle. Precedes Lord Suffield's 10 Jun request (G1, HO 42/151_1 ff.30-31) to suspend removal. CHECK: 'Writer says civil power inadequate' inferred from 'without a military power to keep them in check'.</t>
  </si>
  <si>
    <t xml:space="preserve">HO42-0286</t>
  </si>
  <si>
    <t xml:space="preserve">E191</t>
  </si>
  <si>
    <t xml:space="preserve">6-7</t>
  </si>
  <si>
    <t xml:space="preserve">ff.215-216</t>
  </si>
  <si>
    <t xml:space="preserve">W[illiam] Burdon, Newcastle [upon Tyne], 5 Jun 1816, to Sidmouth: "I need not inform your Lordship that for some days past the 5th Dragoon Guards have been employed in keeping the Pitmen in Subjection who had assembled in large Bodies, prevented the Collieries from working and committed several other outrages, the substance of which I have no doubt your Lordship will be acquainted with by the Magistrates for the County of Durham ... I have much pleasure in informing your Lordship that order is now completely restored in that Neighbourhood, and that they have returned to their work again, and the Troops to their Quarters." Also notes c.700-800 men discharged from Crowley's iron works up the Tyne, 'as yet perfectly quiet'.</t>
  </si>
  <si>
    <t xml:space="preserve">Newcastle June 5th 1816</t>
  </si>
  <si>
    <t xml:space="preserve">1816-06-05</t>
  </si>
  <si>
    <t xml:space="preserve">Newcastle; collieries, County of Durham</t>
  </si>
  <si>
    <t xml:space="preserve">Newcastle upon Tyne / Durham coalfield</t>
  </si>
  <si>
    <t xml:space="preserve">William Burdon</t>
  </si>
  <si>
    <t xml:space="preserve">5th Dragoon Guards (already used against pitmen)</t>
  </si>
  <si>
    <t xml:space="preserve">Troops deployed; order restored, troops back to quarters</t>
  </si>
  <si>
    <t xml:space="preserve">BORDERLINE: report that troops were used, no request by this writer; the requesting magistrates were those of County Durham (their letters not in this volume - CHECK HO 42/150-151 / HO 40). ROUTE: local request reported afterwards. Writer says he acts as magistrate 'in the Counties' (docket: 'Wm Burdon ... Deputy Lieutenant' - CHECK). Pitmen's strike/riots, late May-early June 1816.</t>
  </si>
  <si>
    <t xml:space="preserve">HO42-0287</t>
  </si>
  <si>
    <t xml:space="preserve">E192</t>
  </si>
  <si>
    <t xml:space="preserve">f.217</t>
  </si>
  <si>
    <t xml:space="preserve">Thos. Emmison, Long Bennington near Newark, 5 Jun 1816, to Sidmouth: "The County of Lincoln heretofore one of the most Loyal in the Empire, has from the last County meeting evinced a contrary spirit ... violence and dissatisfaction seem to prevail, and it may lead to something more serious. The appearance of a Regiment with two Field pieces, might have a good effect, the Depot of Arms at Lincoln would be more secure, and it might operate as a check on the disaffected. If two companies was stationed at Grantham, the like number at Newark, and the remainder of the Battalion and Field pieces at Lincoln in charge of the Depot, this disposition I should humbly conceive would have the most beneficial effect, not only for the County of Lincoln but also that of Nottingham."</t>
  </si>
  <si>
    <t xml:space="preserve">Long Bennington near Newark 5th June 1816</t>
  </si>
  <si>
    <t xml:space="preserve">Long Bennington near Newark; Lincoln, Grantham, Newark</t>
  </si>
  <si>
    <t xml:space="preserve">Lincoln / Grantham / Newark</t>
  </si>
  <si>
    <t xml:space="preserve">Lincolnshire (also Nottinghamshire)</t>
  </si>
  <si>
    <t xml:space="preserve">Thomas Emmison, Lieutenant, half-pay, late 23rd Dragoons</t>
  </si>
  <si>
    <t xml:space="preserve">A regiment (battalion) with two field pieces: 2 companies at Grantham, 2 at Newark, rest at Lincoln guarding arms depot</t>
  </si>
  <si>
    <t xml:space="preserve">'Thank him for his communication' (endorsement)</t>
  </si>
  <si>
    <t xml:space="preserve">1816-06-10</t>
  </si>
  <si>
    <t xml:space="preserve">ROUTE: direct to HS. Agricultural distress and political discontent since county meeting; local militia arms in Lincoln depot. CHECK role: half-pay officer writing as private individual. Endorsement: 'Thank him for his communication', Ansd 10th.</t>
  </si>
  <si>
    <t xml:space="preserve">HO42-0288</t>
  </si>
  <si>
    <t xml:space="preserve">ff.223-224</t>
  </si>
  <si>
    <t xml:space="preserve">H[enry?] Elwes, Stoke College, Clare, Suffolk, 7 Jun 1816, to Sidmouth: Sir J. Byng wrote that a party of the 13th Dragoons would halt at Clare on their route to Bury and that he had ordered the detachment of the 20th Dragoons to return to Colchester, hoping "we should be able to go on without any Military being stationed at Clare". Elwes replied "that Bury was 18 miles, Colchester 25 miles distant ... that if he thought proper to withdraw the Military he must take the responsibility on himself, I could not sanction it, and that I should report the circumstance to your Lordship &amp; the Lord Lieutenant of the County. I further observed to Sir J. Byng, that I knew the general opinion was, that the soldiers ought not to be withdrawn until the people committed, &amp; those on bail had taken their Trials, and that I was fully of opinion that it was the presence of the Military that had preserved order."</t>
  </si>
  <si>
    <t xml:space="preserve">Stoke College Clare Suffolk June 7th 1816</t>
  </si>
  <si>
    <t xml:space="preserve">Clare, Suffolk</t>
  </si>
  <si>
    <t xml:space="preserve">CHECK: signature read as 'J. Hervey Elwes' / 'H. Elwes', Stoke College</t>
  </si>
  <si>
    <t xml:space="preserve">Sidmouth ("My Lord"); also To Under Secretary of State (subscript)</t>
  </si>
  <si>
    <t xml:space="preserve">Keep detachment of 20th Light Dragoons at Clare until trials</t>
  </si>
  <si>
    <t xml:space="preserve">Byng: 'I do not believe there is the least necessity for the continuance of the Military there'; troops at Bury &amp; Colchester to give immediate assistance if required; left to Duke of Grafton</t>
  </si>
  <si>
    <t xml:space="preserve">Maj.-Gen. Sir John Byng</t>
  </si>
  <si>
    <t xml:space="preserve">Request to KEEP troops. 1816 episode (not the Clare Oct 1800 row). ROUTE: magistrate who had applied to Gen. Elwes for military aid, now direct to HS. Response: Maj.-Gen. Sir John Byng to HS, Colchester 7 Jun (ff.259-260) and to Beckett 9 Jun (ff.266-267): sees no necessity for military at Clare; Cornet Fredk. Coventry, 20th Dragoons, reports (f.261-262) party never called out, 'the poor were much distressed for want of employment, and spoke against the Thrashing Machines and the Spinning Jinnys'; decision left to Duke of Grafton (Lord Lieutenant); 13th Dragoons squadron to quarter at Clare one day en route to Bury. CHECK: 'General Elwes' (who applied for military assistance) vs writer - likely same person (magistrate and general).</t>
  </si>
  <si>
    <t xml:space="preserve">HO42-0289</t>
  </si>
  <si>
    <t xml:space="preserve">f.271</t>
  </si>
  <si>
    <t xml:space="preserve">Magistrates of the Isle of Ely (W. Pearce, Dean; Peploe Ward; George King; John Dampier; Wm. Metcalfe; George Waddington), Ely, 8 Jun 1816, to Sidmouth: "We the undersigned Magistrates of the Isle of Ely being of opinion that it would be dangerous to leave this place destitute of a military Force, request that your Lordship will be pleased to give directions, that the usual Practice of removing Troops during an Assize may be departed from at the ensuing Assizes here."</t>
  </si>
  <si>
    <t xml:space="preserve">Ely June 8th 1816</t>
  </si>
  <si>
    <t xml:space="preserve">1816-06-08</t>
  </si>
  <si>
    <t xml:space="preserve">W. Pearce (Dean of Ely), Peploe Ward, George King, John Dampier, Wm. Metcalfe, George Waddington</t>
  </si>
  <si>
    <t xml:space="preserve">Keep troops at Ely during the Special Assize (suspend usual removal)</t>
  </si>
  <si>
    <t xml:space="preserve">Troops moved out of Ely town to Littleport/Soham/Chippenham during Commission; some retained for prisoners (Byng)</t>
  </si>
  <si>
    <t xml:space="preserve">1816-06-09</t>
  </si>
  <si>
    <t xml:space="preserve">Request to KEEP troops. Littleport/Ely riots aftermath - same episode as G5 (Dudley 12 Jun) and Littleport/Ely rows from HO 42/150_2-6 (CHECK episode ID). ROUTE: direct to HS. Endorsement (PDF p.65): 'Bishop of Ely written to upon the subject 11 inst.' (CHECK). Byng to Beckett 9 Jun (f.266): troops to be withdrawn from Ely during sitting of Special Commission - cavalry to Littleport, company of 69th to Soham and Chippenham; distribution list 10 Jun (f.268) shows 1 troop 13th L.D. at Ely, Downham, Brandon, Newmarket, Cambridge, Peterborough; 2 coys 69th Isle of Ely. Byng 13 Jun (f.277): will be at Ely to see to removal of troops and number to be retained for custody of prisoners.</t>
  </si>
  <si>
    <t xml:space="preserve">HO42-0290</t>
  </si>
  <si>
    <t xml:space="preserve">41-43</t>
  </si>
  <si>
    <t xml:space="preserve">Lord Suffield, Gunton [Norfolk], 10 Jun 1816, to Sidmouth, enclosing the Downham report on Mr Dering's conduct: "I understand there is reason to suspect that persons have been employed in that neighbourhood to go from place to place for the purpose of instigating the labouring Class to acts of violence, and the Magistrates have represented to me the apprehensions they entertain of a renewal of disturbances upon the removal of the Military, which I was informed would take place in a few days but which I trust your Lordship will give directions to suspend for the present." Also: nineteen offenders committed; prosecutions cannot proceed "unless the matter is taken up by Government, or assistance is afforded by the County".</t>
  </si>
  <si>
    <t xml:space="preserve">Gunton June 10 1816</t>
  </si>
  <si>
    <t xml:space="preserve">Downham and its vicinity</t>
  </si>
  <si>
    <t xml:space="preserve">Lord Suffield (Edward Harbord, 3rd Baron Suffield)</t>
  </si>
  <si>
    <t xml:space="preserve">Sidmouth ("My Lord"; docketed Viscount Sidmouth)</t>
  </si>
  <si>
    <t xml:space="preserve">Keep the military now at Downham (suspend their removal)</t>
  </si>
  <si>
    <t xml:space="preserve">1816-06-12</t>
  </si>
  <si>
    <t xml:space="preserve">Home Office (endorsement)</t>
  </si>
  <si>
    <t xml:space="preserve">Request to KEEP troops. Same episode as G1 and Downham Market 27 May 1816 row (HO 42/150_1). ROUTE: forwarded by peer on behalf of local magistrates. Endorsement on cover (PDF p.43): 'Gunton 10 June 1816 Lord Suffield ... Report respecting the Conduct of Mr Dering a Magistrate ... in the neighbourhood of Downham', with 'Ans. 12' note that prosecutions of persons committed for the late disturbances will be carried on at the expense of Government (CHECK reading; reply on troops not noted). CHECK: Suffield's role - not Lord Lieutenant of Norfolk.</t>
  </si>
  <si>
    <t xml:space="preserve">HO42-0291</t>
  </si>
  <si>
    <t xml:space="preserve">E193</t>
  </si>
  <si>
    <t xml:space="preserve">HO-42-151_7.pdf</t>
  </si>
  <si>
    <t xml:space="preserve">34-38</t>
  </si>
  <si>
    <t xml:space="preserve">ff.470-474</t>
  </si>
  <si>
    <t xml:space="preserve">Revd John Oldershaw, magistrate, Harleston [Norfolk], [8? Jun 1816], to Sidmouth, on information of Robert Harvey, farmer &amp; miller of Alburgh, that c.100 men assembled at Grazy Green [Suffolk] pressing poor men to join them to destroy premises: "I write by this night's post to Col. Nelthorpe in Norwich to request a detachment of Dragoons if possible to be sent to Harleston ... [the affidavit] bespeaks a degree of regular organization on the borders of Suffolk too dangerous to be trifled with. I expect that some of the principal yeomen will arm themselves and be ready to unite if necessary for their mutual defence but having no corps near us we shall hardly be able to resist a [mob] with effect, and therefore I request your Lordship to sanction my application for military aid". Covering letter, Lord Suffield, Gunton, 10 Jun 1816: "in consequence of which and the information contained in Mr Oldershaw's letter I requested Lt Col. Nelthorpe to send some Military to Harleston, and Col. Nelthorpe informs me that an Officer &amp; Thirty Men of the West Norfolk Militia proceeded to Harleston this morning". Suffield also notes that, the West Norfolk Militia being disembodied on 17 Jun, the military force at Norwich will be 'only Twelve Dragoons', with 33 debtors and 51 felons in the Castle.</t>
  </si>
  <si>
    <t xml:space="preserve">Harleston June 8th [?] 1816; Gunton June 10th 1816</t>
  </si>
  <si>
    <t xml:space="preserve">Harleston; Alburgh; Grazy Green (Suffolk border)</t>
  </si>
  <si>
    <t xml:space="preserve">Harleston</t>
  </si>
  <si>
    <t xml:space="preserve">Revd John Oldershaw (magistrate, near Harleston); Lord Suffield</t>
  </si>
  <si>
    <t xml:space="preserve">Sidmouth ("My Lord"); also Lt Col. Nelthorpe, commanding at Norwich</t>
  </si>
  <si>
    <t xml:space="preserve">Detachment of dragoons to Harleston (sent: officer and 30 men, West Norfolk Militia)</t>
  </si>
  <si>
    <t xml:space="preserve">Officer and 30 men of West Norfolk Militia sent to Harleston (Col. Nelthorpe)</t>
  </si>
  <si>
    <t xml:space="preserve">Lt Col. Nelthorpe</t>
  </si>
  <si>
    <t xml:space="preserve">ROUTE: local request to Norwich commander + forwarded by peer (Suffield) to HS. ISO date = Suffield's covering letter (Oldershaw's date read as 8 Jun, CHECK). Endorsement in margin of f.471 (CHECK reading): 'Acknowledge ... and inform him that the Troops stationed at Norwich ... 2 troops ... were ordered ... 13th [L.D.?]'. Mentions 'restlessness confined to the Suffolk side of the Waveney'. Suffield's remark on Norwich being left with 12 dragoons is an implicit request to keep force (BORDERLINE). Linked to Suffield's earlier note (151_2 coverage) that Harleston neighbourhood was quiet.</t>
  </si>
  <si>
    <t xml:space="preserve">HO42-0292</t>
  </si>
  <si>
    <t xml:space="preserve">E194</t>
  </si>
  <si>
    <t xml:space="preserve">HO-42-151_5.pdf</t>
  </si>
  <si>
    <t xml:space="preserve">H[enry] Enfield [Town Clerk], Nottingham, 11 Jun 1816, to J. Beckett: "the Luddites have again commenced their lawless outrages - Last Sunday Morning about two o'Clock a party of them, consisting of about four or five &amp; twenty, attacked, at the same time, two adjoining Houses at New Radford ... where they destroyed a great Number of very valuable Lace-Frames" ... "Under these lowering appearances, it is a source of great comfort &amp; satisfaction to the Magistrates, to see the Military strength in Nottingham so competent - They beg that Lord Sidmouth will be pleased to continue to them this important Force (which may be said to be constantly operating in Check) until the prospect shall brighten."</t>
  </si>
  <si>
    <t xml:space="preserve">Nottingham 11 June 1816</t>
  </si>
  <si>
    <t xml:space="preserve">1816-06-11</t>
  </si>
  <si>
    <t xml:space="preserve">Nottingham; New Radford</t>
  </si>
  <si>
    <t xml:space="preserve">Henry Enfield (Town Clerk), for the magistrates of Nottingham</t>
  </si>
  <si>
    <t xml:space="preserve">John Beckett, Under-Secretary of State ("Sir")</t>
  </si>
  <si>
    <t xml:space="preserve">Continue the military force now at Nottingham</t>
  </si>
  <si>
    <t xml:space="preserve">Request to KEEP troops. Luddite frame-breaking at New Radford (Sun 9 Jun 1816); framework knitters 'unemployed &amp; dreadfully distressed', petition to Parliament. Follows Enfield's 12 Jun-dated secret agent report noted in 151_2 coverage (CHECK order). ROUTE: direct to HO (Under-Secretary). CHECK role: Enfield was Town Clerk of Nottingham.</t>
  </si>
  <si>
    <t xml:space="preserve">HO42-0293</t>
  </si>
  <si>
    <t xml:space="preserve">46-47</t>
  </si>
  <si>
    <t xml:space="preserve">ff.175-176</t>
  </si>
  <si>
    <t xml:space="preserve">B[enjamin] C[heetham?] Dudley[?], Ely, 12 Jun 1816, to Sidmouth: "The Island is here as I could wish ... perfectly quiet" ... "Should it be deemed advisable to order the execution of a portion of the Convicts at Littleport, which I strongly recommend, it may be necessary to have a small additional Military force to attend it. I was sorry to find the Detachment of the 1st Royal Dragoons removed hence, &amp; replaced by a party of an Irish Regt composed of men not the best calculated for the preservation of Peace."</t>
  </si>
  <si>
    <t xml:space="preserve">Ely [?] June 12 1816</t>
  </si>
  <si>
    <t xml:space="preserve">CHECK: signature read as 'B. C. Dudley' (probably Sir Henry Bate Dudley, clerical magistrate of the Isle of Ely)</t>
  </si>
  <si>
    <t xml:space="preserve">Small additional military force to attend executions at Littleport; regrets removal of 1st Royal Dragoons detachment</t>
  </si>
  <si>
    <t xml:space="preserve">Aftermath of Littleport/Ely riots (May 1816) - same episode as Littleport/Ely rows logged by agent reading HO 42/150_2-6 (CHECK episode ID). ROUTE: direct to HS. CHECK: writer identity and role (Bate Dudley was a JP for the Isle of Ely). BORDERLINE (contingent, linked to executions). Docketed with Chard reward bill on back; endorsement 'Ely 12[?] June 1816'.</t>
  </si>
  <si>
    <t xml:space="preserve">HO42-0294</t>
  </si>
  <si>
    <t xml:space="preserve">ff.310-311</t>
  </si>
  <si>
    <t xml:space="preserve">Tho[mas] Hare, Stow Hall near Downham, Norfolk, 13 Jun 1816, to [Lord Suffield? - addressed 'My Lord', subscribed 'The Rt Honble The Lord Lieutenant &amp;c']: "A Meeting of the Principal Gentlemen of Downham and the Neighbourhood was held on Monday last when they agreed to form a Troop of Yeomanry Cavalry not less than 50 to be established upon the same Terms as Other Troops in the County, &amp; have authorised me to Communicate their Intention to Your Lordship, and should it meet Your Lordship's approbation, request You will trouble Yourself to make their Offer known to His Majesty's principal Secretary of State for the Home Department."</t>
  </si>
  <si>
    <t xml:space="preserve">Stow Hall near Downham Norfolk June 13th 1816</t>
  </si>
  <si>
    <t xml:space="preserve">1816-06-13</t>
  </si>
  <si>
    <t xml:space="preserve">Downham, Norfolk</t>
  </si>
  <si>
    <t xml:space="preserve">Thomas Hare</t>
  </si>
  <si>
    <t xml:space="preserve">Lord Lieutenant of Norfolk ("My Lord"; CHECK: Lord Suffield acting? docket 'Lord Suffield'); forwarded to Sidmouth</t>
  </si>
  <si>
    <t xml:space="preserve">New troop of yeomanry cavalry, not less than 50</t>
  </si>
  <si>
    <t xml:space="preserve">Same episode as G1 / Downham Market May 1816 riots (HO 42/150_1). ROUTE: forwarded by peer (docket: 'Charles St 18 June 1816, Ld Suffield, encl[osing] ... Downham' - covering letter not found in this PDF; CHECK). Response to riots: locally raised corps.</t>
  </si>
  <si>
    <t xml:space="preserve">HO42-0295</t>
  </si>
  <si>
    <t xml:space="preserve">E195</t>
  </si>
  <si>
    <t xml:space="preserve">f.335</t>
  </si>
  <si>
    <t xml:space="preserve">W. York, Mayor, Leeds, 20 Jun 1816, to Sidmouth: "I had the honour to Address Your Lordship some time since from a Meeting of the Magistrates of this Borough, requesting some Military aid in Support of the Civil power, which Your Lordship was so good as to send us ... But that force was soon withdrawn, and some Acts of Violence having been lately attempted, and the delinquents taken into Custody, but afterwards rescued, for want of sufficient power to retain them, there is reason to fear that the spirit which prevails may produce some sudden ebulition &amp; serious mischief without the presence of some Military to Support the Civil Authorities. I am requested by a Meeting of the Magistrates here this day, to entreat Your Lordship, to send us a Small force of Military Cavalry, to be Station'd at Leeds as soon as may be, to prevent any disorder or danger to the peaceable inhabitants, by exhibiting adequate Support to the Civil power in case of need."</t>
  </si>
  <si>
    <t xml:space="preserve">Leeds 20 June 1816</t>
  </si>
  <si>
    <t xml:space="preserve">1816-06-20</t>
  </si>
  <si>
    <t xml:space="preserve">W[illiam] York, Mayor, for a meeting of the borough magistrates</t>
  </si>
  <si>
    <t xml:space="preserve">Small force of cavalry to be stationed at Leeds</t>
  </si>
  <si>
    <t xml:space="preserve">Sent to Sir Henry Torrens (Adjutant General) (endorsement)</t>
  </si>
  <si>
    <t xml:space="preserve">ROUTE: direct to HS. Refers to an EARLIER request from the Leeds magistrates (date unknown, 1816 - CHECK HO 42/150 or earlier) which was granted and then withdrawn. Prisoners rescued 'for want of sufficient power'. Endorsement (PDF p.63, CHECK reading): 'Request that a troop of cavalry may be sent to Leeds'; 'Ack[nowledged] &amp; sent to Sir Henry Torrens' [Adjutant General]. Cause of unrest not stated (CHECK: distress/cloth trade).</t>
  </si>
  <si>
    <t xml:space="preserve">HO42-0296</t>
  </si>
  <si>
    <t xml:space="preserve">E196</t>
  </si>
  <si>
    <t xml:space="preserve">53-54</t>
  </si>
  <si>
    <t xml:space="preserve">ff.488-489</t>
  </si>
  <si>
    <t xml:space="preserve">Thos. Bishton, Neachley [Neach Hill] near Shifnal, Shropshire, 20 Jun 1816, to Sidmouth: "Fearful of the consequences naturally to be expected upon so many Colliers and Miners being out of employ, and which evil is likely to be increased ... owing to the unprecedented depressed state of the Iron Trade" ... "I doubt not there are at this time within a circle of Thirty Miles Six Thousand people out of employ" ... "Were I permitted to suggest a plan it would be to have a military force of about 30 Horse Soldiers stationed at Shifnal as being the nearest place to the Mines of Shropshire where the great body of Miners reside ... it might be urged that there is a Troop at Wolverhampton within 12 miles of Shifnal but I do not think they are near enough".</t>
  </si>
  <si>
    <t xml:space="preserve">Neach Hill June 20. 1816 near Shifnal Shropshire</t>
  </si>
  <si>
    <t xml:space="preserve">Neach Hill near Shifnal</t>
  </si>
  <si>
    <t xml:space="preserve">Shifnal</t>
  </si>
  <si>
    <t xml:space="preserve">Thomas Bishton</t>
  </si>
  <si>
    <t xml:space="preserve">About 30 horse soldiers stationed at Shifnal</t>
  </si>
  <si>
    <t xml:space="preserve">Copy sent to Sir H. Torrens (Adjutant General) (docket, CHECK)</t>
  </si>
  <si>
    <t xml:space="preserve">ROUTE: direct to HS (also informed Viscount Granville). 54 blast furnaces out of work in Staffs &amp; Salop. Docket (PDF p.53): 'Recd ... 22d', 'Copy to Sir H. Torrens' (CHECK). CHECK role: Bishton was an ironmaster/land agent, not stated. Related to Shrewsbury arms-depot row (G10).</t>
  </si>
  <si>
    <t xml:space="preserve">HO42-0297</t>
  </si>
  <si>
    <t xml:space="preserve">E197</t>
  </si>
  <si>
    <t xml:space="preserve">HO-42-151_6.pdf</t>
  </si>
  <si>
    <t xml:space="preserve">ff.375-376</t>
  </si>
  <si>
    <t xml:space="preserve">A[braham?] Ludlow, Danl. Clutterbuck, Edward M. Mortimer[?], Tho. Tugwell, Trowbridge [Wilts], 24 Jun 1816, to Sidmouth: "We have the honor to address your Lordship in consequence of hearing that an order has been received for the pulling down of the Barracks here, which are centrically situated between this place, Bradford and Westbury all large manufacturing Towns, to request your Lordship's interference that the order may be for a time suspended if it cannot be totally rescinded; as from the present very disturbed state of the populace in this Town and neighbourhood, we feel there is no security for the public without the aid of the Military; the civil Power having been found inadequate to the effectual quelling of a serious Riot here on Thursday night, when the Windows of three houses were completely demolished, and much other injury done, and more threatened - At Bradford only a fortnight before, there was also a very tumultuous meeting of the working people, and some machinery destroyed" ... "these are the only permanent Horse Barracks in the County, and Cavalry the most useful force here ... We shall therefore feel greatly obliged if your Lordship will have the goodness to procure a Troop of Horse to be sent immediately and stationed in these Barracks."</t>
  </si>
  <si>
    <t xml:space="preserve">Trowbridge 24 June 1816</t>
  </si>
  <si>
    <t xml:space="preserve">1816-06-24</t>
  </si>
  <si>
    <t xml:space="preserve">Trowbridge; Bradford; Westbury</t>
  </si>
  <si>
    <t xml:space="preserve">Trowbridge</t>
  </si>
  <si>
    <t xml:space="preserve">Wiltshire</t>
  </si>
  <si>
    <t xml:space="preserve">A. Ludlow, Daniel Clutterbuck, Edward M. Mortimer [?], Thomas Tugwell (docket: 'Report on Riot')</t>
  </si>
  <si>
    <t xml:space="preserve">A troop of horse to be stationed in Trowbridge barracks; and suspension of order to demolish the barracks</t>
  </si>
  <si>
    <t xml:space="preserve">ROUTE: direct to HS. Riot at Trowbridge Thursday night [20 Jun 1816]; Bradford-on-Avon machine-breaking c.10 Jun 1816, six ringleaders committed. Also a BARRACKS item (opposes demolition of the only permanent horse barracks in Wiltshire) - see separate Barracks row. CHECK roles: signatories presumed magistrates/clothiers (not stated). Docket: 'Trowbridge 24 June 1816, Messrs Ludlow &amp;c. Report on Riot'. Disturbance type CHECK: wool-cloth workers vs machinery/wages.</t>
  </si>
  <si>
    <t xml:space="preserve">HO42-0298</t>
  </si>
  <si>
    <t xml:space="preserve">Same letter (Trowbridge, 24 Jun 1816): "an order has been received for the pulling down of the Barracks here, which are centrically situated between this place, Bradford and Westbury all large manufacturing Towns ... request your Lordship's interference that the order may be for a time suspended if it cannot be totally rescinded" ... "these are the only permanent Horse Barracks in the County".</t>
  </si>
  <si>
    <t xml:space="preserve">A. Ludlow, Daniel Clutterbuck, Edward M. Mortimer [?], Thomas Tugwell</t>
  </si>
  <si>
    <t xml:space="preserve">Keep (not demolish) Trowbridge horse barracks</t>
  </si>
  <si>
    <t xml:space="preserve">Barracks argument (keep barracks, central to manufacturing towns). Same letter as Request row above. ROUTE: direct to HS. CHECK roles.</t>
  </si>
  <si>
    <t xml:space="preserve">HO42-0299</t>
  </si>
  <si>
    <t xml:space="preserve">E198</t>
  </si>
  <si>
    <t xml:space="preserve">79-80</t>
  </si>
  <si>
    <t xml:space="preserve">ff.428-429</t>
  </si>
  <si>
    <t xml:space="preserve">J. Mansfield [CHECK], Leicester, 29 Jun [1816], to 'My dear Sir' (forwarded to Sidmouth): "About 1 o'clo this morning a party of Frame Breakers broke into Heathcoat's Lace Manufactory at Loughboro' after shooting &amp; dangerously wounding the Watchman who guarded it ... destroyed Lace &amp; demolished Frames to the extent of many thousand pounds" ... "300 men are immediately thrown out of work by it" ... "Now under these circumstances I cannot help thinking a small party of D[ragoon]s might prevent mischief which a large force afterwards would have difficulty in stopping - If you are of the same opinion you will see the Secy of State or some of the members &amp; use your own discretion. - I should not like them to come by forced marches - because I do not suggest the idea from alarm, but merely as precaution."</t>
  </si>
  <si>
    <t xml:space="preserve">Leic[este]r June 29 [1816]</t>
  </si>
  <si>
    <t xml:space="preserve">1816-06-29</t>
  </si>
  <si>
    <t xml:space="preserve">Leicester; Loughborough</t>
  </si>
  <si>
    <t xml:space="preserve">CHECK: signature read as 'J. Mansfield' (Leicester banker?)</t>
  </si>
  <si>
    <t xml:space="preserve">'My dear Sir' (unnamed intermediary, probably an MP) - CHECK: forwarded; docket 'Viscount Sidmouth ... Leicester'</t>
  </si>
  <si>
    <t xml:space="preserve">A small party of dragoons (to Leicester)</t>
  </si>
  <si>
    <t xml:space="preserve">Loughborough Luddite attack on Heathcoat &amp; Boden's lace factory, night 28/29 Jun 1816. ROUTE: forwarded (writer to intermediary who is asked to see the Secretary of State). Rumour that 'the men condemned at Ely are not to be hanged ... Govt dare not do it'. Related letters ff.426-427 (C. Loraine Smith, county magistrate, Leicester 29 Jun, enclosing note from Mayor of Leicester to Mr Burbage, Clerk of the Peace, on 'appearances of mischief' - middle page possibly missing, no explicit request seen) and ff.430-431 (A. Babington to 'My dear Father', Leicester 29 Jun: 'I am in no apprehension of any mob keeping a head at Leicester ... we have strength to put them down'; suggests renewing the Frame Breaking Act). CHECK role and addressee.</t>
  </si>
  <si>
    <t xml:space="preserve">HO42-0300</t>
  </si>
  <si>
    <t xml:space="preserve">28</t>
  </si>
  <si>
    <t xml:space="preserve">f.464</t>
  </si>
  <si>
    <t xml:space="preserve">P. Storey and C. G. Mundy, Loughborough, 30 Jun 1816, to Sidmouth: "From the most extraordinary Riot committed at this Place on Friday Night the Magistrates thought it absolutely necessary to send to Nottingham for a Troop of Horse which are arrived. Between Fifty and Sixty Machines have been destroyed of a very rich [?] value perhaps not less value than £10,000. We hope your Lordship will permit the Troops to remain at this as otherwise the Property of the Manufacturers will not be [safe]."</t>
  </si>
  <si>
    <t xml:space="preserve">Loughborough June the 30. 1816</t>
  </si>
  <si>
    <t xml:space="preserve">1816-06-30</t>
  </si>
  <si>
    <t xml:space="preserve">P. Storey; C. G. Mundy</t>
  </si>
  <si>
    <t xml:space="preserve">Troop of horse from Nottingham (already arrived); asks that it remain</t>
  </si>
  <si>
    <t xml:space="preserve">Same episode as G15 (Leicester 29 Jun). Loughborough Luddite attack on Heathcoat &amp; Boden lace factory, Fri night 28 Jun 1816. Two requests: local request to Nottingham garrison (reported afterwards) + request to KEEP troops (direct to HS). Docket (PDF p.28): 'Mr Baillie [?] ... Ansd' (CHECK). Related: Loughborough 29 Jun letter from [Heathcoat's agent?] (f.457, PDF p.21) giving details, magistrates to send depositions.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</si>
  <si>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</si>
  <si>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</si>
  <si>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</si>
  <si>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</si>
  <si>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</si>
  <si>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</si>
  <si>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</si>
  <si>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</si>
  <si>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</si>
  <si>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</si>
  <si>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</si>
  <si>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</si>
  <si>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</si>
  <si>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</si>
  <si>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</si>
  <si>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</si>
  <si>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</si>
  <si>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</si>
  <si>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</si>
  <si>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</si>
  <si>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</si>
  <si>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</si>
  <si>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</si>
  <si>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</si>
  <si>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</si>
  <si>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</si>
  <si>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</si>
  <si>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</si>
  <si>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</si>
  <si>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</si>
  <si>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</si>
  <si>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</si>
  <si>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</si>
  <si>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</si>
  <si>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</si>
  <si>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</si>
  <si>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</si>
  <si>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</si>
  <si>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</si>
  <si>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</si>
  <si>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</si>
  <si>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</si>
  <si>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</si>
  <si>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</si>
  <si>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</si>
  <si>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</si>
  <si>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</si>
  <si>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</si>
  <si>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</si>
  <si>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</si>
  <si>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</si>
  <si>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</si>
  <si>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</si>
  <si>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</si>
  <si>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</si>
  <si>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</si>
  <si>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</si>
  <si>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</si>
  <si>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</si>
  <si>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</si>
  <si>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</si>
  <si>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</si>
  <si>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</si>
  <si>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</si>
  <si>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</si>
  <si>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</si>
  <si>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</si>
  <si>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</si>
  <si>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</si>
  <si>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</si>
  <si>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</si>
  <si>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</si>
  <si>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</si>
  <si>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</si>
  <si>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</si>
  <si>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</si>
  <si>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</si>
  <si>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</si>
  <si>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</si>
  <si>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</si>
  <si>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</si>
  <si>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</si>
  <si>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</si>
  <si>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</si>
  <si>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</si>
  <si>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</si>
  <si>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</si>
  <si>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</si>
  <si>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</si>
  <si>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</si>
  <si>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</si>
  <si>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</si>
  <si>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</si>
  <si>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</si>
  <si>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</si>
  <si>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</si>
  <si>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</si>
  <si>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</si>
  <si>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</si>
  <si>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</si>
  <si>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</si>
  <si>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</si>
  <si>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</si>
  <si>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</si>
  <si>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</si>
  <si>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</si>
  <si>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</si>
  <si>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</si>
  <si>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</si>
  <si>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</si>
  <si>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</si>
  <si>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</si>
  <si>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</si>
  <si>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</si>
  <si>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</si>
  <si>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</si>
  <si>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</si>
  <si>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</si>
  <si>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</si>
  <si>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</si>
  <si>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</si>
  <si>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</si>
  <si>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</si>
  <si>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</si>
  <si>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</si>
  <si>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</si>
  <si>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</si>
  <si>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</si>
  <si>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</si>
  <si>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</si>
  <si>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</si>
  <si>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</si>
  <si>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</si>
  <si>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</si>
  <si>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</si>
  <si>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</si>
  <si>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</si>
  <si>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</si>
  <si>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</si>
  <si>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</si>
  <si>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</si>
  <si>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</si>
  <si>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</si>
  <si>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</si>
  <si>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</si>
  <si>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</si>
  <si>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</si>
  <si>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</si>
  <si>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</si>
  <si>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</si>
  <si>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</si>
  <si>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</si>
  <si>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</si>
  <si>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</si>
  <si>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</si>
  <si>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</si>
  <si>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</si>
  <si>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</si>
  <si>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</si>
  <si>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</si>
  <si>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</si>
  <si>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</si>
  <si>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</si>
  <si>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</si>
  <si>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</si>
  <si>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</si>
  <si>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</si>
  <si>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</si>
  <si>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</si>
  <si>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</si>
  <si>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</si>
  <si>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</si>
  <si>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</si>
  <si>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</si>
  <si>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</si>
  <si>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</si>
  <si>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</si>
  <si>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</si>
  <si>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</si>
  <si>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</si>
  <si>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</si>
  <si>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</si>
  <si>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</si>
  <si>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</si>
  <si>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</si>
  <si>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</si>
  <si>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</si>
  <si>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</si>
  <si>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</si>
  <si>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</si>
  <si>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</si>
  <si>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</si>
  <si>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</si>
  <si>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</si>
  <si>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</si>
  <si>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</si>
  <si>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</si>
  <si>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</si>
  <si>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</si>
  <si>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</si>
  <si>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</si>
  <si>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</si>
  <si>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</si>
  <si>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</si>
  <si>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</si>
  <si>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</si>
  <si>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</si>
  <si>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</si>
  <si>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</si>
  <si>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</si>
  <si>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</si>
  <si>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</si>
  <si>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</si>
  <si>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</si>
  <si>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</si>
  <si>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</si>
  <si>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</si>
  <si>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</si>
  <si>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</si>
  <si>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</si>
  <si>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 | HO 42/53_01 (1-3 Nov 1800) read: 1 event (Potteries, informal request). Also: Dunstable stack fire; Oxford anonymous letter; Hinckford/Bocking/Halstead fires (Gosfield letter: 'no patrole of the lightest or best troops could be efficient'); Bolton anonymous letter 'we the Volunteers of Bolton declare if any disturbances arise we will not prevent them ... we will fire upon our Commanders' (f.54) - volunteers' unreliability, flag for JV; Woolwich riot affidavits (Capt Remnant, 20 Sep); Tunbridge Wells riot prosecutions; Sheffield seditious words; diocesan crop replies. | HO 42/52_05 (late Oct 1800) read: no events (colliers' deputation to a mayor re bread prices, dispersed peacefully (f.245); Wycombe market notice 'Sufficient Force is always Ready'; Whitechapel/Justice Office notices; volunteer captain forwards placard; Bucks supplementary militia order). | HO 42/52_06 (Oct 1800) read: no events (court-martial proceedings; diocesan crop questionnaires; Holywell (Wales) note). | HO 42/52_07 (Oct-Nov 1800) read: no events (crop questionnaires; Ely threatening letter 2 Nov 1800 'Fire Fire Fire'; Hundred of Ely/Witchford magistrates' notice 16 Sep 1800 urging moderate prices; flour placard; Agriculture Society notice). | HO 42/53_02 (3-5 Nov 1800) read: no events (mostly diocesan crop questionnaires; Tunbridge Wells riot prosecution costs; Thame mechanic's letter on prices; Claughton (Lancs) and Boston replies). | HO 42/53_03 (5-7 Nov 1800) read: no new events. Portland's reply to G. Leveson Gower (copy, ff.140-142) added to HO42-0111: troops ordered to Stone and Newcastle-under-Lyme. Rest: crop questionnaires; Wetheringsett (Suffolk) fire reward; Lichfield distress letter; Bristol printed letter to Pitt. | HO 42/53_06 (15-20 Nov 1800) read: 1 event (Calverton/Hoveringham, Sep 1800, local request reported). Also: Bayley (Manchester) 16 Nov: wishes for guarded depots for Volunteer arms 'without giving the men cause to suppose we had not confidence in them' (f.320) - flag for JV; Bolton/Manchester intelligence on insurrection plans, Magee, Shackleton; Blackburn meeting memo; Wimbledon Volunteer Association command; Yarmouth Volunteers officers; Conwy (Wales, out); crop returns. | HO 42/53_04 (7-10 Nov 1800) read: no new events. Massey (Newcastle-under-Lyme) letter on corrupted volunteers added as note to HO42-0111. Rest: crop questionnaires; Peterborough sheep-stealing reward; militia commissions (Warwick, W. Norfolk); Salisbury returns; American grain intelligence. | HO 42/53_05 (10-15 Nov 1800) read: no new events. Midlands reinforcement circulars and Stafford Military Association dissolution added to HO42-0111 notes. Also: Stockport, Holland Watson 15 Nov (f.297): plan to disarm Volunteers by breaking into houses and stores; Dunstable fire reward; Wickham Bishops Essex Volunteer Cavalry threatening letter; Renfrewshire (Scotland, out); crop returns; militia commissions. | HO 42/53_07 (20-25 Nov 1800) read: 1 event (Leicester election, Other). Also: Legge, Aston Hall 23 Nov (ff.404-405): Birmingham magistrates 'rather hurt at so great an addition of military being sent at a time when all was quiet &amp; no representations of theirs had pointed out the Necessity' - Cheshire Militia by forced marches, extra cavalry, Gen. Staveley: unrequested reinforcement (added to HO42-0111 notes); Farrington Gurney (Somerset) women seize wheat, 21 Oct (f.402); Ludyard/Cotherstone tithe threat placard; Bishops Lydeard threatening letter and arson; Ipswich inflammatory bill; Ruthin and Caernarfon (Wales, out: Caernarfon Armed Association prevented tumult); Cornwall crop returns. | HO 42/55_03 (20-26 Dec 1800) read: 2 events (Exmouth/East Devon, volunteers mutinous). Also: Ansley Hall (Warwicks) 23 Dec: Nuneaton distress, no riot; Pembrokeshire colliers' rising (Picton Castle, Wales, out); Lansdowne (Bowood) pardon request; Colyton (Devon) inflammatory papers reward; Duloe (Cornwall) threatening paper; Wolverhampton printed resolutions; anonymous letter to Lord Mayor of London. | HO 42/53_08 (25-30 Nov 1800) read: no events. Portland to Earl Gower 29 Nov (f.468): pike-heads reportedly sent from Birmingham to the Potteries and Manchester. Also: Haverfordwest seditious bills (Wales, out); Norton (Warwicks?) threatening letter; Ipswich reward; Peterborough anonymous letters to millers; Selwood Troop Volunteer Cavalry cornet; memorial of loyalist settlers (Canada); Manchester fish-supply plan; Hanbury farmer's letter on scarcity. | HO 42/55_01 (Dec 1800; this volume uses new folio stamps from f.1) read: no events. Sheffield nocturnal meetings: Rev. John Lowe JP 5 Dec (ff.23-24) - 'secret committees ... preparing weapons', 'if something effectual is not soon done to relieve the distresses ... no exertion of the Magistrates, or disposition of the military force ... will prevent the most serious disturbances'; Fitzwilliam 5 &amp; 8 Dec (ff.25-26, 34): five companies Northumberland Militia and two troops of Blues in Sheffield, magistrates think 'this force sufficient', pike patterns produced; Nottingham deposition on disaffection, 'general disturbance &amp; rising in February' expected, Oxford Blues fraternising (f.41); Bishton (Staffs) on Stafford fixed-price wheat; Plymouth Mayor Langmead: volunteer corps of 100 clothed and paid by himself (f.65); Pembroke/Wilton (Salisbury) sheep-stealing gang; Bridgwater treasonable paper reward; proclamation distribution. | HO 42/55_02 (13-19 Dec 1800) read: no events. Bolton intelligence 15 Dec (f.89): insurrection plan, where there are Volunteer corps 'they should be surprised where they lived &amp; at the Drum calls'; Rochester stack fire (f.96); Harringworth/Bulwick (Northants) incendiary letters (f.125); Southampton printed address; Wolverhampton theatre sedition; Llandaff and Carmarthen (Wales, out); Kidderminster reward bill; Sheffield (Lowe) handbill reward. | HO 42/55_04 (26-31 Dec 1800) read: no events. Graham's reports from Birmingham/Wolverhampton (ff.223-243): 'perfectly quiet', magistrates expect no immediate danger; Norfolk Militia marching out of Birmingham for Nottingham 26 Dec (f.229v); Bishton (Staffs) seditious-words warrant; Camberwell Volunteers commissions; Peterborough (Norman Cross barracks sedition case); Fort George Irish state prisoner memorial (Scotland/Ireland, out); then c.40 pp. of parish crop returns. | HO 42/55_05 (Dec 1800): crop-return questionnaires and Durham/Northumberland harvest tables only (contact sheets checked); no events. | HO 42/55_06 (undated papers 1790-1800, end of volume) read: no events logged. Undated note to 'Mr Ford' (ff.348-349; signed Wood, Fyrick(?), Burkinyoung(?)): riot expected after the Corn Market, adjutant of artillery slightly wounded, 'information to the Lord Mayor &amp; Volunteer Associations who have promised their assistance' - place and date unknown (CHECK; possibly London), not logged; 'Plan for throwing the Soldiers Down' (rope tactic, f.350); Northumberland crop tables; Hereford corn-price letter; Manchester cotton-twist pamphlet; Irish memorial; naval intelligence; Lion hulk convicts' letter. | HO 42/56_01 (Jan-Feb 1801; 'Domestic' volume: Treasury, Secretaries of State, Admiralty etc.) read: no events. Mostly Treasury minutes on bills, Order in Council on Russian/Danish/Swedish ships; Penzance JPs on statute delivery; friendly-society alarm (f.25); Strand stockholder pamphlet; Liverpool Mayor alien return; Welsh(?) magistrate on corn dealers (f.60, CHECK place). | HO 42/56_02 (Feb-Mar 1801, Domestic) read: no events (Treasury minutes; Post Office packets; Sierra Leone Company on Nova Scotian insurrection (f.80, out); East India Company; Admiralty/Spanish trade papers; Order in Council). | HO 42/56_03 (Apr 1801, Domestic) read: no events (Treasury minutes; North Redmoor Mine (Callington, Cornwall) cheap-flour placard 3 Apr 1801 (f.140); London corn-import abstracts; Cheshire Quarter Sessions returns under the 1801 poor-relief/bread-corn Act (ff.167-176); Bermuda customs). | HO 42/42_1 (Jan-Mar 1798; ff.1-59, misc. 'Dom.' and Sec. of State; transport office bills; militia/army strength returns) read: 2 events (Plymouth POW guard troops 18 Jan; Gosport volunteer riflemen vetting 13 Mar). Also: 'Plan in case of actual invasion to impede the progress of the enemy to the Capital' (pp.61-65, ff.1-5 of a separate numbering); Berkshire list of subdivision clerks for supplementary militia (Budd, Newbury, 11 Feb); Simcoe resigning St Domingo; Barrett forgery escape (Mansion House); Dartford excise officer Bainfather enquiry; Trinity House beacon/signal plan; Sheerness naval desertion letter (p.0). Many duplicate photographs (e.g. 6/7, 11/12, 23/24, 33/34, 37/38, 52/53). | HO 42/42_2 (Jan-Mar 1798; ff.60-119) read: 0 events. Also: loyal addresses (Leeds corporation &amp; inhabitants 18 Jan; Manchester meeting at Bull's Head 23 Jan, Boroughreeve &amp; constables, ff.89-90); Henry Dundas memorandum, Wimbledon 17 Feb 1798, on proposed distribution of the armed force for defence against invasion (ff.69-80, long; not a civil request); Sea Fencibles plan and district list (ff.81-87); Cambridge Queens' College petition; Bishop of Winchester; Count Meuron payment; many supplementary-militia subdivision/clerk lists (Cardigan, Radnor, Berks, Stafford, Cumberland, Bedford etc.) and acknowledgements (Earl of Northampton, Pembrokeshire = Wales); Anderson (Mansion House) on Heywood's bank, Manchester. Duplicates: 33/34/35, 36/37, 41/42, 55/56, 72/73. HO 42/42_2 (1).pdf in zip is the same size as _2 (assumed duplicate, not opened). | HO 42/42_3 (Feb 1798; ff.120-185) read: 0 events. Also: mostly supplementary-militia subdivision clerk lists (Chester, Bucks, Cambs, Derby, Dorset, Oxford, Northants, Worcester, Northumberland etc.); provisional cavalry lists and accounts (Worcester; Earl of Radnor, Berks); Bateman's list of Herefordshire DLs; voluntary subscription of Inspector-General's office (f.139); printed tracts on Madagascar/New South Wales (George Young); Commons order for papers; Gen. Charles Grey (Southern District) 16 Feb 1798 plan for removing live stock and forming a 'Corps of Guides' in Kent/Sussex in case of invasion, with printed return forms (ff.159-185) - invasion planning, not internal order, not logged. Pembroke (Wales) items noted only. | HO 42/42_4 (Jan-Feb 1798; ff.186-263) read: 2 events (Plymouth POW guard follow-up 2-4 Feb, same episode as 42_1; Great Bardfield, Essex, call for 'strong Force in the Interior' vs Dissenters). Also: end of Gen. Grey's live-stock removal plan (ff.186-200); 'Plan for driving the live stock' and voluntary subscription forms (ff.201-205); Henry Dundas (Wimbledon 9 Feb) to Earl Spencer on gunboat squadrons; Isle of Wight/Channel defence memorandum; Upper Canada (Simcoe) papers; Lor</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</si>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</sst>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178</v>
      </c>
    </row>
    <row r="6" customFormat="false" ht="15" hidden="false" customHeight="true" outlineLevel="0" collapsed="false">
      <c r="A6" s="4" t="s">
        <v>5</v>
      </c>
      <c r="B6" s="4" t="n">
        <f aca="false">COUNTIF(Events!$C$2:$C$1000,A6)</f>
        <v>14</v>
      </c>
    </row>
    <row r="7" customFormat="false" ht="15" hidden="false" customHeight="true" outlineLevel="0" collapsed="false">
      <c r="A7" s="4" t="s">
        <v>6</v>
      </c>
      <c r="B7" s="4" t="n">
        <f aca="false">COUNTIF(Events!$C$2:$C$1000,A7)</f>
        <v>23</v>
      </c>
    </row>
    <row r="8" customFormat="false" ht="15" hidden="false" customHeight="true" outlineLevel="0" collapsed="false">
      <c r="A8" s="4" t="s">
        <v>7</v>
      </c>
      <c r="B8" s="4" t="n">
        <f aca="false">COUNTIF(Events!$C$2:$C$1000,A8)</f>
        <v>11</v>
      </c>
    </row>
    <row r="9" customFormat="false" ht="15" hidden="false" customHeight="true" outlineLevel="0" collapsed="false">
      <c r="A9" s="4" t="s">
        <v>8</v>
      </c>
      <c r="B9" s="4" t="n">
        <f aca="false">COUNTIF(Events!$C$2:$C$1000,A9)</f>
        <v>5</v>
      </c>
    </row>
    <row r="10" customFormat="false" ht="15" hidden="false" customHeight="true" outlineLevel="0" collapsed="false">
      <c r="A10" s="4" t="s">
        <v>9</v>
      </c>
      <c r="B10" s="4" t="n">
        <f aca="false">COUNTIF(Events!$C$2:$C$1000,A10)</f>
        <v>69</v>
      </c>
    </row>
    <row r="11" customFormat="false" ht="15" hidden="false" customHeight="true" outlineLevel="0" collapsed="false">
      <c r="A11" s="3" t="s">
        <v>10</v>
      </c>
      <c r="B11" s="3" t="n">
        <f aca="false">SUM(B5:B10)</f>
        <v>300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72</v>
      </c>
    </row>
    <row r="16" customFormat="false" ht="15" hidden="false" customHeight="true" outlineLevel="0" collapsed="false">
      <c r="A16" s="4" t="s">
        <v>14</v>
      </c>
      <c r="B16" s="4" t="n">
        <f aca="false">COUNTIFS(Events!$C$2:$C$1000,"Request for troops",Events!$Y$2:$Y$1000,A16)</f>
        <v>69</v>
      </c>
    </row>
    <row r="17" customFormat="false" ht="15" hidden="false" customHeight="true" outlineLevel="0" collapsed="false">
      <c r="A17" s="4" t="s">
        <v>15</v>
      </c>
      <c r="B17" s="4" t="n">
        <f aca="false">COUNTIFS(Events!$C$2:$C$1000,"Request for troops",Events!$Y$2:$Y$1000,A17)</f>
        <v>14</v>
      </c>
    </row>
    <row r="18" customFormat="false" ht="15" hidden="false" customHeight="true" outlineLevel="0" collapsed="false">
      <c r="A18" s="4" t="s">
        <v>16</v>
      </c>
      <c r="B18" s="4" t="n">
        <f aca="false">COUNTIFS(Events!$C$2:$C$1000,"Request for troops",Events!$Y$2:$Y$1000,A18)</f>
        <v>23</v>
      </c>
    </row>
    <row r="19" customFormat="false" ht="15" hidden="false" customHeight="true" outlineLevel="0" collapsed="false">
      <c r="A19" s="3" t="s">
        <v>10</v>
      </c>
      <c r="B19" s="3" t="n">
        <f aca="false">SUM(B15:B18)</f>
        <v>178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27</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46</v>
      </c>
    </row>
    <row r="35" customFormat="false" ht="15" hidden="false" customHeight="true" outlineLevel="0" collapsed="false">
      <c r="A35" s="4" t="n">
        <v>1801</v>
      </c>
      <c r="B35" s="4" t="n">
        <f aca="false">COUNTIF(Events!$P$2:$P$1000,A35)</f>
        <v>59</v>
      </c>
    </row>
    <row r="36" customFormat="false" ht="15" hidden="false" customHeight="true" outlineLevel="0" collapsed="false">
      <c r="A36" s="3" t="s">
        <v>10</v>
      </c>
      <c r="B36" s="3" t="n">
        <f aca="false">SUM(B23:B35)</f>
        <v>211</v>
      </c>
    </row>
    <row r="38" customFormat="false" ht="15" hidden="false" customHeight="true" outlineLevel="0" collapsed="false">
      <c r="A38" s="3" t="s">
        <v>19</v>
      </c>
      <c r="B38" s="4" t="n">
        <f aca="false">SUMPRODUCT((Events!$B$2:$B$1000&lt;&gt;"")/COUNTIF(Events!$B$2:$B$1000,Events!$B$2:$B$1000&amp;""))</f>
        <v>198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A112" s="6" t="s">
        <v>1418</v>
      </c>
      <c r="B112" s="6" t="s">
        <v>1419</v>
      </c>
      <c r="C112" s="7" t="s">
        <v>4</v>
      </c>
      <c r="D112" s="6" t="s">
        <v>88</v>
      </c>
      <c r="E112" s="6" t="s">
        <v>1420</v>
      </c>
      <c r="F112" s="6" t="s">
        <v>1421</v>
      </c>
      <c r="G112" s="6" t="s">
        <v>1422</v>
      </c>
      <c r="H112" s="6" t="s">
        <v>1423</v>
      </c>
      <c r="I112" s="6" t="s">
        <v>274</v>
      </c>
      <c r="J112" s="6"/>
      <c r="K112" s="6" t="s">
        <v>60</v>
      </c>
      <c r="L112" s="6" t="s">
        <v>61</v>
      </c>
      <c r="M112" s="6" t="s">
        <v>1424</v>
      </c>
      <c r="N112" s="6" t="s">
        <v>1425</v>
      </c>
      <c r="O112" s="8" t="s">
        <v>1426</v>
      </c>
      <c r="P112" s="6" t="n">
        <f aca="false">IF(O112="","",VALUE(LEFT(O112,4)))</f>
        <v>1800</v>
      </c>
      <c r="Q112" s="6" t="s">
        <v>1427</v>
      </c>
      <c r="R112" s="6" t="s">
        <v>1428</v>
      </c>
      <c r="S112" s="6" t="s">
        <v>358</v>
      </c>
      <c r="T112" s="6" t="s">
        <v>1429</v>
      </c>
      <c r="U112" s="6" t="s">
        <v>279</v>
      </c>
      <c r="V112" s="6" t="s">
        <v>785</v>
      </c>
      <c r="W112" s="6" t="str">
        <f aca="false">IF(O112="","",INDEX(Lookups!$B$2:$B$112,MATCH(O112,Lookups!$A$2:$A$112,1)))</f>
        <v>Portland</v>
      </c>
      <c r="X112" s="6" t="s">
        <v>103</v>
      </c>
      <c r="Y112" s="6" t="s">
        <v>14</v>
      </c>
      <c r="Z112" s="6" t="s">
        <v>88</v>
      </c>
      <c r="AA112" s="6" t="s">
        <v>1430</v>
      </c>
      <c r="AB112" s="6" t="s">
        <v>88</v>
      </c>
      <c r="AC112" s="6" t="s">
        <v>1431</v>
      </c>
      <c r="AD112" s="6" t="s">
        <v>106</v>
      </c>
      <c r="AE112" s="6" t="s">
        <v>1432</v>
      </c>
      <c r="AF112" s="6" t="s">
        <v>108</v>
      </c>
      <c r="AG112" s="6" t="s">
        <v>785</v>
      </c>
      <c r="AH112" s="6" t="s">
        <v>9</v>
      </c>
      <c r="AI112" s="6" t="s">
        <v>1433</v>
      </c>
    </row>
    <row r="113" customFormat="false" ht="15" hidden="false" customHeight="true" outlineLevel="0" collapsed="false">
      <c r="A113" s="6" t="s">
        <v>1434</v>
      </c>
      <c r="B113" s="6" t="s">
        <v>1435</v>
      </c>
      <c r="C113" s="7" t="s">
        <v>4</v>
      </c>
      <c r="D113" s="6" t="s">
        <v>88</v>
      </c>
      <c r="E113" s="6" t="s">
        <v>1420</v>
      </c>
      <c r="F113" s="6" t="s">
        <v>1436</v>
      </c>
      <c r="G113" s="6" t="s">
        <v>766</v>
      </c>
      <c r="H113" s="6" t="s">
        <v>1437</v>
      </c>
      <c r="I113" s="6" t="s">
        <v>274</v>
      </c>
      <c r="J113" s="6"/>
      <c r="K113" s="6" t="s">
        <v>60</v>
      </c>
      <c r="L113" s="6" t="s">
        <v>61</v>
      </c>
      <c r="M113" s="6" t="s">
        <v>1438</v>
      </c>
      <c r="N113" s="6" t="s">
        <v>1439</v>
      </c>
      <c r="O113" s="8" t="s">
        <v>1440</v>
      </c>
      <c r="P113" s="6" t="n">
        <f aca="false">IF(O113="","",VALUE(LEFT(O113,4)))</f>
        <v>1800</v>
      </c>
      <c r="Q113" s="6" t="s">
        <v>1441</v>
      </c>
      <c r="R113" s="6" t="s">
        <v>1442</v>
      </c>
      <c r="S113" s="6" t="s">
        <v>553</v>
      </c>
      <c r="T113" s="6" t="s">
        <v>1443</v>
      </c>
      <c r="U113" s="6" t="s">
        <v>69</v>
      </c>
      <c r="V113" s="6" t="s">
        <v>785</v>
      </c>
      <c r="W113" s="6" t="str">
        <f aca="false">IF(O113="","",INDEX(Lookups!$B$2:$B$113,MATCH(O113,Lookups!$A$2:$A$113,1)))</f>
        <v>Portland</v>
      </c>
      <c r="X113" s="6" t="s">
        <v>103</v>
      </c>
      <c r="Y113" s="6" t="s">
        <v>13</v>
      </c>
      <c r="Z113" s="6" t="s">
        <v>72</v>
      </c>
      <c r="AA113" s="6" t="s">
        <v>1444</v>
      </c>
      <c r="AB113" s="6" t="s">
        <v>88</v>
      </c>
      <c r="AC113" s="6"/>
      <c r="AD113" s="6"/>
      <c r="AE113" s="6"/>
      <c r="AF113" s="6"/>
      <c r="AG113" s="6"/>
      <c r="AH113" s="6"/>
      <c r="AI113" s="6" t="s">
        <v>1445</v>
      </c>
    </row>
    <row r="114" customFormat="false" ht="15" hidden="false" customHeight="true" outlineLevel="0" collapsed="false">
      <c r="A114" s="6" t="s">
        <v>1446</v>
      </c>
      <c r="B114" s="6" t="s">
        <v>1447</v>
      </c>
      <c r="C114" s="12" t="s">
        <v>9</v>
      </c>
      <c r="D114" s="6" t="s">
        <v>88</v>
      </c>
      <c r="E114" s="6" t="s">
        <v>1420</v>
      </c>
      <c r="F114" s="6" t="s">
        <v>1448</v>
      </c>
      <c r="G114" s="6" t="s">
        <v>1449</v>
      </c>
      <c r="H114" s="6" t="s">
        <v>1450</v>
      </c>
      <c r="I114" s="6" t="s">
        <v>274</v>
      </c>
      <c r="J114" s="6"/>
      <c r="K114" s="6" t="s">
        <v>60</v>
      </c>
      <c r="L114" s="6" t="s">
        <v>61</v>
      </c>
      <c r="M114" s="6" t="s">
        <v>1451</v>
      </c>
      <c r="N114" s="6" t="s">
        <v>1452</v>
      </c>
      <c r="O114" s="8" t="s">
        <v>1453</v>
      </c>
      <c r="P114" s="6" t="n">
        <f aca="false">IF(O114="","",VALUE(LEFT(O114,4)))</f>
        <v>1800</v>
      </c>
      <c r="Q114" s="6" t="s">
        <v>382</v>
      </c>
      <c r="R114" s="6" t="s">
        <v>382</v>
      </c>
      <c r="S114" s="6" t="s">
        <v>383</v>
      </c>
      <c r="T114" s="6" t="s">
        <v>1454</v>
      </c>
      <c r="U114" s="6" t="s">
        <v>85</v>
      </c>
      <c r="V114" s="6" t="s">
        <v>785</v>
      </c>
      <c r="W114" s="6" t="str">
        <f aca="false">IF(O114="","",INDEX(Lookups!$B$2:$B$114,MATCH(O114,Lookups!$A$2:$A$114,1)))</f>
        <v>Portland</v>
      </c>
      <c r="X114" s="6" t="s">
        <v>87</v>
      </c>
      <c r="Y114" s="6" t="s">
        <v>14</v>
      </c>
      <c r="Z114" s="6" t="s">
        <v>72</v>
      </c>
      <c r="AA114" s="6" t="s">
        <v>1455</v>
      </c>
      <c r="AB114" s="6" t="s">
        <v>141</v>
      </c>
      <c r="AC114" s="6"/>
      <c r="AD114" s="6"/>
      <c r="AE114" s="6"/>
      <c r="AF114" s="6"/>
      <c r="AG114" s="6"/>
      <c r="AH114" s="6"/>
      <c r="AI114" s="6" t="s">
        <v>1456</v>
      </c>
    </row>
    <row r="115" customFormat="false" ht="15" hidden="false" customHeight="true" outlineLevel="0" collapsed="false">
      <c r="A115" s="6" t="s">
        <v>1457</v>
      </c>
      <c r="B115" s="6" t="s">
        <v>1458</v>
      </c>
      <c r="C115" s="7" t="s">
        <v>4</v>
      </c>
      <c r="D115" s="6" t="s">
        <v>88</v>
      </c>
      <c r="E115" s="6" t="s">
        <v>1459</v>
      </c>
      <c r="F115" s="6" t="s">
        <v>1460</v>
      </c>
      <c r="G115" s="6" t="s">
        <v>1461</v>
      </c>
      <c r="H115" s="6" t="s">
        <v>1462</v>
      </c>
      <c r="I115" s="6" t="s">
        <v>274</v>
      </c>
      <c r="J115" s="6"/>
      <c r="K115" s="6" t="s">
        <v>60</v>
      </c>
      <c r="L115" s="6" t="s">
        <v>61</v>
      </c>
      <c r="M115" s="6" t="s">
        <v>1463</v>
      </c>
      <c r="N115" s="6" t="s">
        <v>1464</v>
      </c>
      <c r="O115" s="8" t="s">
        <v>1465</v>
      </c>
      <c r="P115" s="6" t="n">
        <f aca="false">IF(O115="","",VALUE(LEFT(O115,4)))</f>
        <v>1800</v>
      </c>
      <c r="Q115" s="6" t="s">
        <v>1466</v>
      </c>
      <c r="R115" s="6" t="s">
        <v>1466</v>
      </c>
      <c r="S115" s="6" t="s">
        <v>172</v>
      </c>
      <c r="T115" s="6" t="s">
        <v>1467</v>
      </c>
      <c r="U115" s="6" t="s">
        <v>69</v>
      </c>
      <c r="V115" s="6" t="s">
        <v>785</v>
      </c>
      <c r="W115" s="6" t="str">
        <f aca="false">IF(O115="","",INDEX(Lookups!$B$2:$B$115,MATCH(O115,Lookups!$A$2:$A$115,1)))</f>
        <v>Portland</v>
      </c>
      <c r="X115" s="6" t="s">
        <v>103</v>
      </c>
      <c r="Y115" s="6" t="s">
        <v>13</v>
      </c>
      <c r="Z115" s="6" t="s">
        <v>72</v>
      </c>
      <c r="AA115" s="6" t="s">
        <v>1468</v>
      </c>
      <c r="AB115" s="6" t="s">
        <v>141</v>
      </c>
      <c r="AC115" s="6"/>
      <c r="AD115" s="6"/>
      <c r="AE115" s="6"/>
      <c r="AF115" s="6"/>
      <c r="AG115" s="6"/>
      <c r="AH115" s="6"/>
      <c r="AI115" s="6" t="s">
        <v>1469</v>
      </c>
    </row>
    <row r="116" customFormat="false" ht="15" hidden="false" customHeight="true" outlineLevel="0" collapsed="false">
      <c r="A116" s="6" t="s">
        <v>1470</v>
      </c>
      <c r="B116" s="6" t="s">
        <v>1458</v>
      </c>
      <c r="C116" s="7" t="s">
        <v>4</v>
      </c>
      <c r="D116" s="6" t="s">
        <v>88</v>
      </c>
      <c r="E116" s="6" t="s">
        <v>1459</v>
      </c>
      <c r="F116" s="6" t="s">
        <v>1460</v>
      </c>
      <c r="G116" s="6" t="s">
        <v>1471</v>
      </c>
      <c r="H116" s="6" t="s">
        <v>1472</v>
      </c>
      <c r="I116" s="6" t="s">
        <v>274</v>
      </c>
      <c r="J116" s="6"/>
      <c r="K116" s="6" t="s">
        <v>60</v>
      </c>
      <c r="L116" s="6" t="s">
        <v>61</v>
      </c>
      <c r="M116" s="6" t="s">
        <v>1473</v>
      </c>
      <c r="N116" s="6" t="s">
        <v>1474</v>
      </c>
      <c r="O116" s="8" t="s">
        <v>1465</v>
      </c>
      <c r="P116" s="6" t="n">
        <f aca="false">IF(O116="","",VALUE(LEFT(O116,4)))</f>
        <v>1800</v>
      </c>
      <c r="Q116" s="6" t="s">
        <v>1475</v>
      </c>
      <c r="R116" s="6" t="s">
        <v>1476</v>
      </c>
      <c r="S116" s="6" t="s">
        <v>172</v>
      </c>
      <c r="T116" s="6" t="s">
        <v>1477</v>
      </c>
      <c r="U116" s="6" t="s">
        <v>279</v>
      </c>
      <c r="V116" s="6" t="s">
        <v>785</v>
      </c>
      <c r="W116" s="6" t="str">
        <f aca="false">IF(O116="","",INDEX(Lookups!$B$2:$B$116,MATCH(O116,Lookups!$A$2:$A$116,1)))</f>
        <v>Portland</v>
      </c>
      <c r="X116" s="6" t="s">
        <v>103</v>
      </c>
      <c r="Y116" s="6" t="s">
        <v>14</v>
      </c>
      <c r="Z116" s="6" t="s">
        <v>72</v>
      </c>
      <c r="AA116" s="6" t="s">
        <v>1478</v>
      </c>
      <c r="AB116" s="6" t="s">
        <v>141</v>
      </c>
      <c r="AC116" s="6"/>
      <c r="AD116" s="6"/>
      <c r="AE116" s="6"/>
      <c r="AF116" s="6"/>
      <c r="AG116" s="6"/>
      <c r="AH116" s="6"/>
      <c r="AI116" s="6" t="s">
        <v>1479</v>
      </c>
    </row>
    <row r="117" customFormat="false" ht="15" hidden="false" customHeight="true" outlineLevel="0" collapsed="false">
      <c r="A117" s="6" t="s">
        <v>1480</v>
      </c>
      <c r="B117" s="6" t="s">
        <v>1481</v>
      </c>
      <c r="C117" s="7" t="s">
        <v>4</v>
      </c>
      <c r="D117" s="6" t="s">
        <v>88</v>
      </c>
      <c r="E117" s="6" t="s">
        <v>1482</v>
      </c>
      <c r="F117" s="6" t="s">
        <v>1483</v>
      </c>
      <c r="G117" s="6" t="s">
        <v>1484</v>
      </c>
      <c r="H117" s="6" t="s">
        <v>1485</v>
      </c>
      <c r="I117" s="6" t="s">
        <v>274</v>
      </c>
      <c r="J117" s="6"/>
      <c r="K117" s="6" t="s">
        <v>60</v>
      </c>
      <c r="L117" s="6" t="s">
        <v>61</v>
      </c>
      <c r="M117" s="6" t="s">
        <v>1486</v>
      </c>
      <c r="N117" s="6" t="s">
        <v>1487</v>
      </c>
      <c r="O117" s="8" t="s">
        <v>1488</v>
      </c>
      <c r="P117" s="6" t="n">
        <f aca="false">IF(O117="","",VALUE(LEFT(O117,4)))</f>
        <v>1798</v>
      </c>
      <c r="Q117" s="6" t="s">
        <v>1489</v>
      </c>
      <c r="R117" s="6" t="s">
        <v>1490</v>
      </c>
      <c r="S117" s="6" t="s">
        <v>813</v>
      </c>
      <c r="T117" s="6" t="s">
        <v>1491</v>
      </c>
      <c r="U117" s="6" t="s">
        <v>217</v>
      </c>
      <c r="V117" s="6" t="s">
        <v>1492</v>
      </c>
      <c r="W117" s="6" t="str">
        <f aca="false">IF(O117="","",INDEX(Lookups!$B$2:$B$117,MATCH(O117,Lookups!$A$2:$A$117,1)))</f>
        <v>Portland</v>
      </c>
      <c r="X117" s="6" t="s">
        <v>267</v>
      </c>
      <c r="Y117" s="6" t="s">
        <v>15</v>
      </c>
      <c r="Z117" s="6" t="s">
        <v>72</v>
      </c>
      <c r="AA117" s="6" t="s">
        <v>1493</v>
      </c>
      <c r="AB117" s="6" t="s">
        <v>72</v>
      </c>
      <c r="AC117" s="6"/>
      <c r="AD117" s="6"/>
      <c r="AE117" s="6"/>
      <c r="AF117" s="6"/>
      <c r="AG117" s="6"/>
      <c r="AH117" s="6"/>
      <c r="AI117" s="6" t="s">
        <v>1494</v>
      </c>
    </row>
    <row r="118" customFormat="false" ht="15" hidden="false" customHeight="true" outlineLevel="0" collapsed="false">
      <c r="A118" s="6" t="s">
        <v>1495</v>
      </c>
      <c r="B118" s="6" t="s">
        <v>1496</v>
      </c>
      <c r="C118" s="7" t="s">
        <v>4</v>
      </c>
      <c r="D118" s="6" t="s">
        <v>88</v>
      </c>
      <c r="E118" s="6" t="s">
        <v>1482</v>
      </c>
      <c r="F118" s="6" t="s">
        <v>1497</v>
      </c>
      <c r="G118" s="6" t="s">
        <v>1498</v>
      </c>
      <c r="H118" s="6" t="s">
        <v>1499</v>
      </c>
      <c r="I118" s="6" t="s">
        <v>274</v>
      </c>
      <c r="J118" s="6"/>
      <c r="K118" s="6" t="s">
        <v>60</v>
      </c>
      <c r="L118" s="6" t="s">
        <v>61</v>
      </c>
      <c r="M118" s="6" t="s">
        <v>1500</v>
      </c>
      <c r="N118" s="6" t="s">
        <v>1501</v>
      </c>
      <c r="O118" s="8" t="s">
        <v>1502</v>
      </c>
      <c r="P118" s="6" t="n">
        <f aca="false">IF(O118="","",VALUE(LEFT(O118,4)))</f>
        <v>1798</v>
      </c>
      <c r="Q118" s="6" t="s">
        <v>1503</v>
      </c>
      <c r="R118" s="6" t="s">
        <v>1503</v>
      </c>
      <c r="S118" s="6" t="s">
        <v>172</v>
      </c>
      <c r="T118" s="6" t="s">
        <v>1504</v>
      </c>
      <c r="U118" s="6" t="s">
        <v>279</v>
      </c>
      <c r="V118" s="6" t="s">
        <v>1505</v>
      </c>
      <c r="W118" s="6" t="str">
        <f aca="false">IF(O118="","",INDEX(Lookups!$B$2:$B$118,MATCH(O118,Lookups!$A$2:$A$118,1)))</f>
        <v>Portland</v>
      </c>
      <c r="X118" s="6" t="s">
        <v>124</v>
      </c>
      <c r="Y118" s="6" t="s">
        <v>14</v>
      </c>
      <c r="Z118" s="6" t="s">
        <v>55</v>
      </c>
      <c r="AA118" s="6" t="s">
        <v>1506</v>
      </c>
      <c r="AB118" s="6" t="s">
        <v>88</v>
      </c>
      <c r="AC118" s="6"/>
      <c r="AD118" s="6"/>
      <c r="AE118" s="6"/>
      <c r="AF118" s="6"/>
      <c r="AG118" s="6"/>
      <c r="AH118" s="6"/>
      <c r="AI118" s="6" t="s">
        <v>1507</v>
      </c>
    </row>
    <row r="119" customFormat="false" ht="15" hidden="false" customHeight="true" outlineLevel="0" collapsed="false">
      <c r="A119" s="6" t="s">
        <v>1508</v>
      </c>
      <c r="B119" s="6" t="s">
        <v>1496</v>
      </c>
      <c r="C119" s="7" t="s">
        <v>4</v>
      </c>
      <c r="D119" s="6" t="s">
        <v>88</v>
      </c>
      <c r="E119" s="6" t="s">
        <v>1482</v>
      </c>
      <c r="F119" s="6" t="s">
        <v>1483</v>
      </c>
      <c r="G119" s="6" t="s">
        <v>1509</v>
      </c>
      <c r="H119" s="6" t="s">
        <v>1510</v>
      </c>
      <c r="I119" s="6" t="s">
        <v>274</v>
      </c>
      <c r="J119" s="6"/>
      <c r="K119" s="6" t="s">
        <v>60</v>
      </c>
      <c r="L119" s="6" t="s">
        <v>61</v>
      </c>
      <c r="M119" s="6" t="s">
        <v>1511</v>
      </c>
      <c r="N119" s="6" t="s">
        <v>1512</v>
      </c>
      <c r="O119" s="8" t="s">
        <v>1513</v>
      </c>
      <c r="P119" s="6" t="n">
        <f aca="false">IF(O119="","",VALUE(LEFT(O119,4)))</f>
        <v>1798</v>
      </c>
      <c r="Q119" s="6" t="s">
        <v>1514</v>
      </c>
      <c r="R119" s="6" t="s">
        <v>1503</v>
      </c>
      <c r="S119" s="6" t="s">
        <v>172</v>
      </c>
      <c r="T119" s="6" t="s">
        <v>1515</v>
      </c>
      <c r="U119" s="6" t="s">
        <v>85</v>
      </c>
      <c r="V119" s="6" t="s">
        <v>1516</v>
      </c>
      <c r="W119" s="6" t="str">
        <f aca="false">IF(O119="","",INDEX(Lookups!$B$2:$B$119,MATCH(O119,Lookups!$A$2:$A$119,1)))</f>
        <v>Portland</v>
      </c>
      <c r="X119" s="6" t="s">
        <v>124</v>
      </c>
      <c r="Y119" s="6" t="s">
        <v>14</v>
      </c>
      <c r="Z119" s="6" t="s">
        <v>55</v>
      </c>
      <c r="AA119" s="6" t="s">
        <v>1517</v>
      </c>
      <c r="AB119" s="6" t="s">
        <v>88</v>
      </c>
      <c r="AC119" s="6"/>
      <c r="AD119" s="6" t="s">
        <v>1518</v>
      </c>
      <c r="AE119" s="6"/>
      <c r="AF119" s="6"/>
      <c r="AG119" s="6"/>
      <c r="AH119" s="6"/>
      <c r="AI119" s="6" t="s">
        <v>1519</v>
      </c>
    </row>
    <row r="120" customFormat="false" ht="15" hidden="false" customHeight="true" outlineLevel="0" collapsed="false">
      <c r="A120" s="6" t="s">
        <v>1520</v>
      </c>
      <c r="B120" s="6" t="s">
        <v>1521</v>
      </c>
      <c r="C120" s="9" t="s">
        <v>5</v>
      </c>
      <c r="D120" s="6" t="s">
        <v>88</v>
      </c>
      <c r="E120" s="6" t="s">
        <v>1482</v>
      </c>
      <c r="F120" s="6" t="s">
        <v>1497</v>
      </c>
      <c r="G120" s="6" t="s">
        <v>1522</v>
      </c>
      <c r="H120" s="6" t="s">
        <v>1523</v>
      </c>
      <c r="I120" s="6" t="s">
        <v>274</v>
      </c>
      <c r="J120" s="6"/>
      <c r="K120" s="6" t="s">
        <v>60</v>
      </c>
      <c r="L120" s="6" t="s">
        <v>61</v>
      </c>
      <c r="M120" s="6" t="s">
        <v>1524</v>
      </c>
      <c r="N120" s="6" t="s">
        <v>1525</v>
      </c>
      <c r="O120" s="8" t="s">
        <v>1526</v>
      </c>
      <c r="P120" s="6" t="n">
        <f aca="false">IF(O120="","",VALUE(LEFT(O120,4)))</f>
        <v>1798</v>
      </c>
      <c r="Q120" s="6" t="s">
        <v>1527</v>
      </c>
      <c r="R120" s="6" t="s">
        <v>1527</v>
      </c>
      <c r="S120" s="6" t="s">
        <v>252</v>
      </c>
      <c r="T120" s="6" t="s">
        <v>1528</v>
      </c>
      <c r="U120" s="6" t="s">
        <v>69</v>
      </c>
      <c r="V120" s="6" t="s">
        <v>1492</v>
      </c>
      <c r="W120" s="6" t="str">
        <f aca="false">IF(O120="","",INDEX(Lookups!$B$2:$B$120,MATCH(O120,Lookups!$A$2:$A$120,1)))</f>
        <v>Portland</v>
      </c>
      <c r="X120" s="6" t="s">
        <v>267</v>
      </c>
      <c r="Y120" s="6" t="s">
        <v>16</v>
      </c>
      <c r="Z120" s="6" t="s">
        <v>55</v>
      </c>
      <c r="AA120" s="6" t="s">
        <v>1529</v>
      </c>
      <c r="AB120" s="6" t="s">
        <v>88</v>
      </c>
      <c r="AC120" s="6"/>
      <c r="AD120" s="6"/>
      <c r="AE120" s="6"/>
      <c r="AF120" s="6"/>
      <c r="AG120" s="6"/>
      <c r="AH120" s="6"/>
      <c r="AI120" s="6" t="s">
        <v>1530</v>
      </c>
    </row>
    <row r="121" customFormat="false" ht="15" hidden="false" customHeight="true" outlineLevel="0" collapsed="false">
      <c r="A121" s="6" t="s">
        <v>1531</v>
      </c>
      <c r="B121" s="6" t="s">
        <v>1532</v>
      </c>
      <c r="C121" s="12" t="s">
        <v>9</v>
      </c>
      <c r="D121" s="6" t="s">
        <v>88</v>
      </c>
      <c r="E121" s="6" t="s">
        <v>1533</v>
      </c>
      <c r="F121" s="6" t="s">
        <v>1534</v>
      </c>
      <c r="G121" s="6" t="s">
        <v>1535</v>
      </c>
      <c r="H121" s="6" t="s">
        <v>1536</v>
      </c>
      <c r="I121" s="6" t="s">
        <v>274</v>
      </c>
      <c r="J121" s="6"/>
      <c r="K121" s="6" t="s">
        <v>60</v>
      </c>
      <c r="L121" s="6" t="s">
        <v>61</v>
      </c>
      <c r="M121" s="6" t="s">
        <v>1537</v>
      </c>
      <c r="N121" s="6" t="s">
        <v>1538</v>
      </c>
      <c r="O121" s="8" t="s">
        <v>1539</v>
      </c>
      <c r="P121" s="6" t="n">
        <f aca="false">IF(O121="","",VALUE(LEFT(O121,4)))</f>
        <v>1798</v>
      </c>
      <c r="Q121" s="6" t="s">
        <v>1540</v>
      </c>
      <c r="R121" s="6" t="s">
        <v>542</v>
      </c>
      <c r="S121" s="6" t="s">
        <v>447</v>
      </c>
      <c r="T121" s="6" t="s">
        <v>1541</v>
      </c>
      <c r="U121" s="6" t="s">
        <v>217</v>
      </c>
      <c r="V121" s="6" t="s">
        <v>1542</v>
      </c>
      <c r="W121" s="6" t="str">
        <f aca="false">IF(O121="","",INDEX(Lookups!$B$2:$B$121,MATCH(O121,Lookups!$A$2:$A$121,1)))</f>
        <v>Portland</v>
      </c>
      <c r="X121" s="6" t="s">
        <v>267</v>
      </c>
      <c r="Y121" s="6" t="s">
        <v>16</v>
      </c>
      <c r="Z121" s="6" t="s">
        <v>55</v>
      </c>
      <c r="AA121" s="6" t="s">
        <v>1543</v>
      </c>
      <c r="AB121" s="6" t="s">
        <v>72</v>
      </c>
      <c r="AC121" s="6"/>
      <c r="AD121" s="6"/>
      <c r="AE121" s="6"/>
      <c r="AF121" s="6"/>
      <c r="AG121" s="6"/>
      <c r="AH121" s="6"/>
      <c r="AI121" s="6" t="s">
        <v>1544</v>
      </c>
    </row>
    <row r="122" customFormat="false" ht="15" hidden="false" customHeight="true" outlineLevel="0" collapsed="false">
      <c r="A122" s="6" t="s">
        <v>1545</v>
      </c>
      <c r="B122" s="6" t="s">
        <v>1546</v>
      </c>
      <c r="C122" s="9" t="s">
        <v>5</v>
      </c>
      <c r="D122" s="6" t="s">
        <v>88</v>
      </c>
      <c r="E122" s="6" t="s">
        <v>1547</v>
      </c>
      <c r="F122" s="6" t="s">
        <v>1548</v>
      </c>
      <c r="G122" s="6" t="s">
        <v>1549</v>
      </c>
      <c r="H122" s="6" t="s">
        <v>1550</v>
      </c>
      <c r="I122" s="6" t="s">
        <v>274</v>
      </c>
      <c r="J122" s="6"/>
      <c r="K122" s="6" t="s">
        <v>60</v>
      </c>
      <c r="L122" s="6" t="s">
        <v>61</v>
      </c>
      <c r="M122" s="6" t="s">
        <v>1551</v>
      </c>
      <c r="N122" s="6" t="s">
        <v>1552</v>
      </c>
      <c r="O122" s="8" t="s">
        <v>1553</v>
      </c>
      <c r="P122" s="6" t="n">
        <f aca="false">IF(O122="","",VALUE(LEFT(O122,4)))</f>
        <v>1798</v>
      </c>
      <c r="Q122" s="6" t="s">
        <v>1554</v>
      </c>
      <c r="R122" s="6" t="s">
        <v>1555</v>
      </c>
      <c r="S122" s="6" t="s">
        <v>241</v>
      </c>
      <c r="T122" s="6" t="s">
        <v>1556</v>
      </c>
      <c r="U122" s="6" t="s">
        <v>279</v>
      </c>
      <c r="V122" s="6" t="s">
        <v>1557</v>
      </c>
      <c r="W122" s="6" t="str">
        <f aca="false">IF(O122="","",INDEX(Lookups!$B$2:$B$122,MATCH(O122,Lookups!$A$2:$A$122,1)))</f>
        <v>Portland</v>
      </c>
      <c r="X122" s="6" t="s">
        <v>124</v>
      </c>
      <c r="Y122" s="6" t="s">
        <v>15</v>
      </c>
      <c r="Z122" s="6" t="s">
        <v>55</v>
      </c>
      <c r="AA122" s="6" t="s">
        <v>1558</v>
      </c>
      <c r="AB122" s="6" t="s">
        <v>72</v>
      </c>
      <c r="AC122" s="6"/>
      <c r="AD122" s="6"/>
      <c r="AE122" s="6"/>
      <c r="AF122" s="6"/>
      <c r="AG122" s="6"/>
      <c r="AH122" s="6"/>
      <c r="AI122" s="6" t="s">
        <v>1559</v>
      </c>
    </row>
    <row r="123" customFormat="false" ht="15" hidden="false" customHeight="true" outlineLevel="0" collapsed="false">
      <c r="A123" s="6" t="s">
        <v>1560</v>
      </c>
      <c r="B123" s="6" t="s">
        <v>1561</v>
      </c>
      <c r="C123" s="12" t="s">
        <v>9</v>
      </c>
      <c r="D123" s="6" t="s">
        <v>88</v>
      </c>
      <c r="E123" s="6" t="s">
        <v>1547</v>
      </c>
      <c r="F123" s="6" t="s">
        <v>1548</v>
      </c>
      <c r="G123" s="6" t="s">
        <v>1265</v>
      </c>
      <c r="H123" s="6" t="s">
        <v>1562</v>
      </c>
      <c r="I123" s="6" t="s">
        <v>274</v>
      </c>
      <c r="J123" s="6"/>
      <c r="K123" s="6" t="s">
        <v>60</v>
      </c>
      <c r="L123" s="6" t="s">
        <v>61</v>
      </c>
      <c r="M123" s="6" t="s">
        <v>1563</v>
      </c>
      <c r="N123" s="6" t="s">
        <v>1564</v>
      </c>
      <c r="O123" s="8" t="s">
        <v>1565</v>
      </c>
      <c r="P123" s="6" t="n">
        <f aca="false">IF(O123="","",VALUE(LEFT(O123,4)))</f>
        <v>1798</v>
      </c>
      <c r="Q123" s="6" t="s">
        <v>265</v>
      </c>
      <c r="R123" s="6" t="s">
        <v>1566</v>
      </c>
      <c r="S123" s="6" t="s">
        <v>241</v>
      </c>
      <c r="T123" s="6" t="s">
        <v>1567</v>
      </c>
      <c r="U123" s="6" t="s">
        <v>815</v>
      </c>
      <c r="V123" s="6" t="s">
        <v>1568</v>
      </c>
      <c r="W123" s="6" t="str">
        <f aca="false">IF(O123="","",INDEX(Lookups!$B$2:$B$123,MATCH(O123,Lookups!$A$2:$A$123,1)))</f>
        <v>Portland</v>
      </c>
      <c r="X123" s="6" t="s">
        <v>124</v>
      </c>
      <c r="Y123" s="6" t="s">
        <v>16</v>
      </c>
      <c r="Z123" s="6" t="s">
        <v>72</v>
      </c>
      <c r="AA123" s="6" t="s">
        <v>1569</v>
      </c>
      <c r="AB123" s="6" t="s">
        <v>88</v>
      </c>
      <c r="AC123" s="6"/>
      <c r="AD123" s="6"/>
      <c r="AE123" s="6"/>
      <c r="AF123" s="6"/>
      <c r="AG123" s="6"/>
      <c r="AH123" s="6"/>
      <c r="AI123" s="6" t="s">
        <v>1570</v>
      </c>
    </row>
    <row r="124" customFormat="false" ht="15" hidden="false" customHeight="true" outlineLevel="0" collapsed="false">
      <c r="A124" s="6" t="s">
        <v>1571</v>
      </c>
      <c r="B124" s="6" t="s">
        <v>1572</v>
      </c>
      <c r="C124" s="12" t="s">
        <v>9</v>
      </c>
      <c r="D124" s="6" t="s">
        <v>88</v>
      </c>
      <c r="E124" s="6" t="s">
        <v>1547</v>
      </c>
      <c r="F124" s="6" t="s">
        <v>1573</v>
      </c>
      <c r="G124" s="6" t="s">
        <v>1243</v>
      </c>
      <c r="H124" s="6" t="s">
        <v>1574</v>
      </c>
      <c r="I124" s="6" t="s">
        <v>274</v>
      </c>
      <c r="J124" s="6"/>
      <c r="K124" s="6" t="s">
        <v>60</v>
      </c>
      <c r="L124" s="6" t="s">
        <v>61</v>
      </c>
      <c r="M124" s="6" t="s">
        <v>1575</v>
      </c>
      <c r="N124" s="6" t="s">
        <v>1576</v>
      </c>
      <c r="O124" s="8" t="s">
        <v>1577</v>
      </c>
      <c r="P124" s="6" t="n">
        <f aca="false">IF(O124="","",VALUE(LEFT(O124,4)))</f>
        <v>1798</v>
      </c>
      <c r="Q124" s="6" t="s">
        <v>1578</v>
      </c>
      <c r="R124" s="6" t="s">
        <v>1579</v>
      </c>
      <c r="S124" s="6" t="s">
        <v>241</v>
      </c>
      <c r="T124" s="6" t="s">
        <v>1580</v>
      </c>
      <c r="U124" s="6" t="s">
        <v>139</v>
      </c>
      <c r="V124" s="6" t="s">
        <v>1492</v>
      </c>
      <c r="W124" s="6" t="str">
        <f aca="false">IF(O124="","",INDEX(Lookups!$B$2:$B$124,MATCH(O124,Lookups!$A$2:$A$124,1)))</f>
        <v>Portland</v>
      </c>
      <c r="X124" s="6" t="s">
        <v>267</v>
      </c>
      <c r="Y124" s="6" t="s">
        <v>16</v>
      </c>
      <c r="Z124" s="6" t="s">
        <v>55</v>
      </c>
      <c r="AA124" s="6" t="s">
        <v>1581</v>
      </c>
      <c r="AB124" s="6" t="s">
        <v>141</v>
      </c>
      <c r="AC124" s="6"/>
      <c r="AD124" s="6"/>
      <c r="AE124" s="6"/>
      <c r="AF124" s="6"/>
      <c r="AG124" s="6"/>
      <c r="AH124" s="6"/>
      <c r="AI124" s="6" t="s">
        <v>1582</v>
      </c>
    </row>
    <row r="125" customFormat="false" ht="15" hidden="false" customHeight="true" outlineLevel="0" collapsed="false">
      <c r="A125" s="6" t="s">
        <v>1583</v>
      </c>
      <c r="B125" s="6" t="s">
        <v>1584</v>
      </c>
      <c r="C125" s="11" t="s">
        <v>8</v>
      </c>
      <c r="D125" s="6" t="s">
        <v>88</v>
      </c>
      <c r="E125" s="6" t="s">
        <v>1547</v>
      </c>
      <c r="F125" s="6" t="s">
        <v>1585</v>
      </c>
      <c r="G125" s="6" t="s">
        <v>1586</v>
      </c>
      <c r="H125" s="6" t="s">
        <v>1587</v>
      </c>
      <c r="I125" s="6" t="s">
        <v>274</v>
      </c>
      <c r="J125" s="6"/>
      <c r="K125" s="6" t="s">
        <v>60</v>
      </c>
      <c r="L125" s="6" t="s">
        <v>61</v>
      </c>
      <c r="M125" s="6" t="s">
        <v>1588</v>
      </c>
      <c r="N125" s="6" t="s">
        <v>1589</v>
      </c>
      <c r="O125" s="8" t="s">
        <v>1590</v>
      </c>
      <c r="P125" s="6" t="n">
        <f aca="false">IF(O125="","",VALUE(LEFT(O125,4)))</f>
        <v>1798</v>
      </c>
      <c r="Q125" s="6" t="s">
        <v>1591</v>
      </c>
      <c r="R125" s="6" t="s">
        <v>1592</v>
      </c>
      <c r="S125" s="6" t="s">
        <v>553</v>
      </c>
      <c r="T125" s="6" t="s">
        <v>1593</v>
      </c>
      <c r="U125" s="6" t="s">
        <v>69</v>
      </c>
      <c r="V125" s="6" t="s">
        <v>1505</v>
      </c>
      <c r="W125" s="6" t="str">
        <f aca="false">IF(O125="","",INDEX(Lookups!$B$2:$B$125,MATCH(O125,Lookups!$A$2:$A$125,1)))</f>
        <v>Portland</v>
      </c>
      <c r="X125" s="6" t="s">
        <v>267</v>
      </c>
      <c r="Y125" s="6" t="s">
        <v>16</v>
      </c>
      <c r="Z125" s="6" t="s">
        <v>55</v>
      </c>
      <c r="AA125" s="6" t="s">
        <v>1594</v>
      </c>
      <c r="AB125" s="6" t="s">
        <v>72</v>
      </c>
      <c r="AC125" s="6"/>
      <c r="AD125" s="6"/>
      <c r="AE125" s="6"/>
      <c r="AF125" s="6"/>
      <c r="AG125" s="6"/>
      <c r="AH125" s="6"/>
      <c r="AI125" s="6" t="s">
        <v>1595</v>
      </c>
    </row>
    <row r="126" customFormat="false" ht="15" hidden="false" customHeight="true" outlineLevel="0" collapsed="false">
      <c r="A126" s="6" t="s">
        <v>1596</v>
      </c>
      <c r="B126" s="6" t="s">
        <v>1597</v>
      </c>
      <c r="C126" s="12" t="s">
        <v>9</v>
      </c>
      <c r="D126" s="6" t="s">
        <v>88</v>
      </c>
      <c r="E126" s="6" t="s">
        <v>1547</v>
      </c>
      <c r="F126" s="6" t="s">
        <v>1548</v>
      </c>
      <c r="G126" s="6" t="s">
        <v>1598</v>
      </c>
      <c r="H126" s="6" t="s">
        <v>1599</v>
      </c>
      <c r="I126" s="6" t="s">
        <v>274</v>
      </c>
      <c r="J126" s="6"/>
      <c r="K126" s="6" t="s">
        <v>60</v>
      </c>
      <c r="L126" s="6" t="s">
        <v>61</v>
      </c>
      <c r="M126" s="6" t="s">
        <v>1600</v>
      </c>
      <c r="N126" s="6" t="s">
        <v>1601</v>
      </c>
      <c r="O126" s="8" t="s">
        <v>1602</v>
      </c>
      <c r="P126" s="6" t="n">
        <f aca="false">IF(O126="","",VALUE(LEFT(O126,4)))</f>
        <v>1798</v>
      </c>
      <c r="Q126" s="6" t="s">
        <v>1603</v>
      </c>
      <c r="R126" s="6" t="s">
        <v>1604</v>
      </c>
      <c r="S126" s="6" t="s">
        <v>101</v>
      </c>
      <c r="T126" s="6" t="s">
        <v>1605</v>
      </c>
      <c r="U126" s="6" t="s">
        <v>815</v>
      </c>
      <c r="V126" s="6" t="s">
        <v>1505</v>
      </c>
      <c r="W126" s="6" t="str">
        <f aca="false">IF(O126="","",INDEX(Lookups!$B$2:$B$126,MATCH(O126,Lookups!$A$2:$A$126,1)))</f>
        <v>Portland</v>
      </c>
      <c r="X126" s="6" t="s">
        <v>267</v>
      </c>
      <c r="Y126" s="6" t="s">
        <v>16</v>
      </c>
      <c r="Z126" s="6" t="s">
        <v>55</v>
      </c>
      <c r="AA126" s="6" t="s">
        <v>1606</v>
      </c>
      <c r="AB126" s="6" t="s">
        <v>141</v>
      </c>
      <c r="AC126" s="6"/>
      <c r="AD126" s="6"/>
      <c r="AE126" s="6"/>
      <c r="AF126" s="6"/>
      <c r="AG126" s="6"/>
      <c r="AH126" s="6"/>
      <c r="AI126" s="6" t="s">
        <v>1607</v>
      </c>
    </row>
    <row r="127" customFormat="false" ht="15" hidden="false" customHeight="true" outlineLevel="0" collapsed="false">
      <c r="A127" s="6" t="s">
        <v>1608</v>
      </c>
      <c r="B127" s="6" t="s">
        <v>1609</v>
      </c>
      <c r="C127" s="9" t="s">
        <v>6</v>
      </c>
      <c r="D127" s="6" t="s">
        <v>88</v>
      </c>
      <c r="E127" s="6" t="s">
        <v>1547</v>
      </c>
      <c r="F127" s="6" t="s">
        <v>1585</v>
      </c>
      <c r="G127" s="6" t="s">
        <v>1610</v>
      </c>
      <c r="H127" s="6" t="s">
        <v>1611</v>
      </c>
      <c r="I127" s="6" t="s">
        <v>274</v>
      </c>
      <c r="J127" s="6"/>
      <c r="K127" s="6" t="s">
        <v>60</v>
      </c>
      <c r="L127" s="6" t="s">
        <v>61</v>
      </c>
      <c r="M127" s="6" t="s">
        <v>1612</v>
      </c>
      <c r="N127" s="6" t="s">
        <v>1613</v>
      </c>
      <c r="O127" s="8" t="s">
        <v>1614</v>
      </c>
      <c r="P127" s="6" t="n">
        <f aca="false">IF(O127="","",VALUE(LEFT(O127,4)))</f>
        <v>1798</v>
      </c>
      <c r="Q127" s="6" t="s">
        <v>552</v>
      </c>
      <c r="R127" s="6" t="s">
        <v>552</v>
      </c>
      <c r="S127" s="6" t="s">
        <v>553</v>
      </c>
      <c r="T127" s="6" t="s">
        <v>1615</v>
      </c>
      <c r="U127" s="6" t="s">
        <v>217</v>
      </c>
      <c r="V127" s="6" t="s">
        <v>1492</v>
      </c>
      <c r="W127" s="6" t="str">
        <f aca="false">IF(O127="","",INDEX(Lookups!$B$2:$B$127,MATCH(O127,Lookups!$A$2:$A$127,1)))</f>
        <v>Portland</v>
      </c>
      <c r="X127" s="6" t="s">
        <v>267</v>
      </c>
      <c r="Y127" s="6" t="s">
        <v>15</v>
      </c>
      <c r="Z127" s="6" t="s">
        <v>88</v>
      </c>
      <c r="AA127" s="6" t="s">
        <v>1616</v>
      </c>
      <c r="AB127" s="6" t="s">
        <v>88</v>
      </c>
      <c r="AC127" s="6"/>
      <c r="AD127" s="6"/>
      <c r="AE127" s="6"/>
      <c r="AF127" s="6"/>
      <c r="AG127" s="6"/>
      <c r="AH127" s="6"/>
      <c r="AI127" s="6" t="s">
        <v>1617</v>
      </c>
    </row>
    <row r="128" customFormat="false" ht="15" hidden="false" customHeight="true" outlineLevel="0" collapsed="false">
      <c r="A128" s="6" t="s">
        <v>1618</v>
      </c>
      <c r="B128" s="6" t="s">
        <v>1619</v>
      </c>
      <c r="C128" s="7" t="s">
        <v>4</v>
      </c>
      <c r="D128" s="6" t="s">
        <v>88</v>
      </c>
      <c r="E128" s="6" t="s">
        <v>1547</v>
      </c>
      <c r="F128" s="6" t="s">
        <v>1620</v>
      </c>
      <c r="G128" s="6" t="s">
        <v>1621</v>
      </c>
      <c r="H128" s="6" t="s">
        <v>1622</v>
      </c>
      <c r="I128" s="6" t="s">
        <v>274</v>
      </c>
      <c r="J128" s="6"/>
      <c r="K128" s="6" t="s">
        <v>60</v>
      </c>
      <c r="L128" s="6" t="s">
        <v>61</v>
      </c>
      <c r="M128" s="6" t="s">
        <v>1623</v>
      </c>
      <c r="N128" s="6" t="s">
        <v>1624</v>
      </c>
      <c r="O128" s="8" t="s">
        <v>1625</v>
      </c>
      <c r="P128" s="6" t="n">
        <f aca="false">IF(O128="","",VALUE(LEFT(O128,4)))</f>
        <v>1798</v>
      </c>
      <c r="Q128" s="6" t="s">
        <v>1626</v>
      </c>
      <c r="R128" s="6" t="s">
        <v>1627</v>
      </c>
      <c r="S128" s="6" t="s">
        <v>1628</v>
      </c>
      <c r="T128" s="6" t="s">
        <v>1629</v>
      </c>
      <c r="U128" s="6" t="s">
        <v>279</v>
      </c>
      <c r="V128" s="6" t="s">
        <v>1492</v>
      </c>
      <c r="W128" s="6" t="str">
        <f aca="false">IF(O128="","",INDEX(Lookups!$B$2:$B$128,MATCH(O128,Lookups!$A$2:$A$128,1)))</f>
        <v>Portland</v>
      </c>
      <c r="X128" s="6" t="s">
        <v>267</v>
      </c>
      <c r="Y128" s="6" t="s">
        <v>14</v>
      </c>
      <c r="Z128" s="6" t="s">
        <v>88</v>
      </c>
      <c r="AA128" s="6" t="s">
        <v>1630</v>
      </c>
      <c r="AB128" s="6" t="s">
        <v>55</v>
      </c>
      <c r="AC128" s="6"/>
      <c r="AD128" s="6"/>
      <c r="AE128" s="6"/>
      <c r="AF128" s="6"/>
      <c r="AG128" s="6"/>
      <c r="AH128" s="6"/>
      <c r="AI128" s="6" t="s">
        <v>1631</v>
      </c>
    </row>
    <row r="129" customFormat="false" ht="15" hidden="false" customHeight="true" outlineLevel="0" collapsed="false">
      <c r="A129" s="6" t="s">
        <v>1632</v>
      </c>
      <c r="B129" s="6" t="s">
        <v>1619</v>
      </c>
      <c r="C129" s="7" t="s">
        <v>4</v>
      </c>
      <c r="D129" s="6" t="s">
        <v>88</v>
      </c>
      <c r="E129" s="6" t="s">
        <v>1547</v>
      </c>
      <c r="F129" s="6" t="s">
        <v>1620</v>
      </c>
      <c r="G129" s="6" t="s">
        <v>1633</v>
      </c>
      <c r="H129" s="6" t="s">
        <v>1634</v>
      </c>
      <c r="I129" s="6" t="s">
        <v>274</v>
      </c>
      <c r="J129" s="6"/>
      <c r="K129" s="6" t="s">
        <v>60</v>
      </c>
      <c r="L129" s="6" t="s">
        <v>61</v>
      </c>
      <c r="M129" s="6" t="s">
        <v>1635</v>
      </c>
      <c r="N129" s="6" t="s">
        <v>1636</v>
      </c>
      <c r="O129" s="8" t="s">
        <v>1637</v>
      </c>
      <c r="P129" s="6" t="n">
        <f aca="false">IF(O129="","",VALUE(LEFT(O129,4)))</f>
        <v>1798</v>
      </c>
      <c r="Q129" s="6" t="s">
        <v>1626</v>
      </c>
      <c r="R129" s="6" t="s">
        <v>1627</v>
      </c>
      <c r="S129" s="6" t="s">
        <v>1628</v>
      </c>
      <c r="T129" s="6" t="s">
        <v>1629</v>
      </c>
      <c r="U129" s="6" t="s">
        <v>279</v>
      </c>
      <c r="V129" s="6" t="s">
        <v>1492</v>
      </c>
      <c r="W129" s="6" t="str">
        <f aca="false">IF(O129="","",INDEX(Lookups!$B$2:$B$129,MATCH(O129,Lookups!$A$2:$A$129,1)))</f>
        <v>Portland</v>
      </c>
      <c r="X129" s="6" t="s">
        <v>140</v>
      </c>
      <c r="Y129" s="6" t="s">
        <v>14</v>
      </c>
      <c r="Z129" s="6" t="s">
        <v>88</v>
      </c>
      <c r="AA129" s="6" t="s">
        <v>1638</v>
      </c>
      <c r="AB129" s="6" t="s">
        <v>55</v>
      </c>
      <c r="AC129" s="6"/>
      <c r="AD129" s="6"/>
      <c r="AE129" s="6"/>
      <c r="AF129" s="6"/>
      <c r="AG129" s="6"/>
      <c r="AH129" s="6"/>
      <c r="AI129" s="6" t="s">
        <v>1639</v>
      </c>
    </row>
    <row r="130" customFormat="false" ht="15" hidden="false" customHeight="true" outlineLevel="0" collapsed="false">
      <c r="A130" s="6" t="s">
        <v>1640</v>
      </c>
      <c r="B130" s="6" t="s">
        <v>1641</v>
      </c>
      <c r="C130" s="11" t="s">
        <v>8</v>
      </c>
      <c r="D130" s="6" t="s">
        <v>88</v>
      </c>
      <c r="E130" s="6" t="s">
        <v>1547</v>
      </c>
      <c r="F130" s="6" t="s">
        <v>1585</v>
      </c>
      <c r="G130" s="6" t="s">
        <v>1642</v>
      </c>
      <c r="H130" s="6" t="s">
        <v>1643</v>
      </c>
      <c r="I130" s="6" t="s">
        <v>274</v>
      </c>
      <c r="J130" s="6"/>
      <c r="K130" s="6" t="s">
        <v>60</v>
      </c>
      <c r="L130" s="6" t="s">
        <v>61</v>
      </c>
      <c r="M130" s="6" t="s">
        <v>1644</v>
      </c>
      <c r="N130" s="6" t="s">
        <v>1645</v>
      </c>
      <c r="O130" s="8" t="s">
        <v>1646</v>
      </c>
      <c r="P130" s="6" t="n">
        <f aca="false">IF(O130="","",VALUE(LEFT(O130,4)))</f>
        <v>1798</v>
      </c>
      <c r="Q130" s="6" t="s">
        <v>1647</v>
      </c>
      <c r="R130" s="6" t="s">
        <v>1648</v>
      </c>
      <c r="S130" s="6" t="s">
        <v>185</v>
      </c>
      <c r="T130" s="6" t="s">
        <v>1649</v>
      </c>
      <c r="U130" s="6" t="s">
        <v>815</v>
      </c>
      <c r="V130" s="6" t="s">
        <v>1650</v>
      </c>
      <c r="W130" s="6" t="str">
        <f aca="false">IF(O130="","",INDEX(Lookups!$B$2:$B$130,MATCH(O130,Lookups!$A$2:$A$130,1)))</f>
        <v>Portland</v>
      </c>
      <c r="X130" s="6" t="s">
        <v>267</v>
      </c>
      <c r="Y130" s="6" t="s">
        <v>16</v>
      </c>
      <c r="Z130" s="6" t="s">
        <v>72</v>
      </c>
      <c r="AA130" s="6" t="s">
        <v>1651</v>
      </c>
      <c r="AB130" s="6" t="s">
        <v>141</v>
      </c>
      <c r="AC130" s="6"/>
      <c r="AD130" s="6"/>
      <c r="AE130" s="6"/>
      <c r="AF130" s="6"/>
      <c r="AG130" s="6"/>
      <c r="AH130" s="6"/>
      <c r="AI130" s="6" t="s">
        <v>1652</v>
      </c>
    </row>
    <row r="131" customFormat="false" ht="15" hidden="false" customHeight="true" outlineLevel="0" collapsed="false">
      <c r="A131" s="6" t="s">
        <v>1653</v>
      </c>
      <c r="B131" s="6" t="s">
        <v>1654</v>
      </c>
      <c r="C131" s="7" t="s">
        <v>4</v>
      </c>
      <c r="D131" s="6" t="s">
        <v>88</v>
      </c>
      <c r="E131" s="6" t="s">
        <v>1655</v>
      </c>
      <c r="F131" s="6" t="s">
        <v>1656</v>
      </c>
      <c r="G131" s="6" t="s">
        <v>1657</v>
      </c>
      <c r="H131" s="6" t="s">
        <v>1658</v>
      </c>
      <c r="I131" s="6" t="s">
        <v>274</v>
      </c>
      <c r="J131" s="6"/>
      <c r="K131" s="6" t="s">
        <v>60</v>
      </c>
      <c r="L131" s="6" t="s">
        <v>61</v>
      </c>
      <c r="M131" s="6" t="s">
        <v>1659</v>
      </c>
      <c r="N131" s="6" t="s">
        <v>1660</v>
      </c>
      <c r="O131" s="8" t="s">
        <v>1661</v>
      </c>
      <c r="P131" s="6" t="n">
        <f aca="false">IF(O131="","",VALUE(LEFT(O131,4)))</f>
        <v>1798</v>
      </c>
      <c r="Q131" s="6" t="s">
        <v>552</v>
      </c>
      <c r="R131" s="6" t="s">
        <v>552</v>
      </c>
      <c r="S131" s="6" t="s">
        <v>553</v>
      </c>
      <c r="T131" s="6" t="s">
        <v>1662</v>
      </c>
      <c r="U131" s="6" t="s">
        <v>217</v>
      </c>
      <c r="V131" s="6" t="s">
        <v>1663</v>
      </c>
      <c r="W131" s="6" t="str">
        <f aca="false">IF(O131="","",INDEX(Lookups!$B$2:$B$131,MATCH(O131,Lookups!$A$2:$A$131,1)))</f>
        <v>Portland</v>
      </c>
      <c r="X131" s="6" t="s">
        <v>267</v>
      </c>
      <c r="Y131" s="6" t="s">
        <v>15</v>
      </c>
      <c r="Z131" s="6" t="s">
        <v>88</v>
      </c>
      <c r="AA131" s="6" t="s">
        <v>1664</v>
      </c>
      <c r="AB131" s="6" t="s">
        <v>72</v>
      </c>
      <c r="AC131" s="6"/>
      <c r="AD131" s="6"/>
      <c r="AE131" s="6"/>
      <c r="AF131" s="6"/>
      <c r="AG131" s="6"/>
      <c r="AH131" s="6"/>
      <c r="AI131" s="6" t="s">
        <v>1665</v>
      </c>
    </row>
    <row r="132" customFormat="false" ht="15" hidden="false" customHeight="true" outlineLevel="0" collapsed="false">
      <c r="A132" s="6" t="s">
        <v>1666</v>
      </c>
      <c r="B132" s="6" t="s">
        <v>1667</v>
      </c>
      <c r="C132" s="12" t="s">
        <v>9</v>
      </c>
      <c r="D132" s="6" t="s">
        <v>88</v>
      </c>
      <c r="E132" s="6" t="s">
        <v>1655</v>
      </c>
      <c r="F132" s="6" t="s">
        <v>1656</v>
      </c>
      <c r="G132" s="6" t="s">
        <v>1176</v>
      </c>
      <c r="H132" s="6" t="s">
        <v>1668</v>
      </c>
      <c r="I132" s="6" t="s">
        <v>274</v>
      </c>
      <c r="J132" s="6"/>
      <c r="K132" s="6" t="s">
        <v>60</v>
      </c>
      <c r="L132" s="6" t="s">
        <v>61</v>
      </c>
      <c r="M132" s="6" t="s">
        <v>1669</v>
      </c>
      <c r="N132" s="6" t="s">
        <v>1670</v>
      </c>
      <c r="O132" s="8" t="s">
        <v>1671</v>
      </c>
      <c r="P132" s="6" t="n">
        <f aca="false">IF(O132="","",VALUE(LEFT(O132,4)))</f>
        <v>1798</v>
      </c>
      <c r="Q132" s="6" t="s">
        <v>1672</v>
      </c>
      <c r="R132" s="6" t="s">
        <v>1673</v>
      </c>
      <c r="S132" s="6" t="s">
        <v>447</v>
      </c>
      <c r="T132" s="6" t="s">
        <v>1674</v>
      </c>
      <c r="U132" s="6" t="s">
        <v>217</v>
      </c>
      <c r="V132" s="6" t="s">
        <v>1492</v>
      </c>
      <c r="W132" s="6" t="str">
        <f aca="false">IF(O132="","",INDEX(Lookups!$B$2:$B$132,MATCH(O132,Lookups!$A$2:$A$132,1)))</f>
        <v>Portland</v>
      </c>
      <c r="X132" s="6" t="s">
        <v>267</v>
      </c>
      <c r="Y132" s="6" t="s">
        <v>16</v>
      </c>
      <c r="Z132" s="6" t="s">
        <v>55</v>
      </c>
      <c r="AA132" s="6" t="s">
        <v>1543</v>
      </c>
      <c r="AB132" s="6" t="s">
        <v>141</v>
      </c>
      <c r="AC132" s="6"/>
      <c r="AD132" s="6"/>
      <c r="AE132" s="6"/>
      <c r="AF132" s="6"/>
      <c r="AG132" s="6"/>
      <c r="AH132" s="6"/>
      <c r="AI132" s="6" t="s">
        <v>1675</v>
      </c>
    </row>
    <row r="133" customFormat="false" ht="15" hidden="false" customHeight="true" outlineLevel="0" collapsed="false">
      <c r="A133" s="6" t="s">
        <v>1676</v>
      </c>
      <c r="B133" s="6" t="s">
        <v>1677</v>
      </c>
      <c r="C133" s="12" t="s">
        <v>9</v>
      </c>
      <c r="D133" s="6" t="s">
        <v>88</v>
      </c>
      <c r="E133" s="6" t="s">
        <v>1655</v>
      </c>
      <c r="F133" s="6" t="s">
        <v>1678</v>
      </c>
      <c r="G133" s="6" t="s">
        <v>1679</v>
      </c>
      <c r="H133" s="6" t="s">
        <v>1680</v>
      </c>
      <c r="I133" s="6" t="s">
        <v>274</v>
      </c>
      <c r="J133" s="6"/>
      <c r="K133" s="6" t="s">
        <v>60</v>
      </c>
      <c r="L133" s="6" t="s">
        <v>61</v>
      </c>
      <c r="M133" s="6" t="s">
        <v>1681</v>
      </c>
      <c r="N133" s="6" t="s">
        <v>1682</v>
      </c>
      <c r="O133" s="8" t="s">
        <v>1671</v>
      </c>
      <c r="P133" s="6" t="n">
        <f aca="false">IF(O133="","",VALUE(LEFT(O133,4)))</f>
        <v>1798</v>
      </c>
      <c r="Q133" s="6" t="s">
        <v>1683</v>
      </c>
      <c r="R133" s="6" t="s">
        <v>1683</v>
      </c>
      <c r="S133" s="6" t="s">
        <v>121</v>
      </c>
      <c r="T133" s="6" t="s">
        <v>1684</v>
      </c>
      <c r="U133" s="6" t="s">
        <v>139</v>
      </c>
      <c r="V133" s="6" t="s">
        <v>1492</v>
      </c>
      <c r="W133" s="6" t="str">
        <f aca="false">IF(O133="","",INDEX(Lookups!$B$2:$B$133,MATCH(O133,Lookups!$A$2:$A$133,1)))</f>
        <v>Portland</v>
      </c>
      <c r="X133" s="6" t="s">
        <v>124</v>
      </c>
      <c r="Y133" s="6" t="s">
        <v>16</v>
      </c>
      <c r="Z133" s="6" t="s">
        <v>55</v>
      </c>
      <c r="AA133" s="6" t="s">
        <v>1543</v>
      </c>
      <c r="AB133" s="6" t="s">
        <v>141</v>
      </c>
      <c r="AC133" s="6"/>
      <c r="AD133" s="6"/>
      <c r="AE133" s="6"/>
      <c r="AF133" s="6"/>
      <c r="AG133" s="6"/>
      <c r="AH133" s="6"/>
      <c r="AI133" s="6" t="s">
        <v>1685</v>
      </c>
    </row>
    <row r="134" customFormat="false" ht="15" hidden="false" customHeight="true" outlineLevel="0" collapsed="false">
      <c r="A134" s="6" t="s">
        <v>1686</v>
      </c>
      <c r="B134" s="6" t="s">
        <v>1687</v>
      </c>
      <c r="C134" s="9" t="s">
        <v>5</v>
      </c>
      <c r="D134" s="6" t="s">
        <v>88</v>
      </c>
      <c r="E134" s="6" t="s">
        <v>1655</v>
      </c>
      <c r="F134" s="6" t="s">
        <v>1656</v>
      </c>
      <c r="G134" s="6" t="s">
        <v>1688</v>
      </c>
      <c r="H134" s="6" t="s">
        <v>1689</v>
      </c>
      <c r="I134" s="6" t="s">
        <v>274</v>
      </c>
      <c r="J134" s="6"/>
      <c r="K134" s="6" t="s">
        <v>60</v>
      </c>
      <c r="L134" s="6" t="s">
        <v>61</v>
      </c>
      <c r="M134" s="6" t="s">
        <v>1690</v>
      </c>
      <c r="N134" s="6" t="s">
        <v>1691</v>
      </c>
      <c r="O134" s="8" t="s">
        <v>1692</v>
      </c>
      <c r="P134" s="6" t="n">
        <f aca="false">IF(O134="","",VALUE(LEFT(O134,4)))</f>
        <v>1798</v>
      </c>
      <c r="Q134" s="6" t="s">
        <v>1693</v>
      </c>
      <c r="R134" s="6" t="s">
        <v>1694</v>
      </c>
      <c r="S134" s="6" t="s">
        <v>813</v>
      </c>
      <c r="T134" s="6" t="s">
        <v>1695</v>
      </c>
      <c r="U134" s="6" t="s">
        <v>815</v>
      </c>
      <c r="V134" s="6" t="s">
        <v>1663</v>
      </c>
      <c r="W134" s="6" t="str">
        <f aca="false">IF(O134="","",INDEX(Lookups!$B$2:$B$134,MATCH(O134,Lookups!$A$2:$A$134,1)))</f>
        <v>Portland</v>
      </c>
      <c r="X134" s="6" t="s">
        <v>124</v>
      </c>
      <c r="Y134" s="6" t="s">
        <v>16</v>
      </c>
      <c r="Z134" s="6" t="s">
        <v>55</v>
      </c>
      <c r="AA134" s="6" t="s">
        <v>1696</v>
      </c>
      <c r="AB134" s="6" t="s">
        <v>72</v>
      </c>
      <c r="AC134" s="6"/>
      <c r="AD134" s="6"/>
      <c r="AE134" s="6"/>
      <c r="AF134" s="6"/>
      <c r="AG134" s="6"/>
      <c r="AH134" s="6"/>
      <c r="AI134" s="6" t="s">
        <v>1697</v>
      </c>
    </row>
    <row r="135" customFormat="false" ht="15" hidden="false" customHeight="true" outlineLevel="0" collapsed="false">
      <c r="A135" s="6" t="s">
        <v>1698</v>
      </c>
      <c r="B135" s="6" t="s">
        <v>1619</v>
      </c>
      <c r="C135" s="7" t="s">
        <v>4</v>
      </c>
      <c r="D135" s="6" t="s">
        <v>88</v>
      </c>
      <c r="E135" s="6" t="s">
        <v>1655</v>
      </c>
      <c r="F135" s="6" t="s">
        <v>1656</v>
      </c>
      <c r="G135" s="6" t="s">
        <v>1372</v>
      </c>
      <c r="H135" s="6" t="s">
        <v>1699</v>
      </c>
      <c r="I135" s="6" t="s">
        <v>274</v>
      </c>
      <c r="J135" s="6"/>
      <c r="K135" s="6" t="s">
        <v>60</v>
      </c>
      <c r="L135" s="6" t="s">
        <v>61</v>
      </c>
      <c r="M135" s="6" t="s">
        <v>1700</v>
      </c>
      <c r="N135" s="6" t="s">
        <v>1701</v>
      </c>
      <c r="O135" s="8" t="s">
        <v>1702</v>
      </c>
      <c r="P135" s="6" t="n">
        <f aca="false">IF(O135="","",VALUE(LEFT(O135,4)))</f>
        <v>1798</v>
      </c>
      <c r="Q135" s="6" t="s">
        <v>1626</v>
      </c>
      <c r="R135" s="6" t="s">
        <v>1627</v>
      </c>
      <c r="S135" s="6" t="s">
        <v>1628</v>
      </c>
      <c r="T135" s="6" t="s">
        <v>1629</v>
      </c>
      <c r="U135" s="6" t="s">
        <v>279</v>
      </c>
      <c r="V135" s="6" t="s">
        <v>1492</v>
      </c>
      <c r="W135" s="6" t="str">
        <f aca="false">IF(O135="","",INDEX(Lookups!$B$2:$B$135,MATCH(O135,Lookups!$A$2:$A$135,1)))</f>
        <v>Portland</v>
      </c>
      <c r="X135" s="6" t="s">
        <v>124</v>
      </c>
      <c r="Y135" s="6" t="s">
        <v>14</v>
      </c>
      <c r="Z135" s="6" t="s">
        <v>88</v>
      </c>
      <c r="AA135" s="6" t="s">
        <v>1703</v>
      </c>
      <c r="AB135" s="6" t="s">
        <v>72</v>
      </c>
      <c r="AC135" s="6"/>
      <c r="AD135" s="6"/>
      <c r="AE135" s="6"/>
      <c r="AF135" s="6"/>
      <c r="AG135" s="6"/>
      <c r="AH135" s="6"/>
      <c r="AI135" s="6" t="s">
        <v>1704</v>
      </c>
    </row>
    <row r="136" customFormat="false" ht="15" hidden="false" customHeight="true" outlineLevel="0" collapsed="false">
      <c r="A136" s="6" t="s">
        <v>1705</v>
      </c>
      <c r="B136" s="6" t="s">
        <v>1619</v>
      </c>
      <c r="C136" s="7" t="s">
        <v>4</v>
      </c>
      <c r="D136" s="6" t="s">
        <v>88</v>
      </c>
      <c r="E136" s="6" t="s">
        <v>1655</v>
      </c>
      <c r="F136" s="6" t="s">
        <v>1706</v>
      </c>
      <c r="G136" s="6" t="s">
        <v>1707</v>
      </c>
      <c r="H136" s="6" t="s">
        <v>1708</v>
      </c>
      <c r="I136" s="6" t="s">
        <v>274</v>
      </c>
      <c r="J136" s="6"/>
      <c r="K136" s="6" t="s">
        <v>60</v>
      </c>
      <c r="L136" s="6" t="s">
        <v>61</v>
      </c>
      <c r="M136" s="6" t="s">
        <v>1709</v>
      </c>
      <c r="N136" s="6" t="s">
        <v>1710</v>
      </c>
      <c r="O136" s="8" t="s">
        <v>1711</v>
      </c>
      <c r="P136" s="6" t="n">
        <f aca="false">IF(O136="","",VALUE(LEFT(O136,4)))</f>
        <v>1798</v>
      </c>
      <c r="Q136" s="6" t="s">
        <v>1712</v>
      </c>
      <c r="R136" s="6" t="s">
        <v>1627</v>
      </c>
      <c r="S136" s="6" t="s">
        <v>1628</v>
      </c>
      <c r="T136" s="6" t="s">
        <v>1629</v>
      </c>
      <c r="U136" s="6" t="s">
        <v>279</v>
      </c>
      <c r="V136" s="6" t="s">
        <v>1492</v>
      </c>
      <c r="W136" s="6" t="str">
        <f aca="false">IF(O136="","",INDEX(Lookups!$B$2:$B$136,MATCH(O136,Lookups!$A$2:$A$136,1)))</f>
        <v>Portland</v>
      </c>
      <c r="X136" s="6" t="s">
        <v>124</v>
      </c>
      <c r="Y136" s="6" t="s">
        <v>14</v>
      </c>
      <c r="Z136" s="6" t="s">
        <v>88</v>
      </c>
      <c r="AA136" s="6" t="s">
        <v>1713</v>
      </c>
      <c r="AB136" s="6" t="s">
        <v>88</v>
      </c>
      <c r="AC136" s="6"/>
      <c r="AD136" s="6"/>
      <c r="AE136" s="6"/>
      <c r="AF136" s="6"/>
      <c r="AG136" s="6"/>
      <c r="AH136" s="6"/>
      <c r="AI136" s="6" t="s">
        <v>1714</v>
      </c>
    </row>
    <row r="137" customFormat="false" ht="15" hidden="false" customHeight="true" outlineLevel="0" collapsed="false">
      <c r="A137" s="6" t="s">
        <v>1715</v>
      </c>
      <c r="B137" s="6" t="s">
        <v>1716</v>
      </c>
      <c r="C137" s="11" t="s">
        <v>8</v>
      </c>
      <c r="D137" s="6" t="s">
        <v>88</v>
      </c>
      <c r="E137" s="6" t="s">
        <v>1655</v>
      </c>
      <c r="F137" s="6" t="s">
        <v>1706</v>
      </c>
      <c r="G137" s="6" t="s">
        <v>766</v>
      </c>
      <c r="H137" s="6" t="s">
        <v>1717</v>
      </c>
      <c r="I137" s="6" t="s">
        <v>274</v>
      </c>
      <c r="J137" s="6"/>
      <c r="K137" s="6" t="s">
        <v>60</v>
      </c>
      <c r="L137" s="6" t="s">
        <v>61</v>
      </c>
      <c r="M137" s="6" t="s">
        <v>1718</v>
      </c>
      <c r="N137" s="6" t="s">
        <v>1719</v>
      </c>
      <c r="O137" s="8" t="s">
        <v>1720</v>
      </c>
      <c r="P137" s="6" t="n">
        <f aca="false">IF(O137="","",VALUE(LEFT(O137,4)))</f>
        <v>1798</v>
      </c>
      <c r="Q137" s="6" t="s">
        <v>1721</v>
      </c>
      <c r="R137" s="6" t="s">
        <v>265</v>
      </c>
      <c r="S137" s="6" t="s">
        <v>241</v>
      </c>
      <c r="T137" s="6" t="s">
        <v>1722</v>
      </c>
      <c r="U137" s="6" t="s">
        <v>217</v>
      </c>
      <c r="V137" s="6" t="s">
        <v>1723</v>
      </c>
      <c r="W137" s="6" t="str">
        <f aca="false">IF(O137="","",INDEX(Lookups!$B$2:$B$137,MATCH(O137,Lookups!$A$2:$A$137,1)))</f>
        <v>Portland</v>
      </c>
      <c r="X137" s="6" t="s">
        <v>267</v>
      </c>
      <c r="Y137" s="6" t="s">
        <v>16</v>
      </c>
      <c r="Z137" s="6" t="s">
        <v>72</v>
      </c>
      <c r="AA137" s="6" t="s">
        <v>1543</v>
      </c>
      <c r="AB137" s="6" t="s">
        <v>72</v>
      </c>
      <c r="AC137" s="6"/>
      <c r="AD137" s="6"/>
      <c r="AE137" s="6"/>
      <c r="AF137" s="6"/>
      <c r="AG137" s="6"/>
      <c r="AH137" s="6"/>
      <c r="AI137" s="6" t="s">
        <v>1724</v>
      </c>
    </row>
    <row r="138" customFormat="false" ht="15" hidden="false" customHeight="true" outlineLevel="0" collapsed="false">
      <c r="A138" s="6" t="s">
        <v>1725</v>
      </c>
      <c r="B138" s="6" t="s">
        <v>1726</v>
      </c>
      <c r="C138" s="12" t="s">
        <v>9</v>
      </c>
      <c r="D138" s="6" t="s">
        <v>88</v>
      </c>
      <c r="E138" s="6" t="s">
        <v>1655</v>
      </c>
      <c r="F138" s="6" t="s">
        <v>1706</v>
      </c>
      <c r="G138" s="6" t="s">
        <v>1610</v>
      </c>
      <c r="H138" s="6" t="s">
        <v>1727</v>
      </c>
      <c r="I138" s="6" t="s">
        <v>274</v>
      </c>
      <c r="J138" s="6"/>
      <c r="K138" s="6" t="s">
        <v>60</v>
      </c>
      <c r="L138" s="6" t="s">
        <v>61</v>
      </c>
      <c r="M138" s="6" t="s">
        <v>1728</v>
      </c>
      <c r="N138" s="6" t="s">
        <v>1729</v>
      </c>
      <c r="O138" s="8" t="s">
        <v>1730</v>
      </c>
      <c r="P138" s="6" t="n">
        <f aca="false">IF(O138="","",VALUE(LEFT(O138,4)))</f>
        <v>1798</v>
      </c>
      <c r="Q138" s="6" t="s">
        <v>1731</v>
      </c>
      <c r="R138" s="6" t="s">
        <v>1731</v>
      </c>
      <c r="S138" s="6" t="s">
        <v>241</v>
      </c>
      <c r="T138" s="6" t="s">
        <v>1732</v>
      </c>
      <c r="U138" s="6" t="s">
        <v>139</v>
      </c>
      <c r="V138" s="6" t="s">
        <v>1733</v>
      </c>
      <c r="W138" s="6" t="str">
        <f aca="false">IF(O138="","",INDEX(Lookups!$B$2:$B$138,MATCH(O138,Lookups!$A$2:$A$138,1)))</f>
        <v>Portland</v>
      </c>
      <c r="X138" s="6" t="s">
        <v>267</v>
      </c>
      <c r="Y138" s="6" t="s">
        <v>16</v>
      </c>
      <c r="Z138" s="6" t="s">
        <v>55</v>
      </c>
      <c r="AA138" s="6" t="s">
        <v>1734</v>
      </c>
      <c r="AB138" s="6" t="s">
        <v>141</v>
      </c>
      <c r="AC138" s="6"/>
      <c r="AD138" s="6"/>
      <c r="AE138" s="6"/>
      <c r="AF138" s="6"/>
      <c r="AG138" s="6"/>
      <c r="AH138" s="6"/>
      <c r="AI138" s="6" t="s">
        <v>1735</v>
      </c>
    </row>
    <row r="139" customFormat="false" ht="15" hidden="false" customHeight="true" outlineLevel="0" collapsed="false">
      <c r="A139" s="6" t="s">
        <v>1736</v>
      </c>
      <c r="B139" s="6" t="s">
        <v>1737</v>
      </c>
      <c r="C139" s="11" t="s">
        <v>8</v>
      </c>
      <c r="D139" s="6" t="s">
        <v>88</v>
      </c>
      <c r="E139" s="6" t="s">
        <v>1655</v>
      </c>
      <c r="F139" s="6" t="s">
        <v>1678</v>
      </c>
      <c r="G139" s="6" t="s">
        <v>1738</v>
      </c>
      <c r="H139" s="6" t="s">
        <v>1739</v>
      </c>
      <c r="I139" s="6" t="s">
        <v>274</v>
      </c>
      <c r="J139" s="6"/>
      <c r="K139" s="6" t="s">
        <v>60</v>
      </c>
      <c r="L139" s="6" t="s">
        <v>61</v>
      </c>
      <c r="M139" s="6" t="s">
        <v>1740</v>
      </c>
      <c r="N139" s="6" t="s">
        <v>1741</v>
      </c>
      <c r="O139" s="8" t="s">
        <v>1742</v>
      </c>
      <c r="P139" s="6" t="n">
        <f aca="false">IF(O139="","",VALUE(LEFT(O139,4)))</f>
        <v>1798</v>
      </c>
      <c r="Q139" s="6" t="s">
        <v>1743</v>
      </c>
      <c r="R139" s="6" t="s">
        <v>1744</v>
      </c>
      <c r="S139" s="6" t="s">
        <v>121</v>
      </c>
      <c r="T139" s="6" t="s">
        <v>1745</v>
      </c>
      <c r="U139" s="6" t="s">
        <v>815</v>
      </c>
      <c r="V139" s="6" t="s">
        <v>1663</v>
      </c>
      <c r="W139" s="6" t="str">
        <f aca="false">IF(O139="","",INDEX(Lookups!$B$2:$B$139,MATCH(O139,Lookups!$A$2:$A$139,1)))</f>
        <v>Portland</v>
      </c>
      <c r="X139" s="6" t="s">
        <v>124</v>
      </c>
      <c r="Y139" s="6" t="s">
        <v>16</v>
      </c>
      <c r="Z139" s="6" t="s">
        <v>55</v>
      </c>
      <c r="AA139" s="6" t="s">
        <v>1746</v>
      </c>
      <c r="AB139" s="6" t="s">
        <v>72</v>
      </c>
      <c r="AC139" s="6"/>
      <c r="AD139" s="6"/>
      <c r="AE139" s="6"/>
      <c r="AF139" s="6"/>
      <c r="AG139" s="6"/>
      <c r="AH139" s="6"/>
      <c r="AI139" s="6" t="s">
        <v>1747</v>
      </c>
    </row>
    <row r="140" customFormat="false" ht="15" hidden="false" customHeight="true" outlineLevel="0" collapsed="false">
      <c r="A140" s="6" t="s">
        <v>1748</v>
      </c>
      <c r="B140" s="6" t="s">
        <v>1749</v>
      </c>
      <c r="C140" s="12" t="s">
        <v>9</v>
      </c>
      <c r="D140" s="6" t="s">
        <v>88</v>
      </c>
      <c r="E140" s="6" t="s">
        <v>1533</v>
      </c>
      <c r="F140" s="6" t="s">
        <v>1750</v>
      </c>
      <c r="G140" s="6" t="s">
        <v>1751</v>
      </c>
      <c r="H140" s="6" t="s">
        <v>1752</v>
      </c>
      <c r="I140" s="6" t="s">
        <v>274</v>
      </c>
      <c r="J140" s="6"/>
      <c r="K140" s="6" t="s">
        <v>60</v>
      </c>
      <c r="L140" s="6" t="s">
        <v>61</v>
      </c>
      <c r="M140" s="6" t="s">
        <v>1753</v>
      </c>
      <c r="N140" s="6" t="s">
        <v>1754</v>
      </c>
      <c r="O140" s="8" t="s">
        <v>1755</v>
      </c>
      <c r="P140" s="6" t="n">
        <f aca="false">IF(O140="","",VALUE(LEFT(O140,4)))</f>
        <v>1798</v>
      </c>
      <c r="Q140" s="6" t="s">
        <v>1756</v>
      </c>
      <c r="R140" s="6" t="s">
        <v>1757</v>
      </c>
      <c r="S140" s="6" t="s">
        <v>553</v>
      </c>
      <c r="T140" s="6" t="s">
        <v>1758</v>
      </c>
      <c r="U140" s="6" t="s">
        <v>85</v>
      </c>
      <c r="V140" s="6" t="s">
        <v>1663</v>
      </c>
      <c r="W140" s="6" t="str">
        <f aca="false">IF(O140="","",INDEX(Lookups!$B$2:$B$140,MATCH(O140,Lookups!$A$2:$A$140,1)))</f>
        <v>Portland</v>
      </c>
      <c r="X140" s="6" t="s">
        <v>267</v>
      </c>
      <c r="Y140" s="6" t="s">
        <v>16</v>
      </c>
      <c r="Z140" s="6" t="s">
        <v>55</v>
      </c>
      <c r="AA140" s="6" t="s">
        <v>1543</v>
      </c>
      <c r="AB140" s="6" t="s">
        <v>72</v>
      </c>
      <c r="AC140" s="6"/>
      <c r="AD140" s="6"/>
      <c r="AE140" s="6"/>
      <c r="AF140" s="6"/>
      <c r="AG140" s="6"/>
      <c r="AH140" s="6"/>
      <c r="AI140" s="6" t="s">
        <v>1759</v>
      </c>
    </row>
    <row r="141" customFormat="false" ht="15" hidden="false" customHeight="true" outlineLevel="0" collapsed="false">
      <c r="A141" s="6" t="s">
        <v>1760</v>
      </c>
      <c r="B141" s="6" t="s">
        <v>1761</v>
      </c>
      <c r="C141" s="12" t="s">
        <v>9</v>
      </c>
      <c r="D141" s="6" t="s">
        <v>88</v>
      </c>
      <c r="E141" s="6" t="s">
        <v>1533</v>
      </c>
      <c r="F141" s="6" t="s">
        <v>1762</v>
      </c>
      <c r="G141" s="6" t="s">
        <v>1763</v>
      </c>
      <c r="H141" s="6" t="s">
        <v>1764</v>
      </c>
      <c r="I141" s="6" t="s">
        <v>274</v>
      </c>
      <c r="J141" s="6"/>
      <c r="K141" s="6" t="s">
        <v>60</v>
      </c>
      <c r="L141" s="6" t="s">
        <v>61</v>
      </c>
      <c r="M141" s="6" t="s">
        <v>1765</v>
      </c>
      <c r="N141" s="6" t="s">
        <v>1766</v>
      </c>
      <c r="O141" s="8" t="s">
        <v>1767</v>
      </c>
      <c r="P141" s="6" t="n">
        <f aca="false">IF(O141="","",VALUE(LEFT(O141,4)))</f>
        <v>1798</v>
      </c>
      <c r="Q141" s="6" t="s">
        <v>1768</v>
      </c>
      <c r="R141" s="6" t="s">
        <v>195</v>
      </c>
      <c r="S141" s="6" t="s">
        <v>196</v>
      </c>
      <c r="T141" s="6" t="s">
        <v>1769</v>
      </c>
      <c r="U141" s="6" t="s">
        <v>815</v>
      </c>
      <c r="V141" s="6" t="s">
        <v>1663</v>
      </c>
      <c r="W141" s="6" t="str">
        <f aca="false">IF(O141="","",INDEX(Lookups!$B$2:$B$141,MATCH(O141,Lookups!$A$2:$A$141,1)))</f>
        <v>Portland</v>
      </c>
      <c r="X141" s="6" t="s">
        <v>267</v>
      </c>
      <c r="Y141" s="6" t="s">
        <v>16</v>
      </c>
      <c r="Z141" s="6" t="s">
        <v>55</v>
      </c>
      <c r="AA141" s="6" t="s">
        <v>1543</v>
      </c>
      <c r="AB141" s="6" t="s">
        <v>72</v>
      </c>
      <c r="AC141" s="6" t="s">
        <v>1770</v>
      </c>
      <c r="AD141" s="6" t="s">
        <v>106</v>
      </c>
      <c r="AE141" s="6" t="s">
        <v>1771</v>
      </c>
      <c r="AF141" s="6"/>
      <c r="AG141" s="6" t="s">
        <v>1772</v>
      </c>
      <c r="AH141" s="6"/>
      <c r="AI141" s="6" t="s">
        <v>1773</v>
      </c>
    </row>
    <row r="142" customFormat="false" ht="15" hidden="false" customHeight="true" outlineLevel="0" collapsed="false">
      <c r="A142" s="6" t="s">
        <v>1774</v>
      </c>
      <c r="B142" s="6" t="s">
        <v>1775</v>
      </c>
      <c r="C142" s="9" t="s">
        <v>6</v>
      </c>
      <c r="D142" s="6" t="s">
        <v>88</v>
      </c>
      <c r="E142" s="6" t="s">
        <v>1533</v>
      </c>
      <c r="F142" s="6" t="s">
        <v>1750</v>
      </c>
      <c r="G142" s="6" t="s">
        <v>1776</v>
      </c>
      <c r="H142" s="6" t="s">
        <v>1777</v>
      </c>
      <c r="I142" s="6" t="s">
        <v>274</v>
      </c>
      <c r="J142" s="6"/>
      <c r="K142" s="6" t="s">
        <v>60</v>
      </c>
      <c r="L142" s="6" t="s">
        <v>61</v>
      </c>
      <c r="M142" s="6" t="s">
        <v>1778</v>
      </c>
      <c r="N142" s="6" t="s">
        <v>1779</v>
      </c>
      <c r="O142" s="8" t="s">
        <v>1780</v>
      </c>
      <c r="P142" s="6" t="n">
        <f aca="false">IF(O142="","",VALUE(LEFT(O142,4)))</f>
        <v>1798</v>
      </c>
      <c r="Q142" s="6" t="s">
        <v>1781</v>
      </c>
      <c r="R142" s="6" t="s">
        <v>1781</v>
      </c>
      <c r="S142" s="6" t="s">
        <v>1782</v>
      </c>
      <c r="T142" s="6" t="s">
        <v>1783</v>
      </c>
      <c r="U142" s="6" t="s">
        <v>815</v>
      </c>
      <c r="V142" s="6" t="s">
        <v>1663</v>
      </c>
      <c r="W142" s="6" t="str">
        <f aca="false">IF(O142="","",INDEX(Lookups!$B$2:$B$142,MATCH(O142,Lookups!$A$2:$A$142,1)))</f>
        <v>Portland</v>
      </c>
      <c r="X142" s="6" t="s">
        <v>124</v>
      </c>
      <c r="Y142" s="6" t="s">
        <v>16</v>
      </c>
      <c r="Z142" s="6" t="s">
        <v>72</v>
      </c>
      <c r="AA142" s="6" t="s">
        <v>1784</v>
      </c>
      <c r="AB142" s="6" t="s">
        <v>72</v>
      </c>
      <c r="AC142" s="6"/>
      <c r="AD142" s="6"/>
      <c r="AE142" s="6"/>
      <c r="AF142" s="6"/>
      <c r="AG142" s="6"/>
      <c r="AH142" s="6"/>
      <c r="AI142" s="6" t="s">
        <v>1785</v>
      </c>
    </row>
    <row r="143" customFormat="false" ht="15" hidden="false" customHeight="true" outlineLevel="0" collapsed="false">
      <c r="A143" s="6" t="s">
        <v>1786</v>
      </c>
      <c r="B143" s="6" t="s">
        <v>1787</v>
      </c>
      <c r="C143" s="10" t="s">
        <v>7</v>
      </c>
      <c r="D143" s="6" t="s">
        <v>88</v>
      </c>
      <c r="E143" s="6" t="s">
        <v>1533</v>
      </c>
      <c r="F143" s="6" t="s">
        <v>1750</v>
      </c>
      <c r="G143" s="6" t="s">
        <v>537</v>
      </c>
      <c r="H143" s="6" t="s">
        <v>1788</v>
      </c>
      <c r="I143" s="6" t="s">
        <v>274</v>
      </c>
      <c r="J143" s="6"/>
      <c r="K143" s="6" t="s">
        <v>60</v>
      </c>
      <c r="L143" s="6" t="s">
        <v>61</v>
      </c>
      <c r="M143" s="6" t="s">
        <v>1789</v>
      </c>
      <c r="N143" s="6" t="s">
        <v>1790</v>
      </c>
      <c r="O143" s="8" t="s">
        <v>1791</v>
      </c>
      <c r="P143" s="6" t="n">
        <f aca="false">IF(O143="","",VALUE(LEFT(O143,4)))</f>
        <v>1798</v>
      </c>
      <c r="Q143" s="6" t="s">
        <v>1792</v>
      </c>
      <c r="R143" s="6" t="s">
        <v>1792</v>
      </c>
      <c r="S143" s="6" t="s">
        <v>172</v>
      </c>
      <c r="T143" s="6" t="s">
        <v>1793</v>
      </c>
      <c r="U143" s="6" t="s">
        <v>217</v>
      </c>
      <c r="V143" s="6" t="s">
        <v>1492</v>
      </c>
      <c r="W143" s="6" t="str">
        <f aca="false">IF(O143="","",INDEX(Lookups!$B$2:$B$143,MATCH(O143,Lookups!$A$2:$A$143,1)))</f>
        <v>Portland</v>
      </c>
      <c r="X143" s="6" t="s">
        <v>124</v>
      </c>
      <c r="Y143" s="6" t="s">
        <v>14</v>
      </c>
      <c r="Z143" s="6" t="s">
        <v>72</v>
      </c>
      <c r="AA143" s="6" t="s">
        <v>1794</v>
      </c>
      <c r="AB143" s="6" t="s">
        <v>72</v>
      </c>
      <c r="AC143" s="6"/>
      <c r="AD143" s="6"/>
      <c r="AE143" s="6"/>
      <c r="AF143" s="6"/>
      <c r="AG143" s="6"/>
      <c r="AH143" s="6"/>
      <c r="AI143" s="6" t="s">
        <v>1795</v>
      </c>
    </row>
    <row r="144" customFormat="false" ht="15" hidden="false" customHeight="true" outlineLevel="0" collapsed="false">
      <c r="A144" s="6" t="s">
        <v>1796</v>
      </c>
      <c r="B144" s="6" t="s">
        <v>1797</v>
      </c>
      <c r="C144" s="12" t="s">
        <v>9</v>
      </c>
      <c r="D144" s="6" t="s">
        <v>88</v>
      </c>
      <c r="E144" s="6" t="s">
        <v>1798</v>
      </c>
      <c r="F144" s="6" t="s">
        <v>1799</v>
      </c>
      <c r="G144" s="6" t="s">
        <v>1800</v>
      </c>
      <c r="H144" s="6" t="s">
        <v>1801</v>
      </c>
      <c r="I144" s="6" t="s">
        <v>274</v>
      </c>
      <c r="J144" s="6"/>
      <c r="K144" s="6" t="s">
        <v>60</v>
      </c>
      <c r="L144" s="6" t="s">
        <v>61</v>
      </c>
      <c r="M144" s="6" t="s">
        <v>1802</v>
      </c>
      <c r="N144" s="6" t="s">
        <v>1803</v>
      </c>
      <c r="O144" s="8" t="s">
        <v>1804</v>
      </c>
      <c r="P144" s="6" t="n">
        <f aca="false">IF(O144="","",VALUE(LEFT(O144,4)))</f>
        <v>1800</v>
      </c>
      <c r="Q144" s="6" t="s">
        <v>1805</v>
      </c>
      <c r="R144" s="6" t="s">
        <v>1805</v>
      </c>
      <c r="S144" s="6" t="s">
        <v>252</v>
      </c>
      <c r="T144" s="6" t="s">
        <v>1806</v>
      </c>
      <c r="U144" s="6" t="s">
        <v>85</v>
      </c>
      <c r="V144" s="6" t="s">
        <v>1807</v>
      </c>
      <c r="W144" s="6" t="str">
        <f aca="false">IF(O144="","",INDEX(Lookups!$B$2:$B$144,MATCH(O144,Lookups!$A$2:$A$144,1)))</f>
        <v>Portland</v>
      </c>
      <c r="X144" s="6" t="s">
        <v>103</v>
      </c>
      <c r="Y144" s="6" t="s">
        <v>16</v>
      </c>
      <c r="Z144" s="6" t="s">
        <v>55</v>
      </c>
      <c r="AA144" s="6" t="s">
        <v>1808</v>
      </c>
      <c r="AB144" s="6" t="s">
        <v>141</v>
      </c>
      <c r="AC144" s="6"/>
      <c r="AD144" s="6"/>
      <c r="AE144" s="6"/>
      <c r="AF144" s="6"/>
      <c r="AG144" s="6"/>
      <c r="AH144" s="6"/>
      <c r="AI144" s="6" t="s">
        <v>1809</v>
      </c>
    </row>
    <row r="145" customFormat="false" ht="15" hidden="false" customHeight="true" outlineLevel="0" collapsed="false">
      <c r="A145" s="6" t="s">
        <v>1810</v>
      </c>
      <c r="B145" s="6" t="s">
        <v>1811</v>
      </c>
      <c r="C145" s="7" t="s">
        <v>4</v>
      </c>
      <c r="D145" s="6" t="s">
        <v>88</v>
      </c>
      <c r="E145" s="6" t="s">
        <v>1798</v>
      </c>
      <c r="F145" s="6" t="s">
        <v>1812</v>
      </c>
      <c r="G145" s="6" t="s">
        <v>1243</v>
      </c>
      <c r="H145" s="6" t="s">
        <v>1813</v>
      </c>
      <c r="I145" s="6" t="s">
        <v>274</v>
      </c>
      <c r="J145" s="6"/>
      <c r="K145" s="6" t="s">
        <v>60</v>
      </c>
      <c r="L145" s="6" t="s">
        <v>61</v>
      </c>
      <c r="M145" s="6" t="s">
        <v>1814</v>
      </c>
      <c r="N145" s="6" t="s">
        <v>1815</v>
      </c>
      <c r="O145" s="8" t="s">
        <v>1816</v>
      </c>
      <c r="P145" s="6" t="n">
        <f aca="false">IF(O145="","",VALUE(LEFT(O145,4)))</f>
        <v>1800</v>
      </c>
      <c r="Q145" s="6" t="s">
        <v>1817</v>
      </c>
      <c r="R145" s="6" t="s">
        <v>1817</v>
      </c>
      <c r="S145" s="6" t="s">
        <v>1132</v>
      </c>
      <c r="T145" s="6" t="s">
        <v>1818</v>
      </c>
      <c r="U145" s="6" t="s">
        <v>139</v>
      </c>
      <c r="V145" s="6" t="s">
        <v>1505</v>
      </c>
      <c r="W145" s="6" t="str">
        <f aca="false">IF(O145="","",INDEX(Lookups!$B$2:$B$145,MATCH(O145,Lookups!$A$2:$A$145,1)))</f>
        <v>Portland</v>
      </c>
      <c r="X145" s="6" t="s">
        <v>103</v>
      </c>
      <c r="Y145" s="6" t="s">
        <v>14</v>
      </c>
      <c r="Z145" s="6" t="s">
        <v>55</v>
      </c>
      <c r="AA145" s="6" t="s">
        <v>1819</v>
      </c>
      <c r="AB145" s="6" t="s">
        <v>141</v>
      </c>
      <c r="AC145" s="6"/>
      <c r="AD145" s="6"/>
      <c r="AE145" s="6"/>
      <c r="AF145" s="6"/>
      <c r="AG145" s="6"/>
      <c r="AH145" s="6"/>
      <c r="AI145" s="6" t="s">
        <v>1820</v>
      </c>
    </row>
    <row r="146" customFormat="false" ht="15" hidden="false" customHeight="true" outlineLevel="0" collapsed="false">
      <c r="A146" s="6" t="s">
        <v>1821</v>
      </c>
      <c r="B146" s="6" t="s">
        <v>1822</v>
      </c>
      <c r="C146" s="7" t="s">
        <v>4</v>
      </c>
      <c r="D146" s="6" t="s">
        <v>88</v>
      </c>
      <c r="E146" s="6" t="s">
        <v>1798</v>
      </c>
      <c r="F146" s="6" t="s">
        <v>1823</v>
      </c>
      <c r="G146" s="6" t="s">
        <v>1824</v>
      </c>
      <c r="H146" s="6" t="s">
        <v>1825</v>
      </c>
      <c r="I146" s="6" t="s">
        <v>274</v>
      </c>
      <c r="J146" s="6"/>
      <c r="K146" s="6" t="s">
        <v>60</v>
      </c>
      <c r="L146" s="6" t="s">
        <v>61</v>
      </c>
      <c r="M146" s="6" t="s">
        <v>1826</v>
      </c>
      <c r="N146" s="6" t="s">
        <v>1827</v>
      </c>
      <c r="O146" s="8" t="s">
        <v>1828</v>
      </c>
      <c r="P146" s="6" t="n">
        <f aca="false">IF(O146="","",VALUE(LEFT(O146,4)))</f>
        <v>1800</v>
      </c>
      <c r="Q146" s="6" t="s">
        <v>1829</v>
      </c>
      <c r="R146" s="6" t="s">
        <v>1829</v>
      </c>
      <c r="S146" s="6" t="s">
        <v>101</v>
      </c>
      <c r="T146" s="6" t="s">
        <v>1830</v>
      </c>
      <c r="U146" s="6" t="s">
        <v>279</v>
      </c>
      <c r="V146" s="6" t="s">
        <v>1831</v>
      </c>
      <c r="W146" s="6" t="str">
        <f aca="false">IF(O146="","",INDEX(Lookups!$B$2:$B$146,MATCH(O146,Lookups!$A$2:$A$146,1)))</f>
        <v>Portland</v>
      </c>
      <c r="X146" s="6" t="s">
        <v>140</v>
      </c>
      <c r="Y146" s="6" t="s">
        <v>14</v>
      </c>
      <c r="Z146" s="6" t="s">
        <v>72</v>
      </c>
      <c r="AA146" s="6" t="s">
        <v>1832</v>
      </c>
      <c r="AB146" s="6" t="s">
        <v>88</v>
      </c>
      <c r="AC146" s="6"/>
      <c r="AD146" s="6"/>
      <c r="AE146" s="6"/>
      <c r="AF146" s="6"/>
      <c r="AG146" s="6"/>
      <c r="AH146" s="6"/>
      <c r="AI146" s="6" t="s">
        <v>1833</v>
      </c>
    </row>
    <row r="147" customFormat="false" ht="15" hidden="false" customHeight="true" outlineLevel="0" collapsed="false">
      <c r="A147" s="6" t="s">
        <v>1834</v>
      </c>
      <c r="B147" s="6" t="s">
        <v>1835</v>
      </c>
      <c r="C147" s="12" t="s">
        <v>9</v>
      </c>
      <c r="D147" s="6" t="s">
        <v>88</v>
      </c>
      <c r="E147" s="6" t="s">
        <v>1798</v>
      </c>
      <c r="F147" s="6" t="s">
        <v>1836</v>
      </c>
      <c r="G147" s="6" t="s">
        <v>1837</v>
      </c>
      <c r="H147" s="6" t="s">
        <v>1838</v>
      </c>
      <c r="I147" s="6" t="s">
        <v>274</v>
      </c>
      <c r="J147" s="6"/>
      <c r="K147" s="6" t="s">
        <v>60</v>
      </c>
      <c r="L147" s="6" t="s">
        <v>61</v>
      </c>
      <c r="M147" s="6" t="s">
        <v>1839</v>
      </c>
      <c r="N147" s="6" t="s">
        <v>1840</v>
      </c>
      <c r="O147" s="8" t="s">
        <v>1841</v>
      </c>
      <c r="P147" s="6" t="n">
        <f aca="false">IF(O147="","",VALUE(LEFT(O147,4)))</f>
        <v>1800</v>
      </c>
      <c r="Q147" s="6" t="s">
        <v>1842</v>
      </c>
      <c r="R147" s="6" t="s">
        <v>1843</v>
      </c>
      <c r="S147" s="6" t="s">
        <v>358</v>
      </c>
      <c r="T147" s="6" t="s">
        <v>1844</v>
      </c>
      <c r="U147" s="6" t="s">
        <v>139</v>
      </c>
      <c r="V147" s="6" t="s">
        <v>1845</v>
      </c>
      <c r="W147" s="6" t="str">
        <f aca="false">IF(O147="","",INDEX(Lookups!$B$2:$B$147,MATCH(O147,Lookups!$A$2:$A$147,1)))</f>
        <v>Portland</v>
      </c>
      <c r="X147" s="6" t="s">
        <v>103</v>
      </c>
      <c r="Y147" s="6" t="s">
        <v>16</v>
      </c>
      <c r="Z147" s="6" t="s">
        <v>72</v>
      </c>
      <c r="AA147" s="6" t="s">
        <v>1846</v>
      </c>
      <c r="AB147" s="6" t="s">
        <v>141</v>
      </c>
      <c r="AC147" s="6"/>
      <c r="AD147" s="6"/>
      <c r="AE147" s="6"/>
      <c r="AF147" s="6"/>
      <c r="AG147" s="6"/>
      <c r="AH147" s="6"/>
      <c r="AI147" s="6" t="s">
        <v>1847</v>
      </c>
    </row>
    <row r="148" customFormat="false" ht="15" hidden="false" customHeight="true" outlineLevel="0" collapsed="false">
      <c r="A148" s="6" t="s">
        <v>1848</v>
      </c>
      <c r="B148" s="6" t="s">
        <v>1849</v>
      </c>
      <c r="C148" s="7" t="s">
        <v>4</v>
      </c>
      <c r="D148" s="6" t="s">
        <v>88</v>
      </c>
      <c r="E148" s="6" t="s">
        <v>1798</v>
      </c>
      <c r="F148" s="6" t="s">
        <v>1836</v>
      </c>
      <c r="G148" s="6" t="s">
        <v>1850</v>
      </c>
      <c r="H148" s="6" t="s">
        <v>1851</v>
      </c>
      <c r="I148" s="6" t="s">
        <v>274</v>
      </c>
      <c r="J148" s="6"/>
      <c r="K148" s="6" t="s">
        <v>60</v>
      </c>
      <c r="L148" s="6" t="s">
        <v>61</v>
      </c>
      <c r="M148" s="6" t="s">
        <v>1852</v>
      </c>
      <c r="N148" s="6" t="s">
        <v>1853</v>
      </c>
      <c r="O148" s="8" t="s">
        <v>1854</v>
      </c>
      <c r="P148" s="6" t="n">
        <f aca="false">IF(O148="","",VALUE(LEFT(O148,4)))</f>
        <v>1800</v>
      </c>
      <c r="Q148" s="6" t="s">
        <v>552</v>
      </c>
      <c r="R148" s="6" t="s">
        <v>552</v>
      </c>
      <c r="S148" s="6" t="s">
        <v>553</v>
      </c>
      <c r="T148" s="6" t="s">
        <v>1855</v>
      </c>
      <c r="U148" s="6" t="s">
        <v>85</v>
      </c>
      <c r="V148" s="6" t="s">
        <v>1505</v>
      </c>
      <c r="W148" s="6" t="str">
        <f aca="false">IF(O148="","",INDEX(Lookups!$B$2:$B$148,MATCH(O148,Lookups!$A$2:$A$148,1)))</f>
        <v>Portland</v>
      </c>
      <c r="X148" s="6" t="s">
        <v>103</v>
      </c>
      <c r="Y148" s="6" t="s">
        <v>16</v>
      </c>
      <c r="Z148" s="6" t="s">
        <v>55</v>
      </c>
      <c r="AA148" s="6" t="s">
        <v>1856</v>
      </c>
      <c r="AB148" s="6" t="s">
        <v>88</v>
      </c>
      <c r="AC148" s="6"/>
      <c r="AD148" s="6"/>
      <c r="AE148" s="6"/>
      <c r="AF148" s="6"/>
      <c r="AG148" s="6"/>
      <c r="AH148" s="6"/>
      <c r="AI148" s="6" t="s">
        <v>1857</v>
      </c>
    </row>
    <row r="149" customFormat="false" ht="15" hidden="false" customHeight="true" outlineLevel="0" collapsed="false">
      <c r="A149" s="6" t="s">
        <v>1858</v>
      </c>
      <c r="B149" s="6" t="s">
        <v>1859</v>
      </c>
      <c r="C149" s="7" t="s">
        <v>4</v>
      </c>
      <c r="D149" s="6" t="s">
        <v>88</v>
      </c>
      <c r="E149" s="6" t="s">
        <v>1798</v>
      </c>
      <c r="F149" s="6" t="s">
        <v>1836</v>
      </c>
      <c r="G149" s="6" t="s">
        <v>1860</v>
      </c>
      <c r="H149" s="6" t="s">
        <v>1861</v>
      </c>
      <c r="I149" s="6" t="s">
        <v>274</v>
      </c>
      <c r="J149" s="6"/>
      <c r="K149" s="6" t="s">
        <v>60</v>
      </c>
      <c r="L149" s="6" t="s">
        <v>61</v>
      </c>
      <c r="M149" s="6" t="s">
        <v>1862</v>
      </c>
      <c r="N149" s="6" t="s">
        <v>1863</v>
      </c>
      <c r="O149" s="8" t="s">
        <v>1864</v>
      </c>
      <c r="P149" s="6" t="n">
        <f aca="false">IF(O149="","",VALUE(LEFT(O149,4)))</f>
        <v>1800</v>
      </c>
      <c r="Q149" s="6" t="s">
        <v>1865</v>
      </c>
      <c r="R149" s="6" t="s">
        <v>1866</v>
      </c>
      <c r="S149" s="6" t="s">
        <v>358</v>
      </c>
      <c r="T149" s="6" t="s">
        <v>1867</v>
      </c>
      <c r="U149" s="6" t="s">
        <v>139</v>
      </c>
      <c r="V149" s="6" t="s">
        <v>1868</v>
      </c>
      <c r="W149" s="6" t="str">
        <f aca="false">IF(O149="","",INDEX(Lookups!$B$2:$B$149,MATCH(O149,Lookups!$A$2:$A$149,1)))</f>
        <v>Portland</v>
      </c>
      <c r="X149" s="6" t="s">
        <v>103</v>
      </c>
      <c r="Y149" s="6" t="s">
        <v>13</v>
      </c>
      <c r="Z149" s="6" t="s">
        <v>88</v>
      </c>
      <c r="AA149" s="6" t="s">
        <v>1869</v>
      </c>
      <c r="AB149" s="6" t="s">
        <v>141</v>
      </c>
      <c r="AC149" s="6"/>
      <c r="AD149" s="6"/>
      <c r="AE149" s="6"/>
      <c r="AF149" s="6"/>
      <c r="AG149" s="6"/>
      <c r="AH149" s="6"/>
      <c r="AI149" s="6" t="s">
        <v>1870</v>
      </c>
    </row>
    <row r="150" customFormat="false" ht="15" hidden="false" customHeight="true" outlineLevel="0" collapsed="false">
      <c r="A150" s="6" t="s">
        <v>1871</v>
      </c>
      <c r="B150" s="6" t="s">
        <v>1872</v>
      </c>
      <c r="C150" s="7" t="s">
        <v>4</v>
      </c>
      <c r="D150" s="6" t="s">
        <v>88</v>
      </c>
      <c r="E150" s="6" t="s">
        <v>1798</v>
      </c>
      <c r="F150" s="6" t="s">
        <v>1836</v>
      </c>
      <c r="G150" s="6" t="s">
        <v>1873</v>
      </c>
      <c r="H150" s="6" t="s">
        <v>1874</v>
      </c>
      <c r="I150" s="6" t="s">
        <v>274</v>
      </c>
      <c r="J150" s="6"/>
      <c r="K150" s="6" t="s">
        <v>60</v>
      </c>
      <c r="L150" s="6" t="s">
        <v>61</v>
      </c>
      <c r="M150" s="6" t="s">
        <v>1875</v>
      </c>
      <c r="N150" s="6" t="s">
        <v>1876</v>
      </c>
      <c r="O150" s="8" t="s">
        <v>1877</v>
      </c>
      <c r="P150" s="6" t="n">
        <f aca="false">IF(O150="","",VALUE(LEFT(O150,4)))</f>
        <v>1800</v>
      </c>
      <c r="Q150" s="6" t="s">
        <v>1270</v>
      </c>
      <c r="R150" s="6" t="s">
        <v>1270</v>
      </c>
      <c r="S150" s="6" t="s">
        <v>866</v>
      </c>
      <c r="T150" s="6" t="s">
        <v>1878</v>
      </c>
      <c r="U150" s="6" t="s">
        <v>85</v>
      </c>
      <c r="V150" s="6" t="s">
        <v>1879</v>
      </c>
      <c r="W150" s="6" t="str">
        <f aca="false">IF(O150="","",INDEX(Lookups!$B$2:$B$150,MATCH(O150,Lookups!$A$2:$A$150,1)))</f>
        <v>Portland</v>
      </c>
      <c r="X150" s="6" t="s">
        <v>103</v>
      </c>
      <c r="Y150" s="6" t="s">
        <v>15</v>
      </c>
      <c r="Z150" s="6" t="s">
        <v>72</v>
      </c>
      <c r="AA150" s="6" t="s">
        <v>1880</v>
      </c>
      <c r="AB150" s="6" t="s">
        <v>141</v>
      </c>
      <c r="AC150" s="6"/>
      <c r="AD150" s="6"/>
      <c r="AE150" s="6"/>
      <c r="AF150" s="6"/>
      <c r="AG150" s="6"/>
      <c r="AH150" s="6"/>
      <c r="AI150" s="6" t="s">
        <v>1881</v>
      </c>
    </row>
    <row r="151" customFormat="false" ht="15" hidden="false" customHeight="true" outlineLevel="0" collapsed="false">
      <c r="A151" s="6" t="s">
        <v>1882</v>
      </c>
      <c r="B151" s="6" t="s">
        <v>1859</v>
      </c>
      <c r="C151" s="7" t="s">
        <v>4</v>
      </c>
      <c r="D151" s="6" t="s">
        <v>88</v>
      </c>
      <c r="E151" s="6" t="s">
        <v>1798</v>
      </c>
      <c r="F151" s="6" t="s">
        <v>1883</v>
      </c>
      <c r="G151" s="6" t="s">
        <v>1884</v>
      </c>
      <c r="H151" s="6" t="s">
        <v>1885</v>
      </c>
      <c r="I151" s="6" t="s">
        <v>274</v>
      </c>
      <c r="J151" s="6"/>
      <c r="K151" s="6" t="s">
        <v>60</v>
      </c>
      <c r="L151" s="6" t="s">
        <v>61</v>
      </c>
      <c r="M151" s="6" t="s">
        <v>1886</v>
      </c>
      <c r="N151" s="6" t="s">
        <v>1887</v>
      </c>
      <c r="O151" s="8" t="s">
        <v>1877</v>
      </c>
      <c r="P151" s="6" t="n">
        <f aca="false">IF(O151="","",VALUE(LEFT(O151,4)))</f>
        <v>1800</v>
      </c>
      <c r="Q151" s="6" t="s">
        <v>1888</v>
      </c>
      <c r="R151" s="6" t="s">
        <v>1866</v>
      </c>
      <c r="S151" s="6" t="s">
        <v>358</v>
      </c>
      <c r="T151" s="6" t="s">
        <v>1889</v>
      </c>
      <c r="U151" s="6" t="s">
        <v>217</v>
      </c>
      <c r="V151" s="6" t="s">
        <v>1890</v>
      </c>
      <c r="W151" s="6" t="str">
        <f aca="false">IF(O151="","",INDEX(Lookups!$B$2:$B$151,MATCH(O151,Lookups!$A$2:$A$151,1)))</f>
        <v>Portland</v>
      </c>
      <c r="X151" s="6" t="s">
        <v>103</v>
      </c>
      <c r="Y151" s="6" t="s">
        <v>13</v>
      </c>
      <c r="Z151" s="6" t="s">
        <v>88</v>
      </c>
      <c r="AA151" s="6" t="s">
        <v>1891</v>
      </c>
      <c r="AB151" s="6" t="s">
        <v>141</v>
      </c>
      <c r="AC151" s="6"/>
      <c r="AD151" s="6"/>
      <c r="AE151" s="6"/>
      <c r="AF151" s="6"/>
      <c r="AG151" s="6"/>
      <c r="AH151" s="6"/>
      <c r="AI151" s="6" t="s">
        <v>1892</v>
      </c>
    </row>
    <row r="152" customFormat="false" ht="15" hidden="false" customHeight="true" outlineLevel="0" collapsed="false">
      <c r="A152" s="6" t="s">
        <v>1893</v>
      </c>
      <c r="B152" s="6" t="s">
        <v>1894</v>
      </c>
      <c r="C152" s="7" t="s">
        <v>4</v>
      </c>
      <c r="D152" s="6" t="s">
        <v>88</v>
      </c>
      <c r="E152" s="6" t="s">
        <v>1895</v>
      </c>
      <c r="F152" s="6" t="s">
        <v>1896</v>
      </c>
      <c r="G152" s="6" t="s">
        <v>1897</v>
      </c>
      <c r="H152" s="6" t="s">
        <v>1898</v>
      </c>
      <c r="I152" s="6" t="s">
        <v>274</v>
      </c>
      <c r="J152" s="6"/>
      <c r="K152" s="6" t="s">
        <v>60</v>
      </c>
      <c r="L152" s="6" t="s">
        <v>61</v>
      </c>
      <c r="M152" s="6" t="s">
        <v>1899</v>
      </c>
      <c r="N152" s="6" t="s">
        <v>1900</v>
      </c>
      <c r="O152" s="8" t="s">
        <v>1901</v>
      </c>
      <c r="P152" s="6" t="n">
        <f aca="false">IF(O152="","",VALUE(LEFT(O152,4)))</f>
        <v>1800</v>
      </c>
      <c r="Q152" s="6" t="s">
        <v>1902</v>
      </c>
      <c r="R152" s="6" t="s">
        <v>1903</v>
      </c>
      <c r="S152" s="6" t="s">
        <v>358</v>
      </c>
      <c r="T152" s="6" t="s">
        <v>1904</v>
      </c>
      <c r="U152" s="6" t="s">
        <v>69</v>
      </c>
      <c r="V152" s="6" t="s">
        <v>1905</v>
      </c>
      <c r="W152" s="6" t="str">
        <f aca="false">IF(O152="","",INDEX(Lookups!$B$2:$B$152,MATCH(O152,Lookups!$A$2:$A$152,1)))</f>
        <v>Portland</v>
      </c>
      <c r="X152" s="6" t="s">
        <v>103</v>
      </c>
      <c r="Y152" s="6" t="s">
        <v>16</v>
      </c>
      <c r="Z152" s="6" t="s">
        <v>55</v>
      </c>
      <c r="AA152" s="6" t="s">
        <v>1906</v>
      </c>
      <c r="AB152" s="6" t="s">
        <v>88</v>
      </c>
      <c r="AC152" s="6"/>
      <c r="AD152" s="6"/>
      <c r="AE152" s="6"/>
      <c r="AF152" s="6"/>
      <c r="AG152" s="6"/>
      <c r="AH152" s="6"/>
      <c r="AI152" s="6" t="s">
        <v>1907</v>
      </c>
    </row>
    <row r="153" customFormat="false" ht="15" hidden="false" customHeight="true" outlineLevel="0" collapsed="false">
      <c r="A153" s="6" t="s">
        <v>1908</v>
      </c>
      <c r="B153" s="6" t="s">
        <v>1909</v>
      </c>
      <c r="C153" s="7" t="s">
        <v>4</v>
      </c>
      <c r="D153" s="6" t="s">
        <v>88</v>
      </c>
      <c r="E153" s="6" t="s">
        <v>1895</v>
      </c>
      <c r="F153" s="6" t="s">
        <v>1896</v>
      </c>
      <c r="G153" s="6" t="s">
        <v>1910</v>
      </c>
      <c r="H153" s="6" t="s">
        <v>1911</v>
      </c>
      <c r="I153" s="6" t="s">
        <v>274</v>
      </c>
      <c r="J153" s="6"/>
      <c r="K153" s="6" t="s">
        <v>60</v>
      </c>
      <c r="L153" s="6" t="s">
        <v>61</v>
      </c>
      <c r="M153" s="6" t="s">
        <v>1912</v>
      </c>
      <c r="N153" s="6" t="s">
        <v>1913</v>
      </c>
      <c r="O153" s="8" t="s">
        <v>1914</v>
      </c>
      <c r="P153" s="6" t="n">
        <f aca="false">IF(O153="","",VALUE(LEFT(O153,4)))</f>
        <v>1800</v>
      </c>
      <c r="Q153" s="6" t="s">
        <v>1068</v>
      </c>
      <c r="R153" s="6" t="s">
        <v>1068</v>
      </c>
      <c r="S153" s="6" t="s">
        <v>447</v>
      </c>
      <c r="T153" s="6" t="s">
        <v>1915</v>
      </c>
      <c r="U153" s="6" t="s">
        <v>69</v>
      </c>
      <c r="V153" s="6" t="s">
        <v>1916</v>
      </c>
      <c r="W153" s="6" t="str">
        <f aca="false">IF(O153="","",INDEX(Lookups!$B$2:$B$153,MATCH(O153,Lookups!$A$2:$A$153,1)))</f>
        <v>Portland</v>
      </c>
      <c r="X153" s="6" t="s">
        <v>206</v>
      </c>
      <c r="Y153" s="6" t="s">
        <v>14</v>
      </c>
      <c r="Z153" s="6" t="s">
        <v>72</v>
      </c>
      <c r="AA153" s="6" t="s">
        <v>1917</v>
      </c>
      <c r="AB153" s="6" t="s">
        <v>88</v>
      </c>
      <c r="AC153" s="6"/>
      <c r="AD153" s="6"/>
      <c r="AE153" s="6"/>
      <c r="AF153" s="6"/>
      <c r="AG153" s="6"/>
      <c r="AH153" s="6"/>
      <c r="AI153" s="6" t="s">
        <v>1918</v>
      </c>
    </row>
    <row r="154" customFormat="false" ht="15" hidden="false" customHeight="true" outlineLevel="0" collapsed="false">
      <c r="A154" s="6" t="s">
        <v>1919</v>
      </c>
      <c r="B154" s="6" t="s">
        <v>1920</v>
      </c>
      <c r="C154" s="7" t="s">
        <v>4</v>
      </c>
      <c r="D154" s="6" t="s">
        <v>88</v>
      </c>
      <c r="E154" s="6" t="s">
        <v>1895</v>
      </c>
      <c r="F154" s="6" t="s">
        <v>1896</v>
      </c>
      <c r="G154" s="6" t="s">
        <v>1921</v>
      </c>
      <c r="H154" s="6" t="s">
        <v>1922</v>
      </c>
      <c r="I154" s="6" t="s">
        <v>274</v>
      </c>
      <c r="J154" s="6"/>
      <c r="K154" s="6" t="s">
        <v>60</v>
      </c>
      <c r="L154" s="6" t="s">
        <v>61</v>
      </c>
      <c r="M154" s="6" t="s">
        <v>1923</v>
      </c>
      <c r="N154" s="6" t="s">
        <v>1924</v>
      </c>
      <c r="O154" s="8" t="s">
        <v>1925</v>
      </c>
      <c r="P154" s="6" t="n">
        <f aca="false">IF(O154="","",VALUE(LEFT(O154,4)))</f>
        <v>1800</v>
      </c>
      <c r="Q154" s="6" t="s">
        <v>1926</v>
      </c>
      <c r="R154" s="6" t="s">
        <v>1926</v>
      </c>
      <c r="S154" s="6" t="s">
        <v>813</v>
      </c>
      <c r="T154" s="6" t="s">
        <v>173</v>
      </c>
      <c r="U154" s="6" t="s">
        <v>69</v>
      </c>
      <c r="V154" s="6" t="s">
        <v>1927</v>
      </c>
      <c r="W154" s="6" t="str">
        <f aca="false">IF(O154="","",INDEX(Lookups!$B$2:$B$154,MATCH(O154,Lookups!$A$2:$A$154,1)))</f>
        <v>Portland</v>
      </c>
      <c r="X154" s="6" t="s">
        <v>103</v>
      </c>
      <c r="Y154" s="6" t="s">
        <v>14</v>
      </c>
      <c r="Z154" s="6" t="s">
        <v>72</v>
      </c>
      <c r="AA154" s="6" t="s">
        <v>1928</v>
      </c>
      <c r="AB154" s="6" t="s">
        <v>141</v>
      </c>
      <c r="AC154" s="6"/>
      <c r="AD154" s="6"/>
      <c r="AE154" s="6"/>
      <c r="AF154" s="6"/>
      <c r="AG154" s="6"/>
      <c r="AH154" s="6"/>
      <c r="AI154" s="6" t="s">
        <v>1929</v>
      </c>
    </row>
    <row r="155" customFormat="false" ht="15" hidden="false" customHeight="true" outlineLevel="0" collapsed="false">
      <c r="A155" s="6" t="s">
        <v>1930</v>
      </c>
      <c r="B155" s="6" t="s">
        <v>1859</v>
      </c>
      <c r="C155" s="7" t="s">
        <v>4</v>
      </c>
      <c r="D155" s="6" t="s">
        <v>88</v>
      </c>
      <c r="E155" s="6" t="s">
        <v>1895</v>
      </c>
      <c r="F155" s="6" t="s">
        <v>1896</v>
      </c>
      <c r="G155" s="6" t="s">
        <v>1931</v>
      </c>
      <c r="H155" s="6" t="s">
        <v>1932</v>
      </c>
      <c r="I155" s="6" t="s">
        <v>274</v>
      </c>
      <c r="J155" s="6"/>
      <c r="K155" s="6" t="s">
        <v>60</v>
      </c>
      <c r="L155" s="6" t="s">
        <v>61</v>
      </c>
      <c r="M155" s="6" t="s">
        <v>1933</v>
      </c>
      <c r="N155" s="6" t="s">
        <v>1934</v>
      </c>
      <c r="O155" s="8" t="s">
        <v>1935</v>
      </c>
      <c r="P155" s="6" t="n">
        <f aca="false">IF(O155="","",VALUE(LEFT(O155,4)))</f>
        <v>1800</v>
      </c>
      <c r="Q155" s="6" t="s">
        <v>1936</v>
      </c>
      <c r="R155" s="6" t="s">
        <v>1866</v>
      </c>
      <c r="S155" s="6" t="s">
        <v>358</v>
      </c>
      <c r="T155" s="6" t="s">
        <v>1937</v>
      </c>
      <c r="U155" s="6" t="s">
        <v>139</v>
      </c>
      <c r="V155" s="6" t="s">
        <v>1938</v>
      </c>
      <c r="W155" s="6" t="str">
        <f aca="false">IF(O155="","",INDEX(Lookups!$B$2:$B$155,MATCH(O155,Lookups!$A$2:$A$155,1)))</f>
        <v>Portland</v>
      </c>
      <c r="X155" s="6" t="s">
        <v>103</v>
      </c>
      <c r="Y155" s="6" t="s">
        <v>13</v>
      </c>
      <c r="Z155" s="6" t="s">
        <v>88</v>
      </c>
      <c r="AA155" s="6" t="s">
        <v>1939</v>
      </c>
      <c r="AB155" s="6" t="s">
        <v>88</v>
      </c>
      <c r="AC155" s="6"/>
      <c r="AD155" s="6"/>
      <c r="AE155" s="6"/>
      <c r="AF155" s="6"/>
      <c r="AG155" s="6"/>
      <c r="AH155" s="6"/>
      <c r="AI155" s="6" t="s">
        <v>1940</v>
      </c>
    </row>
    <row r="156" customFormat="false" ht="15" hidden="false" customHeight="true" outlineLevel="0" collapsed="false">
      <c r="A156" s="6" t="s">
        <v>1941</v>
      </c>
      <c r="B156" s="6" t="s">
        <v>1942</v>
      </c>
      <c r="C156" s="7" t="s">
        <v>4</v>
      </c>
      <c r="D156" s="6" t="s">
        <v>88</v>
      </c>
      <c r="E156" s="6" t="s">
        <v>1895</v>
      </c>
      <c r="F156" s="6" t="s">
        <v>1896</v>
      </c>
      <c r="G156" s="6" t="s">
        <v>1943</v>
      </c>
      <c r="H156" s="6" t="s">
        <v>1944</v>
      </c>
      <c r="I156" s="6" t="s">
        <v>274</v>
      </c>
      <c r="J156" s="6"/>
      <c r="K156" s="6" t="s">
        <v>60</v>
      </c>
      <c r="L156" s="6" t="s">
        <v>61</v>
      </c>
      <c r="M156" s="6" t="s">
        <v>1945</v>
      </c>
      <c r="N156" s="6" t="s">
        <v>1946</v>
      </c>
      <c r="O156" s="8" t="s">
        <v>1935</v>
      </c>
      <c r="P156" s="6" t="n">
        <f aca="false">IF(O156="","",VALUE(LEFT(O156,4)))</f>
        <v>1800</v>
      </c>
      <c r="Q156" s="6" t="s">
        <v>1947</v>
      </c>
      <c r="R156" s="6" t="s">
        <v>1948</v>
      </c>
      <c r="S156" s="6" t="s">
        <v>1366</v>
      </c>
      <c r="T156" s="6" t="s">
        <v>1949</v>
      </c>
      <c r="U156" s="6" t="s">
        <v>815</v>
      </c>
      <c r="V156" s="6" t="s">
        <v>1505</v>
      </c>
      <c r="W156" s="6" t="str">
        <f aca="false">IF(O156="","",INDEX(Lookups!$B$2:$B$156,MATCH(O156,Lookups!$A$2:$A$156,1)))</f>
        <v>Portland</v>
      </c>
      <c r="X156" s="6" t="s">
        <v>103</v>
      </c>
      <c r="Y156" s="6" t="s">
        <v>16</v>
      </c>
      <c r="Z156" s="6" t="s">
        <v>55</v>
      </c>
      <c r="AA156" s="6" t="s">
        <v>1950</v>
      </c>
      <c r="AB156" s="6" t="s">
        <v>141</v>
      </c>
      <c r="AC156" s="6"/>
      <c r="AD156" s="6"/>
      <c r="AE156" s="6"/>
      <c r="AF156" s="6"/>
      <c r="AG156" s="6"/>
      <c r="AH156" s="6"/>
      <c r="AI156" s="6" t="s">
        <v>1951</v>
      </c>
    </row>
    <row r="157" customFormat="false" ht="15" hidden="false" customHeight="true" outlineLevel="0" collapsed="false">
      <c r="A157" s="6" t="s">
        <v>1952</v>
      </c>
      <c r="B157" s="6" t="s">
        <v>1953</v>
      </c>
      <c r="C157" s="12" t="s">
        <v>9</v>
      </c>
      <c r="D157" s="6" t="s">
        <v>88</v>
      </c>
      <c r="E157" s="6" t="s">
        <v>1895</v>
      </c>
      <c r="F157" s="6" t="s">
        <v>1954</v>
      </c>
      <c r="G157" s="6" t="s">
        <v>1955</v>
      </c>
      <c r="H157" s="6" t="s">
        <v>1956</v>
      </c>
      <c r="I157" s="6" t="s">
        <v>274</v>
      </c>
      <c r="J157" s="6"/>
      <c r="K157" s="6" t="s">
        <v>60</v>
      </c>
      <c r="L157" s="6" t="s">
        <v>61</v>
      </c>
      <c r="M157" s="6" t="s">
        <v>1957</v>
      </c>
      <c r="N157" s="6" t="s">
        <v>1958</v>
      </c>
      <c r="O157" s="8" t="s">
        <v>1959</v>
      </c>
      <c r="P157" s="6" t="n">
        <f aca="false">IF(O157="","",VALUE(LEFT(O157,4)))</f>
        <v>1800</v>
      </c>
      <c r="Q157" s="6" t="s">
        <v>1960</v>
      </c>
      <c r="R157" s="6" t="s">
        <v>1961</v>
      </c>
      <c r="S157" s="6" t="s">
        <v>358</v>
      </c>
      <c r="T157" s="6" t="s">
        <v>1962</v>
      </c>
      <c r="U157" s="6" t="s">
        <v>217</v>
      </c>
      <c r="V157" s="6" t="s">
        <v>1963</v>
      </c>
      <c r="W157" s="6" t="str">
        <f aca="false">IF(O157="","",INDEX(Lookups!$B$2:$B$157,MATCH(O157,Lookups!$A$2:$A$157,1)))</f>
        <v>Portland</v>
      </c>
      <c r="X157" s="6" t="s">
        <v>103</v>
      </c>
      <c r="Y157" s="6" t="s">
        <v>16</v>
      </c>
      <c r="Z157" s="6" t="s">
        <v>55</v>
      </c>
      <c r="AA157" s="6" t="s">
        <v>1964</v>
      </c>
      <c r="AB157" s="6" t="s">
        <v>88</v>
      </c>
      <c r="AC157" s="6"/>
      <c r="AD157" s="6"/>
      <c r="AE157" s="6"/>
      <c r="AF157" s="6"/>
      <c r="AG157" s="6"/>
      <c r="AH157" s="6"/>
      <c r="AI157" s="6" t="s">
        <v>1965</v>
      </c>
    </row>
    <row r="158" customFormat="false" ht="15" hidden="false" customHeight="true" outlineLevel="0" collapsed="false">
      <c r="A158" s="6" t="s">
        <v>1966</v>
      </c>
      <c r="B158" s="6" t="s">
        <v>1967</v>
      </c>
      <c r="C158" s="7" t="s">
        <v>4</v>
      </c>
      <c r="D158" s="6" t="s">
        <v>88</v>
      </c>
      <c r="E158" s="6" t="s">
        <v>1895</v>
      </c>
      <c r="F158" s="6" t="s">
        <v>1954</v>
      </c>
      <c r="G158" s="6" t="s">
        <v>1968</v>
      </c>
      <c r="H158" s="6" t="s">
        <v>1969</v>
      </c>
      <c r="I158" s="6" t="s">
        <v>274</v>
      </c>
      <c r="J158" s="6"/>
      <c r="K158" s="6" t="s">
        <v>60</v>
      </c>
      <c r="L158" s="6" t="s">
        <v>61</v>
      </c>
      <c r="M158" s="6" t="s">
        <v>1970</v>
      </c>
      <c r="N158" s="6" t="s">
        <v>1971</v>
      </c>
      <c r="O158" s="8" t="s">
        <v>1972</v>
      </c>
      <c r="P158" s="6" t="n">
        <f aca="false">IF(O158="","",VALUE(LEFT(O158,4)))</f>
        <v>1800</v>
      </c>
      <c r="Q158" s="6" t="s">
        <v>1973</v>
      </c>
      <c r="R158" s="6" t="s">
        <v>1974</v>
      </c>
      <c r="S158" s="6" t="s">
        <v>67</v>
      </c>
      <c r="T158" s="6" t="s">
        <v>1975</v>
      </c>
      <c r="U158" s="6" t="s">
        <v>69</v>
      </c>
      <c r="V158" s="6" t="s">
        <v>1976</v>
      </c>
      <c r="W158" s="6" t="str">
        <f aca="false">IF(O158="","",INDEX(Lookups!$B$2:$B$158,MATCH(O158,Lookups!$A$2:$A$158,1)))</f>
        <v>Portland</v>
      </c>
      <c r="X158" s="6" t="s">
        <v>103</v>
      </c>
      <c r="Y158" s="6" t="s">
        <v>16</v>
      </c>
      <c r="Z158" s="6" t="s">
        <v>55</v>
      </c>
      <c r="AA158" s="6" t="s">
        <v>1977</v>
      </c>
      <c r="AB158" s="6" t="s">
        <v>141</v>
      </c>
      <c r="AC158" s="6"/>
      <c r="AD158" s="6"/>
      <c r="AE158" s="6"/>
      <c r="AF158" s="6"/>
      <c r="AG158" s="6"/>
      <c r="AH158" s="6"/>
      <c r="AI158" s="6" t="s">
        <v>1978</v>
      </c>
    </row>
    <row r="159" customFormat="false" ht="15" hidden="false" customHeight="true" outlineLevel="0" collapsed="false">
      <c r="A159" s="6" t="s">
        <v>1979</v>
      </c>
      <c r="B159" s="6" t="s">
        <v>1894</v>
      </c>
      <c r="C159" s="12" t="s">
        <v>9</v>
      </c>
      <c r="D159" s="6" t="s">
        <v>88</v>
      </c>
      <c r="E159" s="6" t="s">
        <v>1895</v>
      </c>
      <c r="F159" s="6" t="s">
        <v>1954</v>
      </c>
      <c r="G159" s="6" t="s">
        <v>1980</v>
      </c>
      <c r="H159" s="6" t="s">
        <v>1981</v>
      </c>
      <c r="I159" s="6" t="s">
        <v>274</v>
      </c>
      <c r="J159" s="6"/>
      <c r="K159" s="6" t="s">
        <v>60</v>
      </c>
      <c r="L159" s="6" t="s">
        <v>61</v>
      </c>
      <c r="M159" s="6" t="s">
        <v>1982</v>
      </c>
      <c r="N159" s="6" t="s">
        <v>1983</v>
      </c>
      <c r="O159" s="8" t="s">
        <v>1984</v>
      </c>
      <c r="P159" s="6" t="n">
        <f aca="false">IF(O159="","",VALUE(LEFT(O159,4)))</f>
        <v>1800</v>
      </c>
      <c r="Q159" s="6" t="s">
        <v>1117</v>
      </c>
      <c r="R159" s="6" t="s">
        <v>1117</v>
      </c>
      <c r="S159" s="6" t="s">
        <v>358</v>
      </c>
      <c r="T159" s="6" t="s">
        <v>1985</v>
      </c>
      <c r="U159" s="6" t="s">
        <v>69</v>
      </c>
      <c r="V159" s="6" t="s">
        <v>1986</v>
      </c>
      <c r="W159" s="6" t="str">
        <f aca="false">IF(O159="","",INDEX(Lookups!$B$2:$B$159,MATCH(O159,Lookups!$A$2:$A$159,1)))</f>
        <v>Portland</v>
      </c>
      <c r="X159" s="6" t="s">
        <v>103</v>
      </c>
      <c r="Y159" s="6" t="s">
        <v>16</v>
      </c>
      <c r="Z159" s="6" t="s">
        <v>55</v>
      </c>
      <c r="AA159" s="6" t="s">
        <v>1543</v>
      </c>
      <c r="AB159" s="6" t="s">
        <v>88</v>
      </c>
      <c r="AC159" s="6"/>
      <c r="AD159" s="6"/>
      <c r="AE159" s="6"/>
      <c r="AF159" s="6"/>
      <c r="AG159" s="6"/>
      <c r="AH159" s="6"/>
      <c r="AI159" s="6" t="s">
        <v>1987</v>
      </c>
    </row>
    <row r="160" customFormat="false" ht="15" hidden="false" customHeight="true" outlineLevel="0" collapsed="false">
      <c r="A160" s="6" t="s">
        <v>1988</v>
      </c>
      <c r="B160" s="6" t="s">
        <v>1989</v>
      </c>
      <c r="C160" s="7" t="s">
        <v>4</v>
      </c>
      <c r="D160" s="6" t="s">
        <v>88</v>
      </c>
      <c r="E160" s="6" t="s">
        <v>1895</v>
      </c>
      <c r="F160" s="6" t="s">
        <v>1990</v>
      </c>
      <c r="G160" s="6" t="s">
        <v>1991</v>
      </c>
      <c r="H160" s="6" t="s">
        <v>1992</v>
      </c>
      <c r="I160" s="6" t="s">
        <v>274</v>
      </c>
      <c r="J160" s="6"/>
      <c r="K160" s="6" t="s">
        <v>60</v>
      </c>
      <c r="L160" s="6" t="s">
        <v>61</v>
      </c>
      <c r="M160" s="6" t="s">
        <v>1993</v>
      </c>
      <c r="N160" s="6" t="s">
        <v>1994</v>
      </c>
      <c r="O160" s="8" t="s">
        <v>1995</v>
      </c>
      <c r="P160" s="6" t="n">
        <f aca="false">IF(O160="","",VALUE(LEFT(O160,4)))</f>
        <v>1800</v>
      </c>
      <c r="Q160" s="6" t="s">
        <v>1996</v>
      </c>
      <c r="R160" s="6" t="s">
        <v>1997</v>
      </c>
      <c r="S160" s="6" t="s">
        <v>813</v>
      </c>
      <c r="T160" s="6" t="s">
        <v>1998</v>
      </c>
      <c r="U160" s="6" t="s">
        <v>69</v>
      </c>
      <c r="V160" s="6" t="s">
        <v>1999</v>
      </c>
      <c r="W160" s="6" t="str">
        <f aca="false">IF(O160="","",INDEX(Lookups!$B$2:$B$160,MATCH(O160,Lookups!$A$2:$A$160,1)))</f>
        <v>Portland</v>
      </c>
      <c r="X160" s="6" t="s">
        <v>267</v>
      </c>
      <c r="Y160" s="6" t="s">
        <v>15</v>
      </c>
      <c r="Z160" s="6" t="s">
        <v>55</v>
      </c>
      <c r="AA160" s="6" t="s">
        <v>2000</v>
      </c>
      <c r="AB160" s="6" t="s">
        <v>141</v>
      </c>
      <c r="AC160" s="6"/>
      <c r="AD160" s="6"/>
      <c r="AE160" s="6"/>
      <c r="AF160" s="6"/>
      <c r="AG160" s="6"/>
      <c r="AH160" s="6"/>
      <c r="AI160" s="6" t="s">
        <v>2001</v>
      </c>
    </row>
    <row r="161" customFormat="false" ht="15" hidden="false" customHeight="true" outlineLevel="0" collapsed="false">
      <c r="A161" s="6" t="s">
        <v>2002</v>
      </c>
      <c r="B161" s="6" t="s">
        <v>2003</v>
      </c>
      <c r="C161" s="12" t="s">
        <v>9</v>
      </c>
      <c r="D161" s="6" t="s">
        <v>88</v>
      </c>
      <c r="E161" s="6" t="s">
        <v>1895</v>
      </c>
      <c r="F161" s="6" t="s">
        <v>2004</v>
      </c>
      <c r="G161" s="6" t="s">
        <v>2005</v>
      </c>
      <c r="H161" s="6" t="s">
        <v>2006</v>
      </c>
      <c r="I161" s="6" t="s">
        <v>274</v>
      </c>
      <c r="J161" s="6"/>
      <c r="K161" s="6" t="s">
        <v>60</v>
      </c>
      <c r="L161" s="6" t="s">
        <v>61</v>
      </c>
      <c r="M161" s="6" t="s">
        <v>2007</v>
      </c>
      <c r="N161" s="6" t="s">
        <v>2008</v>
      </c>
      <c r="O161" s="8" t="s">
        <v>2009</v>
      </c>
      <c r="P161" s="6" t="n">
        <f aca="false">IF(O161="","",VALUE(LEFT(O161,4)))</f>
        <v>1800</v>
      </c>
      <c r="Q161" s="6" t="s">
        <v>2010</v>
      </c>
      <c r="R161" s="6" t="s">
        <v>2010</v>
      </c>
      <c r="S161" s="6" t="s">
        <v>137</v>
      </c>
      <c r="T161" s="6" t="s">
        <v>2011</v>
      </c>
      <c r="U161" s="6" t="s">
        <v>69</v>
      </c>
      <c r="V161" s="6" t="s">
        <v>2012</v>
      </c>
      <c r="W161" s="6" t="str">
        <f aca="false">IF(O161="","",INDEX(Lookups!$B$2:$B$161,MATCH(O161,Lookups!$A$2:$A$161,1)))</f>
        <v>Portland</v>
      </c>
      <c r="X161" s="6" t="s">
        <v>267</v>
      </c>
      <c r="Y161" s="6" t="s">
        <v>16</v>
      </c>
      <c r="Z161" s="6" t="s">
        <v>55</v>
      </c>
      <c r="AA161" s="6" t="s">
        <v>2013</v>
      </c>
      <c r="AB161" s="6" t="s">
        <v>88</v>
      </c>
      <c r="AC161" s="6"/>
      <c r="AD161" s="6"/>
      <c r="AE161" s="6"/>
      <c r="AF161" s="6"/>
      <c r="AG161" s="6"/>
      <c r="AH161" s="6"/>
      <c r="AI161" s="6" t="s">
        <v>2014</v>
      </c>
    </row>
    <row r="162" customFormat="false" ht="15" hidden="false" customHeight="true" outlineLevel="0" collapsed="false">
      <c r="A162" s="6" t="s">
        <v>2015</v>
      </c>
      <c r="B162" s="6" t="s">
        <v>2016</v>
      </c>
      <c r="C162" s="12" t="s">
        <v>9</v>
      </c>
      <c r="D162" s="6" t="s">
        <v>88</v>
      </c>
      <c r="E162" s="6" t="s">
        <v>1895</v>
      </c>
      <c r="F162" s="6" t="s">
        <v>2004</v>
      </c>
      <c r="G162" s="6" t="s">
        <v>2017</v>
      </c>
      <c r="H162" s="6" t="s">
        <v>2018</v>
      </c>
      <c r="I162" s="6" t="s">
        <v>274</v>
      </c>
      <c r="J162" s="6"/>
      <c r="K162" s="6" t="s">
        <v>60</v>
      </c>
      <c r="L162" s="6" t="s">
        <v>61</v>
      </c>
      <c r="M162" s="6" t="s">
        <v>2019</v>
      </c>
      <c r="N162" s="6" t="s">
        <v>2020</v>
      </c>
      <c r="O162" s="8" t="s">
        <v>2021</v>
      </c>
      <c r="P162" s="6" t="n">
        <f aca="false">IF(O162="","",VALUE(LEFT(O162,4)))</f>
        <v>1800</v>
      </c>
      <c r="Q162" s="6" t="s">
        <v>2022</v>
      </c>
      <c r="R162" s="6" t="s">
        <v>2023</v>
      </c>
      <c r="S162" s="6" t="s">
        <v>304</v>
      </c>
      <c r="T162" s="6" t="s">
        <v>2024</v>
      </c>
      <c r="U162" s="6" t="s">
        <v>69</v>
      </c>
      <c r="V162" s="6" t="s">
        <v>2012</v>
      </c>
      <c r="W162" s="6" t="str">
        <f aca="false">IF(O162="","",INDEX(Lookups!$B$2:$B$162,MATCH(O162,Lookups!$A$2:$A$162,1)))</f>
        <v>Portland</v>
      </c>
      <c r="X162" s="6" t="s">
        <v>103</v>
      </c>
      <c r="Y162" s="6" t="s">
        <v>16</v>
      </c>
      <c r="Z162" s="6" t="s">
        <v>72</v>
      </c>
      <c r="AA162" s="6" t="s">
        <v>2025</v>
      </c>
      <c r="AB162" s="6" t="s">
        <v>88</v>
      </c>
      <c r="AC162" s="6"/>
      <c r="AD162" s="6"/>
      <c r="AE162" s="6"/>
      <c r="AF162" s="6"/>
      <c r="AG162" s="6"/>
      <c r="AH162" s="6"/>
      <c r="AI162" s="6" t="s">
        <v>2026</v>
      </c>
    </row>
    <row r="163" customFormat="false" ht="15" hidden="false" customHeight="true" outlineLevel="0" collapsed="false">
      <c r="A163" s="6" t="s">
        <v>2027</v>
      </c>
      <c r="B163" s="6" t="s">
        <v>2028</v>
      </c>
      <c r="C163" s="7" t="s">
        <v>4</v>
      </c>
      <c r="D163" s="6" t="s">
        <v>88</v>
      </c>
      <c r="E163" s="6" t="s">
        <v>1895</v>
      </c>
      <c r="F163" s="6" t="s">
        <v>2029</v>
      </c>
      <c r="G163" s="6" t="s">
        <v>1679</v>
      </c>
      <c r="H163" s="6" t="s">
        <v>2030</v>
      </c>
      <c r="I163" s="6" t="s">
        <v>274</v>
      </c>
      <c r="J163" s="6"/>
      <c r="K163" s="6" t="s">
        <v>60</v>
      </c>
      <c r="L163" s="6" t="s">
        <v>61</v>
      </c>
      <c r="M163" s="6" t="s">
        <v>2031</v>
      </c>
      <c r="N163" s="6" t="s">
        <v>2032</v>
      </c>
      <c r="O163" s="8" t="s">
        <v>1205</v>
      </c>
      <c r="P163" s="6" t="n">
        <f aca="false">IF(O163="","",VALUE(LEFT(O163,4)))</f>
        <v>1800</v>
      </c>
      <c r="Q163" s="6" t="s">
        <v>2033</v>
      </c>
      <c r="R163" s="6" t="s">
        <v>357</v>
      </c>
      <c r="S163" s="6" t="s">
        <v>358</v>
      </c>
      <c r="T163" s="6" t="s">
        <v>2034</v>
      </c>
      <c r="U163" s="6" t="s">
        <v>139</v>
      </c>
      <c r="V163" s="6" t="s">
        <v>2035</v>
      </c>
      <c r="W163" s="6" t="str">
        <f aca="false">IF(O163="","",INDEX(Lookups!$B$2:$B$163,MATCH(O163,Lookups!$A$2:$A$163,1)))</f>
        <v>Portland</v>
      </c>
      <c r="X163" s="6" t="s">
        <v>103</v>
      </c>
      <c r="Y163" s="6" t="s">
        <v>13</v>
      </c>
      <c r="Z163" s="6" t="s">
        <v>72</v>
      </c>
      <c r="AA163" s="6" t="s">
        <v>2036</v>
      </c>
      <c r="AB163" s="6" t="s">
        <v>88</v>
      </c>
      <c r="AC163" s="6"/>
      <c r="AD163" s="6"/>
      <c r="AE163" s="6"/>
      <c r="AF163" s="6"/>
      <c r="AG163" s="6"/>
      <c r="AH163" s="6"/>
      <c r="AI163" s="6" t="s">
        <v>2037</v>
      </c>
    </row>
    <row r="164" customFormat="false" ht="15" hidden="false" customHeight="true" outlineLevel="0" collapsed="false">
      <c r="A164" s="6" t="s">
        <v>2038</v>
      </c>
      <c r="B164" s="6" t="s">
        <v>1199</v>
      </c>
      <c r="C164" s="12" t="s">
        <v>9</v>
      </c>
      <c r="D164" s="6" t="s">
        <v>88</v>
      </c>
      <c r="E164" s="6" t="s">
        <v>1895</v>
      </c>
      <c r="F164" s="6" t="s">
        <v>2029</v>
      </c>
      <c r="G164" s="6" t="s">
        <v>1633</v>
      </c>
      <c r="H164" s="6" t="s">
        <v>2039</v>
      </c>
      <c r="I164" s="6" t="s">
        <v>274</v>
      </c>
      <c r="J164" s="6"/>
      <c r="K164" s="6" t="s">
        <v>60</v>
      </c>
      <c r="L164" s="6" t="s">
        <v>61</v>
      </c>
      <c r="M164" s="6" t="s">
        <v>2040</v>
      </c>
      <c r="N164" s="6" t="s">
        <v>2041</v>
      </c>
      <c r="O164" s="8" t="s">
        <v>1205</v>
      </c>
      <c r="P164" s="6" t="n">
        <f aca="false">IF(O164="","",VALUE(LEFT(O164,4)))</f>
        <v>1800</v>
      </c>
      <c r="Q164" s="6" t="s">
        <v>1207</v>
      </c>
      <c r="R164" s="6" t="s">
        <v>1207</v>
      </c>
      <c r="S164" s="6" t="s">
        <v>553</v>
      </c>
      <c r="T164" s="6" t="s">
        <v>1593</v>
      </c>
      <c r="U164" s="6" t="s">
        <v>69</v>
      </c>
      <c r="V164" s="6" t="s">
        <v>2042</v>
      </c>
      <c r="W164" s="6" t="str">
        <f aca="false">IF(O164="","",INDEX(Lookups!$B$2:$B$164,MATCH(O164,Lookups!$A$2:$A$164,1)))</f>
        <v>Portland</v>
      </c>
      <c r="X164" s="6" t="s">
        <v>103</v>
      </c>
      <c r="Y164" s="6" t="s">
        <v>16</v>
      </c>
      <c r="Z164" s="6" t="s">
        <v>88</v>
      </c>
      <c r="AA164" s="6" t="s">
        <v>2043</v>
      </c>
      <c r="AB164" s="6" t="s">
        <v>141</v>
      </c>
      <c r="AC164" s="6"/>
      <c r="AD164" s="6"/>
      <c r="AE164" s="6"/>
      <c r="AF164" s="6"/>
      <c r="AG164" s="6"/>
      <c r="AH164" s="6"/>
      <c r="AI164" s="6" t="s">
        <v>2044</v>
      </c>
    </row>
    <row r="165" customFormat="false" ht="15" hidden="false" customHeight="true" outlineLevel="0" collapsed="false">
      <c r="A165" s="6" t="s">
        <v>2045</v>
      </c>
      <c r="B165" s="6" t="s">
        <v>2046</v>
      </c>
      <c r="C165" s="12" t="s">
        <v>9</v>
      </c>
      <c r="D165" s="6" t="s">
        <v>88</v>
      </c>
      <c r="E165" s="6" t="s">
        <v>2047</v>
      </c>
      <c r="F165" s="6" t="s">
        <v>2048</v>
      </c>
      <c r="G165" s="6" t="s">
        <v>1062</v>
      </c>
      <c r="H165" s="6" t="s">
        <v>2049</v>
      </c>
      <c r="I165" s="6" t="s">
        <v>274</v>
      </c>
      <c r="J165" s="6"/>
      <c r="K165" s="6" t="s">
        <v>60</v>
      </c>
      <c r="L165" s="6" t="s">
        <v>61</v>
      </c>
      <c r="M165" s="6" t="s">
        <v>2050</v>
      </c>
      <c r="N165" s="6" t="s">
        <v>2051</v>
      </c>
      <c r="O165" s="8" t="s">
        <v>2052</v>
      </c>
      <c r="P165" s="6" t="n">
        <f aca="false">IF(O165="","",VALUE(LEFT(O165,4)))</f>
        <v>1801</v>
      </c>
      <c r="Q165" s="6" t="s">
        <v>357</v>
      </c>
      <c r="R165" s="6" t="s">
        <v>357</v>
      </c>
      <c r="S165" s="6" t="s">
        <v>358</v>
      </c>
      <c r="T165" s="6" t="s">
        <v>2053</v>
      </c>
      <c r="U165" s="6" t="s">
        <v>254</v>
      </c>
      <c r="V165" s="6" t="s">
        <v>2054</v>
      </c>
      <c r="W165" s="6" t="str">
        <f aca="false">IF(O165="","",INDEX(Lookups!$B$2:$B$165,MATCH(O165,Lookups!$A$2:$A$165,1)))</f>
        <v>Portland</v>
      </c>
      <c r="X165" s="6" t="s">
        <v>103</v>
      </c>
      <c r="Y165" s="6" t="s">
        <v>16</v>
      </c>
      <c r="Z165" s="6" t="s">
        <v>72</v>
      </c>
      <c r="AA165" s="6" t="s">
        <v>2055</v>
      </c>
      <c r="AB165" s="6" t="s">
        <v>88</v>
      </c>
      <c r="AC165" s="6"/>
      <c r="AD165" s="6"/>
      <c r="AE165" s="6"/>
      <c r="AF165" s="6"/>
      <c r="AG165" s="6"/>
      <c r="AH165" s="6"/>
      <c r="AI165" s="6" t="s">
        <v>2056</v>
      </c>
    </row>
    <row r="166" customFormat="false" ht="15" hidden="false" customHeight="true" outlineLevel="0" collapsed="false">
      <c r="A166" s="6" t="s">
        <v>2057</v>
      </c>
      <c r="B166" s="6" t="s">
        <v>2058</v>
      </c>
      <c r="C166" s="7" t="s">
        <v>4</v>
      </c>
      <c r="D166" s="6" t="s">
        <v>88</v>
      </c>
      <c r="E166" s="6" t="s">
        <v>2047</v>
      </c>
      <c r="F166" s="6" t="s">
        <v>2048</v>
      </c>
      <c r="G166" s="6" t="s">
        <v>2059</v>
      </c>
      <c r="H166" s="6" t="s">
        <v>2060</v>
      </c>
      <c r="I166" s="6" t="s">
        <v>274</v>
      </c>
      <c r="J166" s="6"/>
      <c r="K166" s="6" t="s">
        <v>60</v>
      </c>
      <c r="L166" s="6" t="s">
        <v>61</v>
      </c>
      <c r="M166" s="6" t="s">
        <v>2061</v>
      </c>
      <c r="N166" s="6" t="s">
        <v>2062</v>
      </c>
      <c r="O166" s="8" t="s">
        <v>2063</v>
      </c>
      <c r="P166" s="6" t="n">
        <f aca="false">IF(O166="","",VALUE(LEFT(O166,4)))</f>
        <v>1801</v>
      </c>
      <c r="Q166" s="6" t="s">
        <v>2064</v>
      </c>
      <c r="R166" s="6" t="s">
        <v>2064</v>
      </c>
      <c r="S166" s="6" t="s">
        <v>172</v>
      </c>
      <c r="T166" s="6" t="s">
        <v>2065</v>
      </c>
      <c r="U166" s="6" t="s">
        <v>85</v>
      </c>
      <c r="V166" s="6" t="s">
        <v>2012</v>
      </c>
      <c r="W166" s="6" t="str">
        <f aca="false">IF(O166="","",INDEX(Lookups!$B$2:$B$166,MATCH(O166,Lookups!$A$2:$A$166,1)))</f>
        <v>Portland</v>
      </c>
      <c r="X166" s="6" t="s">
        <v>103</v>
      </c>
      <c r="Y166" s="6" t="s">
        <v>14</v>
      </c>
      <c r="Z166" s="6" t="s">
        <v>72</v>
      </c>
      <c r="AA166" s="6" t="s">
        <v>2066</v>
      </c>
      <c r="AB166" s="6" t="s">
        <v>72</v>
      </c>
      <c r="AC166" s="6"/>
      <c r="AD166" s="6"/>
      <c r="AE166" s="6"/>
      <c r="AF166" s="6"/>
      <c r="AG166" s="6"/>
      <c r="AH166" s="6"/>
      <c r="AI166" s="6" t="s">
        <v>2067</v>
      </c>
    </row>
    <row r="167" customFormat="false" ht="15" hidden="false" customHeight="true" outlineLevel="0" collapsed="false">
      <c r="A167" s="6" t="s">
        <v>2068</v>
      </c>
      <c r="B167" s="6" t="s">
        <v>2069</v>
      </c>
      <c r="C167" s="12" t="s">
        <v>9</v>
      </c>
      <c r="D167" s="6" t="s">
        <v>88</v>
      </c>
      <c r="E167" s="6" t="s">
        <v>2047</v>
      </c>
      <c r="F167" s="6" t="s">
        <v>2048</v>
      </c>
      <c r="G167" s="6" t="s">
        <v>921</v>
      </c>
      <c r="H167" s="6" t="s">
        <v>2070</v>
      </c>
      <c r="I167" s="6" t="s">
        <v>274</v>
      </c>
      <c r="J167" s="6"/>
      <c r="K167" s="6" t="s">
        <v>60</v>
      </c>
      <c r="L167" s="6" t="s">
        <v>61</v>
      </c>
      <c r="M167" s="6" t="s">
        <v>2071</v>
      </c>
      <c r="N167" s="6" t="s">
        <v>2072</v>
      </c>
      <c r="O167" s="8" t="s">
        <v>2073</v>
      </c>
      <c r="P167" s="6" t="n">
        <f aca="false">IF(O167="","",VALUE(LEFT(O167,4)))</f>
        <v>1801</v>
      </c>
      <c r="Q167" s="6" t="s">
        <v>2074</v>
      </c>
      <c r="R167" s="6" t="s">
        <v>2074</v>
      </c>
      <c r="S167" s="6" t="s">
        <v>1628</v>
      </c>
      <c r="T167" s="6" t="s">
        <v>2075</v>
      </c>
      <c r="U167" s="6" t="s">
        <v>69</v>
      </c>
      <c r="V167" s="6" t="s">
        <v>1492</v>
      </c>
      <c r="W167" s="6" t="str">
        <f aca="false">IF(O167="","",INDEX(Lookups!$B$2:$B$167,MATCH(O167,Lookups!$A$2:$A$167,1)))</f>
        <v>Portland</v>
      </c>
      <c r="X167" s="6" t="s">
        <v>103</v>
      </c>
      <c r="Y167" s="6" t="s">
        <v>16</v>
      </c>
      <c r="Z167" s="6" t="s">
        <v>55</v>
      </c>
      <c r="AA167" s="6" t="s">
        <v>2076</v>
      </c>
      <c r="AB167" s="6" t="s">
        <v>72</v>
      </c>
      <c r="AC167" s="6"/>
      <c r="AD167" s="6"/>
      <c r="AE167" s="6"/>
      <c r="AF167" s="6"/>
      <c r="AG167" s="6"/>
      <c r="AH167" s="6"/>
      <c r="AI167" s="6" t="s">
        <v>2077</v>
      </c>
    </row>
    <row r="168" customFormat="false" ht="15" hidden="false" customHeight="true" outlineLevel="0" collapsed="false">
      <c r="A168" s="6" t="s">
        <v>2078</v>
      </c>
      <c r="B168" s="6" t="s">
        <v>2079</v>
      </c>
      <c r="C168" s="12" t="s">
        <v>9</v>
      </c>
      <c r="D168" s="6" t="s">
        <v>88</v>
      </c>
      <c r="E168" s="6" t="s">
        <v>2047</v>
      </c>
      <c r="F168" s="6" t="s">
        <v>2080</v>
      </c>
      <c r="G168" s="6" t="s">
        <v>2081</v>
      </c>
      <c r="H168" s="6" t="s">
        <v>2082</v>
      </c>
      <c r="I168" s="6" t="s">
        <v>274</v>
      </c>
      <c r="J168" s="6"/>
      <c r="K168" s="6" t="s">
        <v>60</v>
      </c>
      <c r="L168" s="6" t="s">
        <v>61</v>
      </c>
      <c r="M168" s="6" t="s">
        <v>2083</v>
      </c>
      <c r="N168" s="6" t="s">
        <v>2084</v>
      </c>
      <c r="O168" s="8" t="s">
        <v>2085</v>
      </c>
      <c r="P168" s="6" t="n">
        <f aca="false">IF(O168="","",VALUE(LEFT(O168,4)))</f>
        <v>1801</v>
      </c>
      <c r="Q168" s="6" t="s">
        <v>2086</v>
      </c>
      <c r="R168" s="6" t="s">
        <v>2087</v>
      </c>
      <c r="S168" s="6" t="s">
        <v>137</v>
      </c>
      <c r="T168" s="6" t="s">
        <v>2088</v>
      </c>
      <c r="U168" s="6" t="s">
        <v>69</v>
      </c>
      <c r="V168" s="6" t="s">
        <v>2012</v>
      </c>
      <c r="W168" s="6" t="str">
        <f aca="false">IF(O168="","",INDEX(Lookups!$B$2:$B$168,MATCH(O168,Lookups!$A$2:$A$168,1)))</f>
        <v>Portland</v>
      </c>
      <c r="X168" s="6" t="s">
        <v>103</v>
      </c>
      <c r="Y168" s="6" t="s">
        <v>13</v>
      </c>
      <c r="Z168" s="6" t="s">
        <v>88</v>
      </c>
      <c r="AA168" s="6" t="s">
        <v>2089</v>
      </c>
      <c r="AB168" s="6" t="s">
        <v>141</v>
      </c>
      <c r="AC168" s="6"/>
      <c r="AD168" s="6"/>
      <c r="AE168" s="6"/>
      <c r="AF168" s="6"/>
      <c r="AG168" s="6"/>
      <c r="AH168" s="6"/>
      <c r="AI168" s="6" t="s">
        <v>2090</v>
      </c>
    </row>
    <row r="169" customFormat="false" ht="15" hidden="false" customHeight="true" outlineLevel="0" collapsed="false">
      <c r="A169" s="6" t="s">
        <v>2091</v>
      </c>
      <c r="B169" s="6" t="s">
        <v>2079</v>
      </c>
      <c r="C169" s="12" t="s">
        <v>9</v>
      </c>
      <c r="D169" s="6" t="s">
        <v>88</v>
      </c>
      <c r="E169" s="6" t="s">
        <v>2047</v>
      </c>
      <c r="F169" s="6" t="s">
        <v>2080</v>
      </c>
      <c r="G169" s="6" t="s">
        <v>2092</v>
      </c>
      <c r="H169" s="6" t="s">
        <v>2093</v>
      </c>
      <c r="I169" s="6" t="s">
        <v>274</v>
      </c>
      <c r="J169" s="6"/>
      <c r="K169" s="6" t="s">
        <v>60</v>
      </c>
      <c r="L169" s="6" t="s">
        <v>61</v>
      </c>
      <c r="M169" s="6" t="s">
        <v>2094</v>
      </c>
      <c r="N169" s="6" t="s">
        <v>2095</v>
      </c>
      <c r="O169" s="8" t="s">
        <v>2096</v>
      </c>
      <c r="P169" s="6" t="n">
        <f aca="false">IF(O169="","",VALUE(LEFT(O169,4)))</f>
        <v>1801</v>
      </c>
      <c r="Q169" s="6" t="s">
        <v>2097</v>
      </c>
      <c r="R169" s="6" t="s">
        <v>2087</v>
      </c>
      <c r="S169" s="6" t="s">
        <v>137</v>
      </c>
      <c r="T169" s="6" t="s">
        <v>2088</v>
      </c>
      <c r="U169" s="6" t="s">
        <v>69</v>
      </c>
      <c r="V169" s="6" t="s">
        <v>2012</v>
      </c>
      <c r="W169" s="6" t="str">
        <f aca="false">IF(O169="","",INDEX(Lookups!$B$2:$B$169,MATCH(O169,Lookups!$A$2:$A$169,1)))</f>
        <v>Portland</v>
      </c>
      <c r="X169" s="6" t="s">
        <v>103</v>
      </c>
      <c r="Y169" s="6" t="s">
        <v>16</v>
      </c>
      <c r="Z169" s="6" t="s">
        <v>72</v>
      </c>
      <c r="AA169" s="6" t="s">
        <v>2098</v>
      </c>
      <c r="AB169" s="6" t="s">
        <v>88</v>
      </c>
      <c r="AC169" s="6"/>
      <c r="AD169" s="6"/>
      <c r="AE169" s="6"/>
      <c r="AF169" s="6"/>
      <c r="AG169" s="6"/>
      <c r="AH169" s="6"/>
      <c r="AI169" s="6" t="s">
        <v>2099</v>
      </c>
    </row>
    <row r="170" customFormat="false" ht="15" hidden="false" customHeight="true" outlineLevel="0" collapsed="false">
      <c r="A170" s="6" t="s">
        <v>2100</v>
      </c>
      <c r="B170" s="6" t="s">
        <v>2101</v>
      </c>
      <c r="C170" s="7" t="s">
        <v>4</v>
      </c>
      <c r="D170" s="6" t="s">
        <v>88</v>
      </c>
      <c r="E170" s="6" t="s">
        <v>2047</v>
      </c>
      <c r="F170" s="6" t="s">
        <v>2080</v>
      </c>
      <c r="G170" s="6" t="s">
        <v>2102</v>
      </c>
      <c r="H170" s="6" t="s">
        <v>2103</v>
      </c>
      <c r="I170" s="6" t="s">
        <v>274</v>
      </c>
      <c r="J170" s="6"/>
      <c r="K170" s="6" t="s">
        <v>60</v>
      </c>
      <c r="L170" s="6" t="s">
        <v>61</v>
      </c>
      <c r="M170" s="6" t="s">
        <v>2104</v>
      </c>
      <c r="N170" s="6" t="s">
        <v>2105</v>
      </c>
      <c r="O170" s="8" t="s">
        <v>2106</v>
      </c>
      <c r="P170" s="6" t="n">
        <f aca="false">IF(O170="","",VALUE(LEFT(O170,4)))</f>
        <v>1801</v>
      </c>
      <c r="Q170" s="6" t="s">
        <v>2107</v>
      </c>
      <c r="R170" s="6" t="s">
        <v>2108</v>
      </c>
      <c r="S170" s="6" t="s">
        <v>1782</v>
      </c>
      <c r="T170" s="6" t="s">
        <v>2109</v>
      </c>
      <c r="U170" s="6" t="s">
        <v>69</v>
      </c>
      <c r="V170" s="6" t="s">
        <v>1492</v>
      </c>
      <c r="W170" s="6" t="str">
        <f aca="false">IF(O170="","",INDEX(Lookups!$B$2:$B$170,MATCH(O170,Lookups!$A$2:$A$170,1)))</f>
        <v>Portland</v>
      </c>
      <c r="X170" s="6" t="s">
        <v>103</v>
      </c>
      <c r="Y170" s="6" t="s">
        <v>15</v>
      </c>
      <c r="Z170" s="6" t="s">
        <v>72</v>
      </c>
      <c r="AA170" s="6" t="s">
        <v>2110</v>
      </c>
      <c r="AB170" s="6" t="s">
        <v>55</v>
      </c>
      <c r="AC170" s="6"/>
      <c r="AD170" s="6"/>
      <c r="AE170" s="6"/>
      <c r="AF170" s="6"/>
      <c r="AG170" s="6"/>
      <c r="AH170" s="6"/>
      <c r="AI170" s="6" t="s">
        <v>2111</v>
      </c>
    </row>
    <row r="171" customFormat="false" ht="15" hidden="false" customHeight="true" outlineLevel="0" collapsed="false">
      <c r="A171" s="6" t="s">
        <v>2112</v>
      </c>
      <c r="B171" s="6" t="s">
        <v>2113</v>
      </c>
      <c r="C171" s="7" t="s">
        <v>4</v>
      </c>
      <c r="D171" s="6" t="s">
        <v>88</v>
      </c>
      <c r="E171" s="6" t="s">
        <v>2047</v>
      </c>
      <c r="F171" s="6" t="s">
        <v>2114</v>
      </c>
      <c r="G171" s="6" t="s">
        <v>2115</v>
      </c>
      <c r="H171" s="6" t="s">
        <v>2116</v>
      </c>
      <c r="I171" s="6" t="s">
        <v>274</v>
      </c>
      <c r="J171" s="6"/>
      <c r="K171" s="6" t="s">
        <v>60</v>
      </c>
      <c r="L171" s="6" t="s">
        <v>61</v>
      </c>
      <c r="M171" s="6" t="s">
        <v>2117</v>
      </c>
      <c r="N171" s="6" t="s">
        <v>2118</v>
      </c>
      <c r="O171" s="8" t="s">
        <v>2119</v>
      </c>
      <c r="P171" s="6" t="n">
        <f aca="false">IF(O171="","",VALUE(LEFT(O171,4)))</f>
        <v>1801</v>
      </c>
      <c r="Q171" s="6" t="s">
        <v>2120</v>
      </c>
      <c r="R171" s="6" t="s">
        <v>2121</v>
      </c>
      <c r="S171" s="6" t="s">
        <v>1132</v>
      </c>
      <c r="T171" s="6" t="s">
        <v>2122</v>
      </c>
      <c r="U171" s="6" t="s">
        <v>279</v>
      </c>
      <c r="V171" s="6" t="s">
        <v>2123</v>
      </c>
      <c r="W171" s="6" t="str">
        <f aca="false">IF(O171="","",INDEX(Lookups!$B$2:$B$171,MATCH(O171,Lookups!$A$2:$A$171,1)))</f>
        <v>Portland</v>
      </c>
      <c r="X171" s="6" t="s">
        <v>103</v>
      </c>
      <c r="Y171" s="6" t="s">
        <v>14</v>
      </c>
      <c r="Z171" s="6" t="s">
        <v>72</v>
      </c>
      <c r="AA171" s="6" t="s">
        <v>2124</v>
      </c>
      <c r="AB171" s="6" t="s">
        <v>88</v>
      </c>
      <c r="AC171" s="6"/>
      <c r="AD171" s="6"/>
      <c r="AE171" s="6"/>
      <c r="AF171" s="6"/>
      <c r="AG171" s="6"/>
      <c r="AH171" s="6"/>
      <c r="AI171" s="6" t="s">
        <v>2125</v>
      </c>
    </row>
    <row r="172" customFormat="false" ht="15" hidden="false" customHeight="true" outlineLevel="0" collapsed="false">
      <c r="A172" s="6" t="s">
        <v>2126</v>
      </c>
      <c r="B172" s="6" t="s">
        <v>2113</v>
      </c>
      <c r="C172" s="7" t="s">
        <v>4</v>
      </c>
      <c r="D172" s="6" t="s">
        <v>88</v>
      </c>
      <c r="E172" s="6" t="s">
        <v>2047</v>
      </c>
      <c r="F172" s="6" t="s">
        <v>2114</v>
      </c>
      <c r="G172" s="6" t="s">
        <v>2127</v>
      </c>
      <c r="H172" s="6" t="s">
        <v>2128</v>
      </c>
      <c r="I172" s="6" t="s">
        <v>274</v>
      </c>
      <c r="J172" s="6"/>
      <c r="K172" s="6" t="s">
        <v>60</v>
      </c>
      <c r="L172" s="6" t="s">
        <v>61</v>
      </c>
      <c r="M172" s="6" t="s">
        <v>2129</v>
      </c>
      <c r="N172" s="6" t="s">
        <v>2130</v>
      </c>
      <c r="O172" s="8" t="s">
        <v>2131</v>
      </c>
      <c r="P172" s="6" t="n">
        <f aca="false">IF(O172="","",VALUE(LEFT(O172,4)))</f>
        <v>1801</v>
      </c>
      <c r="Q172" s="6" t="s">
        <v>2132</v>
      </c>
      <c r="R172" s="6" t="s">
        <v>2121</v>
      </c>
      <c r="S172" s="6" t="s">
        <v>1132</v>
      </c>
      <c r="T172" s="6" t="s">
        <v>2133</v>
      </c>
      <c r="U172" s="6" t="s">
        <v>279</v>
      </c>
      <c r="V172" s="6" t="s">
        <v>2123</v>
      </c>
      <c r="W172" s="6" t="str">
        <f aca="false">IF(O172="","",INDEX(Lookups!$B$2:$B$172,MATCH(O172,Lookups!$A$2:$A$172,1)))</f>
        <v>Portland</v>
      </c>
      <c r="X172" s="6" t="s">
        <v>103</v>
      </c>
      <c r="Y172" s="6" t="s">
        <v>14</v>
      </c>
      <c r="Z172" s="6" t="s">
        <v>72</v>
      </c>
      <c r="AA172" s="6" t="s">
        <v>2134</v>
      </c>
      <c r="AB172" s="6" t="s">
        <v>88</v>
      </c>
      <c r="AC172" s="6"/>
      <c r="AD172" s="6"/>
      <c r="AE172" s="6"/>
      <c r="AF172" s="6"/>
      <c r="AG172" s="6"/>
      <c r="AH172" s="6"/>
      <c r="AI172" s="6" t="s">
        <v>2135</v>
      </c>
    </row>
    <row r="173" customFormat="false" ht="15" hidden="false" customHeight="true" outlineLevel="0" collapsed="false">
      <c r="A173" s="6" t="s">
        <v>2136</v>
      </c>
      <c r="B173" s="6" t="s">
        <v>2137</v>
      </c>
      <c r="C173" s="7" t="s">
        <v>4</v>
      </c>
      <c r="D173" s="6" t="s">
        <v>88</v>
      </c>
      <c r="E173" s="6" t="s">
        <v>2047</v>
      </c>
      <c r="F173" s="6" t="s">
        <v>2114</v>
      </c>
      <c r="G173" s="6" t="s">
        <v>2138</v>
      </c>
      <c r="H173" s="6" t="s">
        <v>353</v>
      </c>
      <c r="I173" s="6" t="s">
        <v>274</v>
      </c>
      <c r="J173" s="6"/>
      <c r="K173" s="6" t="s">
        <v>60</v>
      </c>
      <c r="L173" s="6" t="s">
        <v>61</v>
      </c>
      <c r="M173" s="6" t="s">
        <v>2139</v>
      </c>
      <c r="N173" s="6" t="s">
        <v>2140</v>
      </c>
      <c r="O173" s="8" t="s">
        <v>2141</v>
      </c>
      <c r="P173" s="6" t="n">
        <f aca="false">IF(O173="","",VALUE(LEFT(O173,4)))</f>
        <v>1801</v>
      </c>
      <c r="Q173" s="6" t="s">
        <v>2142</v>
      </c>
      <c r="R173" s="6" t="s">
        <v>2142</v>
      </c>
      <c r="S173" s="6" t="s">
        <v>2143</v>
      </c>
      <c r="T173" s="6" t="s">
        <v>2144</v>
      </c>
      <c r="U173" s="6" t="s">
        <v>69</v>
      </c>
      <c r="V173" s="6" t="s">
        <v>1492</v>
      </c>
      <c r="W173" s="6" t="str">
        <f aca="false">IF(O173="","",INDEX(Lookups!$B$2:$B$173,MATCH(O173,Lookups!$A$2:$A$173,1)))</f>
        <v>Portland</v>
      </c>
      <c r="X173" s="6" t="s">
        <v>103</v>
      </c>
      <c r="Y173" s="6" t="s">
        <v>14</v>
      </c>
      <c r="Z173" s="6" t="s">
        <v>72</v>
      </c>
      <c r="AA173" s="6" t="s">
        <v>2145</v>
      </c>
      <c r="AB173" s="6" t="s">
        <v>55</v>
      </c>
      <c r="AC173" s="6"/>
      <c r="AD173" s="6"/>
      <c r="AE173" s="6"/>
      <c r="AF173" s="6"/>
      <c r="AG173" s="6"/>
      <c r="AH173" s="6"/>
      <c r="AI173" s="6" t="s">
        <v>2146</v>
      </c>
    </row>
    <row r="174" customFormat="false" ht="15" hidden="false" customHeight="true" outlineLevel="0" collapsed="false">
      <c r="A174" s="6" t="s">
        <v>2147</v>
      </c>
      <c r="B174" s="6" t="s">
        <v>2137</v>
      </c>
      <c r="C174" s="7" t="s">
        <v>4</v>
      </c>
      <c r="D174" s="6" t="s">
        <v>88</v>
      </c>
      <c r="E174" s="6" t="s">
        <v>2047</v>
      </c>
      <c r="F174" s="6" t="s">
        <v>2114</v>
      </c>
      <c r="G174" s="6" t="s">
        <v>464</v>
      </c>
      <c r="H174" s="6" t="s">
        <v>2148</v>
      </c>
      <c r="I174" s="6" t="s">
        <v>274</v>
      </c>
      <c r="J174" s="6"/>
      <c r="K174" s="6" t="s">
        <v>60</v>
      </c>
      <c r="L174" s="6" t="s">
        <v>61</v>
      </c>
      <c r="M174" s="6" t="s">
        <v>2149</v>
      </c>
      <c r="N174" s="6" t="s">
        <v>2150</v>
      </c>
      <c r="O174" s="8" t="s">
        <v>2151</v>
      </c>
      <c r="P174" s="6" t="n">
        <f aca="false">IF(O174="","",VALUE(LEFT(O174,4)))</f>
        <v>1801</v>
      </c>
      <c r="Q174" s="6" t="s">
        <v>2152</v>
      </c>
      <c r="R174" s="6" t="s">
        <v>2142</v>
      </c>
      <c r="S174" s="6" t="s">
        <v>2143</v>
      </c>
      <c r="T174" s="6" t="s">
        <v>2153</v>
      </c>
      <c r="U174" s="6" t="s">
        <v>69</v>
      </c>
      <c r="V174" s="6" t="s">
        <v>1492</v>
      </c>
      <c r="W174" s="6" t="str">
        <f aca="false">IF(O174="","",INDEX(Lookups!$B$2:$B$174,MATCH(O174,Lookups!$A$2:$A$174,1)))</f>
        <v>Portland</v>
      </c>
      <c r="X174" s="6" t="s">
        <v>103</v>
      </c>
      <c r="Y174" s="6" t="s">
        <v>14</v>
      </c>
      <c r="Z174" s="6" t="s">
        <v>72</v>
      </c>
      <c r="AA174" s="6" t="s">
        <v>2154</v>
      </c>
      <c r="AB174" s="6" t="s">
        <v>55</v>
      </c>
      <c r="AC174" s="6"/>
      <c r="AD174" s="6"/>
      <c r="AE174" s="6"/>
      <c r="AF174" s="6"/>
      <c r="AG174" s="6"/>
      <c r="AH174" s="6"/>
      <c r="AI174" s="6" t="s">
        <v>2155</v>
      </c>
    </row>
    <row r="175" customFormat="false" ht="15" hidden="false" customHeight="true" outlineLevel="0" collapsed="false">
      <c r="A175" s="6" t="s">
        <v>2156</v>
      </c>
      <c r="B175" s="6" t="s">
        <v>2157</v>
      </c>
      <c r="C175" s="12" t="s">
        <v>9</v>
      </c>
      <c r="D175" s="6" t="s">
        <v>88</v>
      </c>
      <c r="E175" s="6" t="s">
        <v>2047</v>
      </c>
      <c r="F175" s="6" t="s">
        <v>2114</v>
      </c>
      <c r="G175" s="6" t="s">
        <v>2158</v>
      </c>
      <c r="H175" s="6" t="s">
        <v>1036</v>
      </c>
      <c r="I175" s="6" t="s">
        <v>274</v>
      </c>
      <c r="J175" s="6"/>
      <c r="K175" s="6" t="s">
        <v>60</v>
      </c>
      <c r="L175" s="6" t="s">
        <v>61</v>
      </c>
      <c r="M175" s="6" t="s">
        <v>2159</v>
      </c>
      <c r="N175" s="6" t="s">
        <v>2160</v>
      </c>
      <c r="O175" s="8" t="s">
        <v>2161</v>
      </c>
      <c r="P175" s="6" t="n">
        <f aca="false">IF(O175="","",VALUE(LEFT(O175,4)))</f>
        <v>1801</v>
      </c>
      <c r="Q175" s="6" t="s">
        <v>2162</v>
      </c>
      <c r="R175" s="6" t="s">
        <v>2163</v>
      </c>
      <c r="S175" s="6" t="s">
        <v>447</v>
      </c>
      <c r="T175" s="6" t="s">
        <v>2164</v>
      </c>
      <c r="U175" s="6" t="s">
        <v>69</v>
      </c>
      <c r="V175" s="6" t="s">
        <v>2165</v>
      </c>
      <c r="W175" s="6" t="str">
        <f aca="false">IF(O175="","",INDEX(Lookups!$B$2:$B$175,MATCH(O175,Lookups!$A$2:$A$175,1)))</f>
        <v>Portland</v>
      </c>
      <c r="X175" s="6" t="s">
        <v>103</v>
      </c>
      <c r="Y175" s="6" t="s">
        <v>16</v>
      </c>
      <c r="Z175" s="6" t="s">
        <v>88</v>
      </c>
      <c r="AA175" s="6" t="s">
        <v>2166</v>
      </c>
      <c r="AB175" s="6" t="s">
        <v>141</v>
      </c>
      <c r="AC175" s="6"/>
      <c r="AD175" s="6"/>
      <c r="AE175" s="6"/>
      <c r="AF175" s="6"/>
      <c r="AG175" s="6"/>
      <c r="AH175" s="6"/>
      <c r="AI175" s="6" t="s">
        <v>2167</v>
      </c>
    </row>
    <row r="176" customFormat="false" ht="15" hidden="false" customHeight="true" outlineLevel="0" collapsed="false">
      <c r="A176" s="6" t="s">
        <v>2168</v>
      </c>
      <c r="B176" s="6" t="s">
        <v>2169</v>
      </c>
      <c r="C176" s="12" t="s">
        <v>9</v>
      </c>
      <c r="D176" s="6" t="s">
        <v>88</v>
      </c>
      <c r="E176" s="6" t="s">
        <v>2047</v>
      </c>
      <c r="F176" s="6" t="s">
        <v>2114</v>
      </c>
      <c r="G176" s="6" t="s">
        <v>859</v>
      </c>
      <c r="H176" s="6" t="s">
        <v>2170</v>
      </c>
      <c r="I176" s="6" t="s">
        <v>274</v>
      </c>
      <c r="J176" s="6"/>
      <c r="K176" s="6" t="s">
        <v>60</v>
      </c>
      <c r="L176" s="6" t="s">
        <v>61</v>
      </c>
      <c r="M176" s="6" t="s">
        <v>2171</v>
      </c>
      <c r="N176" s="6" t="s">
        <v>2172</v>
      </c>
      <c r="O176" s="8" t="s">
        <v>2173</v>
      </c>
      <c r="P176" s="6" t="n">
        <f aca="false">IF(O176="","",VALUE(LEFT(O176,4)))</f>
        <v>1801</v>
      </c>
      <c r="Q176" s="6" t="s">
        <v>1068</v>
      </c>
      <c r="R176" s="6" t="s">
        <v>1068</v>
      </c>
      <c r="S176" s="6" t="s">
        <v>447</v>
      </c>
      <c r="T176" s="6" t="s">
        <v>2174</v>
      </c>
      <c r="U176" s="6" t="s">
        <v>69</v>
      </c>
      <c r="V176" s="6" t="s">
        <v>1492</v>
      </c>
      <c r="W176" s="6" t="str">
        <f aca="false">IF(O176="","",INDEX(Lookups!$B$2:$B$176,MATCH(O176,Lookups!$A$2:$A$176,1)))</f>
        <v>Portland</v>
      </c>
      <c r="X176" s="6" t="s">
        <v>267</v>
      </c>
      <c r="Y176" s="6" t="s">
        <v>16</v>
      </c>
      <c r="Z176" s="6" t="s">
        <v>72</v>
      </c>
      <c r="AA176" s="6" t="s">
        <v>2175</v>
      </c>
      <c r="AB176" s="6" t="s">
        <v>141</v>
      </c>
      <c r="AC176" s="6"/>
      <c r="AD176" s="6"/>
      <c r="AE176" s="6"/>
      <c r="AF176" s="6"/>
      <c r="AG176" s="6"/>
      <c r="AH176" s="6"/>
      <c r="AI176" s="6" t="s">
        <v>2176</v>
      </c>
    </row>
    <row r="177" customFormat="false" ht="15" hidden="false" customHeight="true" outlineLevel="0" collapsed="false">
      <c r="A177" s="6" t="s">
        <v>2177</v>
      </c>
      <c r="B177" s="6" t="s">
        <v>2178</v>
      </c>
      <c r="C177" s="12" t="s">
        <v>9</v>
      </c>
      <c r="D177" s="6" t="s">
        <v>88</v>
      </c>
      <c r="E177" s="6" t="s">
        <v>2047</v>
      </c>
      <c r="F177" s="6" t="s">
        <v>2179</v>
      </c>
      <c r="G177" s="6" t="s">
        <v>2180</v>
      </c>
      <c r="H177" s="6" t="s">
        <v>2181</v>
      </c>
      <c r="I177" s="6" t="s">
        <v>274</v>
      </c>
      <c r="J177" s="6"/>
      <c r="K177" s="6" t="s">
        <v>60</v>
      </c>
      <c r="L177" s="6" t="s">
        <v>61</v>
      </c>
      <c r="M177" s="6" t="s">
        <v>2182</v>
      </c>
      <c r="N177" s="6" t="s">
        <v>2183</v>
      </c>
      <c r="O177" s="8" t="s">
        <v>2184</v>
      </c>
      <c r="P177" s="6" t="n">
        <f aca="false">IF(O177="","",VALUE(LEFT(O177,4)))</f>
        <v>1801</v>
      </c>
      <c r="Q177" s="6" t="s">
        <v>369</v>
      </c>
      <c r="R177" s="6" t="s">
        <v>369</v>
      </c>
      <c r="S177" s="6" t="s">
        <v>1026</v>
      </c>
      <c r="T177" s="6" t="s">
        <v>2185</v>
      </c>
      <c r="U177" s="6" t="s">
        <v>174</v>
      </c>
      <c r="V177" s="6" t="s">
        <v>1492</v>
      </c>
      <c r="W177" s="6" t="str">
        <f aca="false">IF(O177="","",INDEX(Lookups!$B$2:$B$177,MATCH(O177,Lookups!$A$2:$A$177,1)))</f>
        <v>Portland</v>
      </c>
      <c r="X177" s="6" t="s">
        <v>103</v>
      </c>
      <c r="Y177" s="6" t="s">
        <v>16</v>
      </c>
      <c r="Z177" s="6" t="s">
        <v>72</v>
      </c>
      <c r="AA177" s="6" t="s">
        <v>2186</v>
      </c>
      <c r="AB177" s="6" t="s">
        <v>88</v>
      </c>
      <c r="AC177" s="6"/>
      <c r="AD177" s="6"/>
      <c r="AE177" s="6"/>
      <c r="AF177" s="6"/>
      <c r="AG177" s="6"/>
      <c r="AH177" s="6"/>
      <c r="AI177" s="6" t="s">
        <v>2187</v>
      </c>
    </row>
    <row r="178" customFormat="false" ht="15" hidden="false" customHeight="true" outlineLevel="0" collapsed="false">
      <c r="A178" s="6" t="s">
        <v>2188</v>
      </c>
      <c r="B178" s="6" t="s">
        <v>2189</v>
      </c>
      <c r="C178" s="7" t="s">
        <v>4</v>
      </c>
      <c r="D178" s="6" t="s">
        <v>88</v>
      </c>
      <c r="E178" s="6" t="s">
        <v>2047</v>
      </c>
      <c r="F178" s="6" t="s">
        <v>2179</v>
      </c>
      <c r="G178" s="6" t="s">
        <v>478</v>
      </c>
      <c r="H178" s="6" t="s">
        <v>479</v>
      </c>
      <c r="I178" s="6" t="s">
        <v>274</v>
      </c>
      <c r="J178" s="6"/>
      <c r="K178" s="6" t="s">
        <v>60</v>
      </c>
      <c r="L178" s="6" t="s">
        <v>61</v>
      </c>
      <c r="M178" s="6" t="s">
        <v>2190</v>
      </c>
      <c r="N178" s="6" t="s">
        <v>2191</v>
      </c>
      <c r="O178" s="8" t="s">
        <v>2192</v>
      </c>
      <c r="P178" s="6" t="n">
        <f aca="false">IF(O178="","",VALUE(LEFT(O178,4)))</f>
        <v>1801</v>
      </c>
      <c r="Q178" s="6" t="s">
        <v>2193</v>
      </c>
      <c r="R178" s="6" t="s">
        <v>2194</v>
      </c>
      <c r="S178" s="6" t="s">
        <v>1026</v>
      </c>
      <c r="T178" s="6" t="s">
        <v>2195</v>
      </c>
      <c r="U178" s="6" t="s">
        <v>69</v>
      </c>
      <c r="V178" s="6" t="s">
        <v>2012</v>
      </c>
      <c r="W178" s="6" t="str">
        <f aca="false">IF(O178="","",INDEX(Lookups!$B$2:$B$178,MATCH(O178,Lookups!$A$2:$A$178,1)))</f>
        <v>Portland</v>
      </c>
      <c r="X178" s="6" t="s">
        <v>103</v>
      </c>
      <c r="Y178" s="6" t="s">
        <v>13</v>
      </c>
      <c r="Z178" s="6" t="s">
        <v>72</v>
      </c>
      <c r="AA178" s="6" t="s">
        <v>2196</v>
      </c>
      <c r="AB178" s="6" t="s">
        <v>141</v>
      </c>
      <c r="AC178" s="6"/>
      <c r="AD178" s="6"/>
      <c r="AE178" s="6"/>
      <c r="AF178" s="6"/>
      <c r="AG178" s="6"/>
      <c r="AH178" s="6"/>
      <c r="AI178" s="6" t="s">
        <v>2197</v>
      </c>
    </row>
    <row r="179" customFormat="false" ht="15" hidden="false" customHeight="true" outlineLevel="0" collapsed="false">
      <c r="A179" s="6" t="s">
        <v>2198</v>
      </c>
      <c r="B179" s="6" t="s">
        <v>2169</v>
      </c>
      <c r="C179" s="12" t="s">
        <v>9</v>
      </c>
      <c r="D179" s="6" t="s">
        <v>88</v>
      </c>
      <c r="E179" s="6" t="s">
        <v>2047</v>
      </c>
      <c r="F179" s="6" t="s">
        <v>2179</v>
      </c>
      <c r="G179" s="6" t="s">
        <v>1586</v>
      </c>
      <c r="H179" s="6" t="s">
        <v>2199</v>
      </c>
      <c r="I179" s="6" t="s">
        <v>274</v>
      </c>
      <c r="J179" s="6"/>
      <c r="K179" s="6" t="s">
        <v>60</v>
      </c>
      <c r="L179" s="6" t="s">
        <v>61</v>
      </c>
      <c r="M179" s="6" t="s">
        <v>2200</v>
      </c>
      <c r="N179" s="6" t="s">
        <v>2201</v>
      </c>
      <c r="O179" s="8" t="s">
        <v>2192</v>
      </c>
      <c r="P179" s="6" t="n">
        <f aca="false">IF(O179="","",VALUE(LEFT(O179,4)))</f>
        <v>1801</v>
      </c>
      <c r="Q179" s="6" t="s">
        <v>1068</v>
      </c>
      <c r="R179" s="6" t="s">
        <v>1068</v>
      </c>
      <c r="S179" s="6" t="s">
        <v>447</v>
      </c>
      <c r="T179" s="6" t="s">
        <v>2202</v>
      </c>
      <c r="U179" s="6" t="s">
        <v>69</v>
      </c>
      <c r="V179" s="6" t="s">
        <v>1492</v>
      </c>
      <c r="W179" s="6" t="str">
        <f aca="false">IF(O179="","",INDEX(Lookups!$B$2:$B$179,MATCH(O179,Lookups!$A$2:$A$179,1)))</f>
        <v>Portland</v>
      </c>
      <c r="X179" s="6" t="s">
        <v>267</v>
      </c>
      <c r="Y179" s="6" t="s">
        <v>16</v>
      </c>
      <c r="Z179" s="6" t="s">
        <v>72</v>
      </c>
      <c r="AA179" s="6" t="s">
        <v>2203</v>
      </c>
      <c r="AB179" s="6" t="s">
        <v>141</v>
      </c>
      <c r="AC179" s="6"/>
      <c r="AD179" s="6"/>
      <c r="AE179" s="6"/>
      <c r="AF179" s="6"/>
      <c r="AG179" s="6"/>
      <c r="AH179" s="6"/>
      <c r="AI179" s="6" t="s">
        <v>2204</v>
      </c>
    </row>
    <row r="180" customFormat="false" ht="15" hidden="false" customHeight="true" outlineLevel="0" collapsed="false">
      <c r="A180" s="6" t="s">
        <v>2205</v>
      </c>
      <c r="B180" s="6" t="s">
        <v>2169</v>
      </c>
      <c r="C180" s="7" t="s">
        <v>4</v>
      </c>
      <c r="D180" s="6" t="s">
        <v>88</v>
      </c>
      <c r="E180" s="6" t="s">
        <v>2047</v>
      </c>
      <c r="F180" s="6" t="s">
        <v>2179</v>
      </c>
      <c r="G180" s="6" t="s">
        <v>2206</v>
      </c>
      <c r="H180" s="6" t="s">
        <v>2207</v>
      </c>
      <c r="I180" s="6" t="s">
        <v>274</v>
      </c>
      <c r="J180" s="6"/>
      <c r="K180" s="6" t="s">
        <v>60</v>
      </c>
      <c r="L180" s="6" t="s">
        <v>61</v>
      </c>
      <c r="M180" s="6" t="s">
        <v>2208</v>
      </c>
      <c r="N180" s="6" t="s">
        <v>2209</v>
      </c>
      <c r="O180" s="8" t="s">
        <v>2210</v>
      </c>
      <c r="P180" s="6" t="n">
        <f aca="false">IF(O180="","",VALUE(LEFT(O180,4)))</f>
        <v>1801</v>
      </c>
      <c r="Q180" s="6" t="s">
        <v>1068</v>
      </c>
      <c r="R180" s="6" t="s">
        <v>1068</v>
      </c>
      <c r="S180" s="6" t="s">
        <v>447</v>
      </c>
      <c r="T180" s="6" t="s">
        <v>2202</v>
      </c>
      <c r="U180" s="6" t="s">
        <v>69</v>
      </c>
      <c r="V180" s="6" t="s">
        <v>1492</v>
      </c>
      <c r="W180" s="6" t="str">
        <f aca="false">IF(O180="","",INDEX(Lookups!$B$2:$B$180,MATCH(O180,Lookups!$A$2:$A$180,1)))</f>
        <v>Portland</v>
      </c>
      <c r="X180" s="6" t="s">
        <v>267</v>
      </c>
      <c r="Y180" s="6" t="s">
        <v>15</v>
      </c>
      <c r="Z180" s="6" t="s">
        <v>72</v>
      </c>
      <c r="AA180" s="6" t="s">
        <v>2211</v>
      </c>
      <c r="AB180" s="6" t="s">
        <v>88</v>
      </c>
      <c r="AC180" s="6"/>
      <c r="AD180" s="6"/>
      <c r="AE180" s="6"/>
      <c r="AF180" s="6"/>
      <c r="AG180" s="6"/>
      <c r="AH180" s="6"/>
      <c r="AI180" s="6" t="s">
        <v>2212</v>
      </c>
    </row>
    <row r="181" customFormat="false" ht="15" hidden="false" customHeight="true" outlineLevel="0" collapsed="false">
      <c r="A181" s="6" t="s">
        <v>2213</v>
      </c>
      <c r="B181" s="6" t="s">
        <v>2214</v>
      </c>
      <c r="C181" s="12" t="s">
        <v>9</v>
      </c>
      <c r="D181" s="6" t="s">
        <v>88</v>
      </c>
      <c r="E181" s="6" t="s">
        <v>2047</v>
      </c>
      <c r="F181" s="6" t="s">
        <v>2215</v>
      </c>
      <c r="G181" s="6" t="s">
        <v>478</v>
      </c>
      <c r="H181" s="6" t="s">
        <v>2216</v>
      </c>
      <c r="I181" s="6" t="s">
        <v>274</v>
      </c>
      <c r="J181" s="6"/>
      <c r="K181" s="6" t="s">
        <v>60</v>
      </c>
      <c r="L181" s="6" t="s">
        <v>61</v>
      </c>
      <c r="M181" s="6" t="s">
        <v>2217</v>
      </c>
      <c r="N181" s="6" t="s">
        <v>2218</v>
      </c>
      <c r="O181" s="8" t="s">
        <v>2210</v>
      </c>
      <c r="P181" s="6" t="n">
        <f aca="false">IF(O181="","",VALUE(LEFT(O181,4)))</f>
        <v>1801</v>
      </c>
      <c r="Q181" s="6" t="s">
        <v>2219</v>
      </c>
      <c r="R181" s="6" t="s">
        <v>171</v>
      </c>
      <c r="S181" s="6" t="s">
        <v>172</v>
      </c>
      <c r="T181" s="6" t="s">
        <v>2220</v>
      </c>
      <c r="U181" s="6" t="s">
        <v>217</v>
      </c>
      <c r="V181" s="6" t="s">
        <v>2221</v>
      </c>
      <c r="W181" s="6" t="str">
        <f aca="false">IF(O181="","",INDEX(Lookups!$B$2:$B$181,MATCH(O181,Lookups!$A$2:$A$181,1)))</f>
        <v>Portland</v>
      </c>
      <c r="X181" s="6" t="s">
        <v>103</v>
      </c>
      <c r="Y181" s="6" t="s">
        <v>16</v>
      </c>
      <c r="Z181" s="6" t="s">
        <v>72</v>
      </c>
      <c r="AA181" s="6" t="s">
        <v>2222</v>
      </c>
      <c r="AB181" s="6" t="s">
        <v>88</v>
      </c>
      <c r="AC181" s="6"/>
      <c r="AD181" s="6"/>
      <c r="AE181" s="6"/>
      <c r="AF181" s="6"/>
      <c r="AG181" s="6"/>
      <c r="AH181" s="6"/>
      <c r="AI181" s="6" t="s">
        <v>2223</v>
      </c>
    </row>
    <row r="182" customFormat="false" ht="15" hidden="false" customHeight="true" outlineLevel="0" collapsed="false">
      <c r="A182" s="6" t="s">
        <v>2224</v>
      </c>
      <c r="B182" s="6" t="s">
        <v>2214</v>
      </c>
      <c r="C182" s="7" t="s">
        <v>4</v>
      </c>
      <c r="D182" s="6" t="s">
        <v>88</v>
      </c>
      <c r="E182" s="6" t="s">
        <v>2047</v>
      </c>
      <c r="F182" s="6" t="s">
        <v>2179</v>
      </c>
      <c r="G182" s="6" t="s">
        <v>2225</v>
      </c>
      <c r="H182" s="6" t="s">
        <v>2226</v>
      </c>
      <c r="I182" s="6" t="s">
        <v>274</v>
      </c>
      <c r="J182" s="6"/>
      <c r="K182" s="6" t="s">
        <v>60</v>
      </c>
      <c r="L182" s="6" t="s">
        <v>61</v>
      </c>
      <c r="M182" s="6" t="s">
        <v>2227</v>
      </c>
      <c r="N182" s="6" t="s">
        <v>2228</v>
      </c>
      <c r="O182" s="8" t="s">
        <v>2229</v>
      </c>
      <c r="P182" s="6" t="n">
        <f aca="false">IF(O182="","",VALUE(LEFT(O182,4)))</f>
        <v>1801</v>
      </c>
      <c r="Q182" s="6" t="s">
        <v>2219</v>
      </c>
      <c r="R182" s="6" t="s">
        <v>171</v>
      </c>
      <c r="S182" s="6" t="s">
        <v>172</v>
      </c>
      <c r="T182" s="6" t="s">
        <v>2230</v>
      </c>
      <c r="U182" s="6" t="s">
        <v>85</v>
      </c>
      <c r="V182" s="6" t="s">
        <v>1492</v>
      </c>
      <c r="W182" s="6" t="str">
        <f aca="false">IF(O182="","",INDEX(Lookups!$B$2:$B$182,MATCH(O182,Lookups!$A$2:$A$182,1)))</f>
        <v>Portland</v>
      </c>
      <c r="X182" s="6" t="s">
        <v>103</v>
      </c>
      <c r="Y182" s="6" t="s">
        <v>15</v>
      </c>
      <c r="Z182" s="6" t="s">
        <v>55</v>
      </c>
      <c r="AA182" s="6" t="s">
        <v>2231</v>
      </c>
      <c r="AB182" s="6" t="s">
        <v>88</v>
      </c>
      <c r="AC182" s="6"/>
      <c r="AD182" s="6"/>
      <c r="AE182" s="6"/>
      <c r="AF182" s="6"/>
      <c r="AG182" s="6"/>
      <c r="AH182" s="6"/>
      <c r="AI182" s="6" t="s">
        <v>2232</v>
      </c>
    </row>
    <row r="183" customFormat="false" ht="15" hidden="false" customHeight="true" outlineLevel="0" collapsed="false">
      <c r="A183" s="6" t="s">
        <v>2233</v>
      </c>
      <c r="B183" s="6" t="s">
        <v>2234</v>
      </c>
      <c r="C183" s="7" t="s">
        <v>4</v>
      </c>
      <c r="D183" s="6" t="s">
        <v>88</v>
      </c>
      <c r="E183" s="6" t="s">
        <v>2047</v>
      </c>
      <c r="F183" s="6" t="s">
        <v>2179</v>
      </c>
      <c r="G183" s="6" t="s">
        <v>2235</v>
      </c>
      <c r="H183" s="6" t="s">
        <v>2236</v>
      </c>
      <c r="I183" s="6" t="s">
        <v>274</v>
      </c>
      <c r="J183" s="6"/>
      <c r="K183" s="6" t="s">
        <v>60</v>
      </c>
      <c r="L183" s="6" t="s">
        <v>61</v>
      </c>
      <c r="M183" s="6" t="s">
        <v>2237</v>
      </c>
      <c r="N183" s="6" t="s">
        <v>2238</v>
      </c>
      <c r="O183" s="8" t="s">
        <v>2229</v>
      </c>
      <c r="P183" s="6" t="n">
        <f aca="false">IF(O183="","",VALUE(LEFT(O183,4)))</f>
        <v>1801</v>
      </c>
      <c r="Q183" s="6" t="s">
        <v>2239</v>
      </c>
      <c r="R183" s="6" t="s">
        <v>2240</v>
      </c>
      <c r="S183" s="6" t="s">
        <v>67</v>
      </c>
      <c r="T183" s="6" t="s">
        <v>2241</v>
      </c>
      <c r="U183" s="6" t="s">
        <v>69</v>
      </c>
      <c r="V183" s="6" t="s">
        <v>2012</v>
      </c>
      <c r="W183" s="6" t="str">
        <f aca="false">IF(O183="","",INDEX(Lookups!$B$2:$B$183,MATCH(O183,Lookups!$A$2:$A$183,1)))</f>
        <v>Portland</v>
      </c>
      <c r="X183" s="6" t="s">
        <v>103</v>
      </c>
      <c r="Y183" s="6" t="s">
        <v>13</v>
      </c>
      <c r="Z183" s="6" t="s">
        <v>72</v>
      </c>
      <c r="AA183" s="6" t="s">
        <v>2242</v>
      </c>
      <c r="AB183" s="6" t="s">
        <v>88</v>
      </c>
      <c r="AC183" s="6"/>
      <c r="AD183" s="6"/>
      <c r="AE183" s="6"/>
      <c r="AF183" s="6"/>
      <c r="AG183" s="6"/>
      <c r="AH183" s="6"/>
      <c r="AI183" s="6" t="s">
        <v>2243</v>
      </c>
    </row>
    <row r="184" customFormat="false" ht="15" hidden="false" customHeight="true" outlineLevel="0" collapsed="false">
      <c r="A184" s="6" t="s">
        <v>2244</v>
      </c>
      <c r="B184" s="6" t="s">
        <v>2245</v>
      </c>
      <c r="C184" s="7" t="s">
        <v>4</v>
      </c>
      <c r="D184" s="6" t="s">
        <v>88</v>
      </c>
      <c r="E184" s="6" t="s">
        <v>2047</v>
      </c>
      <c r="F184" s="6" t="s">
        <v>2215</v>
      </c>
      <c r="G184" s="6" t="s">
        <v>2246</v>
      </c>
      <c r="H184" s="6" t="s">
        <v>2247</v>
      </c>
      <c r="I184" s="6" t="s">
        <v>274</v>
      </c>
      <c r="J184" s="6"/>
      <c r="K184" s="6" t="s">
        <v>60</v>
      </c>
      <c r="L184" s="6" t="s">
        <v>61</v>
      </c>
      <c r="M184" s="6" t="s">
        <v>2248</v>
      </c>
      <c r="N184" s="6" t="s">
        <v>2249</v>
      </c>
      <c r="O184" s="8" t="s">
        <v>2250</v>
      </c>
      <c r="P184" s="6" t="n">
        <f aca="false">IF(O184="","",VALUE(LEFT(O184,4)))</f>
        <v>1801</v>
      </c>
      <c r="Q184" s="6" t="s">
        <v>184</v>
      </c>
      <c r="R184" s="6" t="s">
        <v>184</v>
      </c>
      <c r="S184" s="6" t="s">
        <v>185</v>
      </c>
      <c r="T184" s="6" t="s">
        <v>2251</v>
      </c>
      <c r="U184" s="6" t="s">
        <v>69</v>
      </c>
      <c r="V184" s="6" t="s">
        <v>2012</v>
      </c>
      <c r="W184" s="6" t="str">
        <f aca="false">IF(O184="","",INDEX(Lookups!$B$2:$B$184,MATCH(O184,Lookups!$A$2:$A$184,1)))</f>
        <v>Portland</v>
      </c>
      <c r="X184" s="6" t="s">
        <v>103</v>
      </c>
      <c r="Y184" s="6" t="s">
        <v>16</v>
      </c>
      <c r="Z184" s="6" t="s">
        <v>72</v>
      </c>
      <c r="AA184" s="6" t="s">
        <v>2252</v>
      </c>
      <c r="AB184" s="6" t="s">
        <v>88</v>
      </c>
      <c r="AC184" s="6"/>
      <c r="AD184" s="6"/>
      <c r="AE184" s="6"/>
      <c r="AF184" s="6"/>
      <c r="AG184" s="6"/>
      <c r="AH184" s="6"/>
      <c r="AI184" s="6" t="s">
        <v>2253</v>
      </c>
    </row>
    <row r="185" customFormat="false" ht="15" hidden="false" customHeight="true" outlineLevel="0" collapsed="false">
      <c r="A185" s="6" t="s">
        <v>2254</v>
      </c>
      <c r="B185" s="6" t="s">
        <v>2234</v>
      </c>
      <c r="C185" s="7" t="s">
        <v>4</v>
      </c>
      <c r="D185" s="6" t="s">
        <v>88</v>
      </c>
      <c r="E185" s="6" t="s">
        <v>2047</v>
      </c>
      <c r="F185" s="6" t="s">
        <v>2215</v>
      </c>
      <c r="G185" s="6" t="s">
        <v>980</v>
      </c>
      <c r="H185" s="6" t="s">
        <v>2255</v>
      </c>
      <c r="I185" s="6" t="s">
        <v>274</v>
      </c>
      <c r="J185" s="6"/>
      <c r="K185" s="6" t="s">
        <v>60</v>
      </c>
      <c r="L185" s="6" t="s">
        <v>61</v>
      </c>
      <c r="M185" s="6" t="s">
        <v>2256</v>
      </c>
      <c r="N185" s="6" t="s">
        <v>2257</v>
      </c>
      <c r="O185" s="8" t="s">
        <v>2250</v>
      </c>
      <c r="P185" s="6" t="n">
        <f aca="false">IF(O185="","",VALUE(LEFT(O185,4)))</f>
        <v>1801</v>
      </c>
      <c r="Q185" s="6" t="s">
        <v>2258</v>
      </c>
      <c r="R185" s="6" t="s">
        <v>2240</v>
      </c>
      <c r="S185" s="6" t="s">
        <v>67</v>
      </c>
      <c r="T185" s="6" t="s">
        <v>2259</v>
      </c>
      <c r="U185" s="6" t="s">
        <v>217</v>
      </c>
      <c r="V185" s="6" t="s">
        <v>2260</v>
      </c>
      <c r="W185" s="6" t="str">
        <f aca="false">IF(O185="","",INDEX(Lookups!$B$2:$B$185,MATCH(O185,Lookups!$A$2:$A$185,1)))</f>
        <v>Portland</v>
      </c>
      <c r="X185" s="6" t="s">
        <v>103</v>
      </c>
      <c r="Y185" s="6" t="s">
        <v>13</v>
      </c>
      <c r="Z185" s="6" t="s">
        <v>72</v>
      </c>
      <c r="AA185" s="6" t="s">
        <v>2261</v>
      </c>
      <c r="AB185" s="6" t="s">
        <v>88</v>
      </c>
      <c r="AC185" s="6"/>
      <c r="AD185" s="6"/>
      <c r="AE185" s="6"/>
      <c r="AF185" s="6"/>
      <c r="AG185" s="6"/>
      <c r="AH185" s="6"/>
      <c r="AI185" s="6" t="s">
        <v>2262</v>
      </c>
    </row>
    <row r="186" customFormat="false" ht="15" hidden="false" customHeight="true" outlineLevel="0" collapsed="false">
      <c r="A186" s="6" t="s">
        <v>2263</v>
      </c>
      <c r="B186" s="6" t="s">
        <v>2264</v>
      </c>
      <c r="C186" s="7" t="s">
        <v>4</v>
      </c>
      <c r="D186" s="6" t="s">
        <v>88</v>
      </c>
      <c r="E186" s="6" t="s">
        <v>2047</v>
      </c>
      <c r="F186" s="6" t="s">
        <v>2215</v>
      </c>
      <c r="G186" s="6" t="s">
        <v>489</v>
      </c>
      <c r="H186" s="6" t="s">
        <v>2265</v>
      </c>
      <c r="I186" s="6" t="s">
        <v>274</v>
      </c>
      <c r="J186" s="6"/>
      <c r="K186" s="6" t="s">
        <v>60</v>
      </c>
      <c r="L186" s="6" t="s">
        <v>61</v>
      </c>
      <c r="M186" s="6" t="s">
        <v>2266</v>
      </c>
      <c r="N186" s="6" t="s">
        <v>2267</v>
      </c>
      <c r="O186" s="8" t="s">
        <v>2250</v>
      </c>
      <c r="P186" s="6" t="n">
        <f aca="false">IF(O186="","",VALUE(LEFT(O186,4)))</f>
        <v>1801</v>
      </c>
      <c r="Q186" s="6" t="s">
        <v>2268</v>
      </c>
      <c r="R186" s="6" t="s">
        <v>2268</v>
      </c>
      <c r="S186" s="6" t="s">
        <v>67</v>
      </c>
      <c r="T186" s="6" t="s">
        <v>2269</v>
      </c>
      <c r="U186" s="6" t="s">
        <v>85</v>
      </c>
      <c r="V186" s="6" t="s">
        <v>1492</v>
      </c>
      <c r="W186" s="6" t="str">
        <f aca="false">IF(O186="","",INDEX(Lookups!$B$2:$B$186,MATCH(O186,Lookups!$A$2:$A$186,1)))</f>
        <v>Portland</v>
      </c>
      <c r="X186" s="6" t="s">
        <v>103</v>
      </c>
      <c r="Y186" s="6" t="s">
        <v>13</v>
      </c>
      <c r="Z186" s="6" t="s">
        <v>88</v>
      </c>
      <c r="AA186" s="6" t="s">
        <v>2270</v>
      </c>
      <c r="AB186" s="6" t="s">
        <v>88</v>
      </c>
      <c r="AC186" s="6"/>
      <c r="AD186" s="6"/>
      <c r="AE186" s="6"/>
      <c r="AF186" s="6"/>
      <c r="AG186" s="6"/>
      <c r="AH186" s="6"/>
      <c r="AI186" s="6" t="s">
        <v>2271</v>
      </c>
    </row>
    <row r="187" customFormat="false" ht="15" hidden="false" customHeight="true" outlineLevel="0" collapsed="false">
      <c r="A187" s="6" t="s">
        <v>2272</v>
      </c>
      <c r="B187" s="6" t="s">
        <v>2214</v>
      </c>
      <c r="C187" s="12" t="s">
        <v>9</v>
      </c>
      <c r="D187" s="6" t="s">
        <v>88</v>
      </c>
      <c r="E187" s="6" t="s">
        <v>2047</v>
      </c>
      <c r="F187" s="6" t="s">
        <v>2215</v>
      </c>
      <c r="G187" s="6" t="s">
        <v>2273</v>
      </c>
      <c r="H187" s="6" t="s">
        <v>2274</v>
      </c>
      <c r="I187" s="6" t="s">
        <v>274</v>
      </c>
      <c r="J187" s="6"/>
      <c r="K187" s="6" t="s">
        <v>60</v>
      </c>
      <c r="L187" s="6" t="s">
        <v>61</v>
      </c>
      <c r="M187" s="6" t="s">
        <v>2275</v>
      </c>
      <c r="N187" s="6" t="s">
        <v>2276</v>
      </c>
      <c r="O187" s="8" t="s">
        <v>2277</v>
      </c>
      <c r="P187" s="6" t="n">
        <f aca="false">IF(O187="","",VALUE(LEFT(O187,4)))</f>
        <v>1801</v>
      </c>
      <c r="Q187" s="6" t="s">
        <v>2278</v>
      </c>
      <c r="R187" s="6" t="s">
        <v>171</v>
      </c>
      <c r="S187" s="6" t="s">
        <v>172</v>
      </c>
      <c r="T187" s="6" t="s">
        <v>2279</v>
      </c>
      <c r="U187" s="6" t="s">
        <v>254</v>
      </c>
      <c r="V187" s="6" t="s">
        <v>2280</v>
      </c>
      <c r="W187" s="6" t="str">
        <f aca="false">IF(O187="","",INDEX(Lookups!$B$2:$B$187,MATCH(O187,Lookups!$A$2:$A$187,1)))</f>
        <v>Portland</v>
      </c>
      <c r="X187" s="6" t="s">
        <v>103</v>
      </c>
      <c r="Y187" s="6" t="s">
        <v>15</v>
      </c>
      <c r="Z187" s="6" t="s">
        <v>55</v>
      </c>
      <c r="AA187" s="6" t="s">
        <v>2281</v>
      </c>
      <c r="AB187" s="6" t="s">
        <v>88</v>
      </c>
      <c r="AC187" s="6"/>
      <c r="AD187" s="6"/>
      <c r="AE187" s="6"/>
      <c r="AF187" s="6"/>
      <c r="AG187" s="6"/>
      <c r="AH187" s="6"/>
      <c r="AI187" s="6" t="s">
        <v>2282</v>
      </c>
    </row>
    <row r="188" customFormat="false" ht="15" hidden="false" customHeight="true" outlineLevel="0" collapsed="false">
      <c r="A188" s="6" t="s">
        <v>2283</v>
      </c>
      <c r="B188" s="6" t="s">
        <v>2284</v>
      </c>
      <c r="C188" s="12" t="s">
        <v>9</v>
      </c>
      <c r="D188" s="6" t="s">
        <v>88</v>
      </c>
      <c r="E188" s="6" t="s">
        <v>2047</v>
      </c>
      <c r="F188" s="6" t="s">
        <v>2215</v>
      </c>
      <c r="G188" s="6" t="s">
        <v>2285</v>
      </c>
      <c r="H188" s="6" t="s">
        <v>2286</v>
      </c>
      <c r="I188" s="6" t="s">
        <v>274</v>
      </c>
      <c r="J188" s="6"/>
      <c r="K188" s="6" t="s">
        <v>60</v>
      </c>
      <c r="L188" s="6" t="s">
        <v>61</v>
      </c>
      <c r="M188" s="6" t="s">
        <v>2287</v>
      </c>
      <c r="N188" s="6" t="s">
        <v>2288</v>
      </c>
      <c r="O188" s="8" t="s">
        <v>2277</v>
      </c>
      <c r="P188" s="6" t="n">
        <f aca="false">IF(O188="","",VALUE(LEFT(O188,4)))</f>
        <v>1801</v>
      </c>
      <c r="Q188" s="6" t="s">
        <v>2289</v>
      </c>
      <c r="R188" s="6" t="s">
        <v>2289</v>
      </c>
      <c r="S188" s="6" t="s">
        <v>172</v>
      </c>
      <c r="T188" s="6" t="s">
        <v>2290</v>
      </c>
      <c r="U188" s="6" t="s">
        <v>217</v>
      </c>
      <c r="V188" s="6" t="s">
        <v>2291</v>
      </c>
      <c r="W188" s="6" t="str">
        <f aca="false">IF(O188="","",INDEX(Lookups!$B$2:$B$188,MATCH(O188,Lookups!$A$2:$A$188,1)))</f>
        <v>Portland</v>
      </c>
      <c r="X188" s="6" t="s">
        <v>103</v>
      </c>
      <c r="Y188" s="6" t="s">
        <v>16</v>
      </c>
      <c r="Z188" s="6" t="s">
        <v>72</v>
      </c>
      <c r="AA188" s="6" t="s">
        <v>2292</v>
      </c>
      <c r="AB188" s="6" t="s">
        <v>141</v>
      </c>
      <c r="AC188" s="6"/>
      <c r="AD188" s="6"/>
      <c r="AE188" s="6"/>
      <c r="AF188" s="6"/>
      <c r="AG188" s="6"/>
      <c r="AH188" s="6"/>
      <c r="AI188" s="6" t="s">
        <v>2293</v>
      </c>
    </row>
    <row r="189" customFormat="false" ht="15" hidden="false" customHeight="true" outlineLevel="0" collapsed="false">
      <c r="A189" s="6" t="s">
        <v>2294</v>
      </c>
      <c r="B189" s="6" t="s">
        <v>2214</v>
      </c>
      <c r="C189" s="12" t="s">
        <v>9</v>
      </c>
      <c r="D189" s="6" t="s">
        <v>88</v>
      </c>
      <c r="E189" s="6" t="s">
        <v>2047</v>
      </c>
      <c r="F189" s="6" t="s">
        <v>2215</v>
      </c>
      <c r="G189" s="6" t="s">
        <v>2059</v>
      </c>
      <c r="H189" s="6" t="s">
        <v>2295</v>
      </c>
      <c r="I189" s="6" t="s">
        <v>274</v>
      </c>
      <c r="J189" s="6"/>
      <c r="K189" s="6" t="s">
        <v>60</v>
      </c>
      <c r="L189" s="6" t="s">
        <v>61</v>
      </c>
      <c r="M189" s="6" t="s">
        <v>2296</v>
      </c>
      <c r="N189" s="6" t="s">
        <v>2297</v>
      </c>
      <c r="O189" s="8" t="s">
        <v>2298</v>
      </c>
      <c r="P189" s="6" t="n">
        <f aca="false">IF(O189="","",VALUE(LEFT(O189,4)))</f>
        <v>1801</v>
      </c>
      <c r="Q189" s="6" t="s">
        <v>2299</v>
      </c>
      <c r="R189" s="6" t="s">
        <v>171</v>
      </c>
      <c r="S189" s="6" t="s">
        <v>172</v>
      </c>
      <c r="T189" s="6" t="s">
        <v>2300</v>
      </c>
      <c r="U189" s="6" t="s">
        <v>174</v>
      </c>
      <c r="V189" s="6" t="s">
        <v>1492</v>
      </c>
      <c r="W189" s="6" t="str">
        <f aca="false">IF(O189="","",INDEX(Lookups!$B$2:$B$189,MATCH(O189,Lookups!$A$2:$A$189,1)))</f>
        <v>Portland</v>
      </c>
      <c r="X189" s="6" t="s">
        <v>103</v>
      </c>
      <c r="Y189" s="6" t="s">
        <v>16</v>
      </c>
      <c r="Z189" s="6" t="s">
        <v>72</v>
      </c>
      <c r="AA189" s="6" t="s">
        <v>2301</v>
      </c>
      <c r="AB189" s="6" t="s">
        <v>88</v>
      </c>
      <c r="AC189" s="6"/>
      <c r="AD189" s="6"/>
      <c r="AE189" s="6"/>
      <c r="AF189" s="6"/>
      <c r="AG189" s="6"/>
      <c r="AH189" s="6"/>
      <c r="AI189" s="6" t="s">
        <v>2302</v>
      </c>
    </row>
    <row r="190" customFormat="false" ht="15" hidden="false" customHeight="true" outlineLevel="0" collapsed="false">
      <c r="A190" s="6" t="s">
        <v>2303</v>
      </c>
      <c r="B190" s="6" t="s">
        <v>2304</v>
      </c>
      <c r="C190" s="12" t="s">
        <v>9</v>
      </c>
      <c r="D190" s="6" t="s">
        <v>88</v>
      </c>
      <c r="E190" s="6" t="s">
        <v>2047</v>
      </c>
      <c r="F190" s="6" t="s">
        <v>2215</v>
      </c>
      <c r="G190" s="6" t="s">
        <v>2305</v>
      </c>
      <c r="H190" s="6" t="s">
        <v>2306</v>
      </c>
      <c r="I190" s="6" t="s">
        <v>274</v>
      </c>
      <c r="J190" s="6"/>
      <c r="K190" s="6" t="s">
        <v>60</v>
      </c>
      <c r="L190" s="6" t="s">
        <v>61</v>
      </c>
      <c r="M190" s="6" t="s">
        <v>2307</v>
      </c>
      <c r="N190" s="6" t="s">
        <v>2308</v>
      </c>
      <c r="O190" s="8" t="s">
        <v>2309</v>
      </c>
      <c r="P190" s="6" t="n">
        <f aca="false">IF(O190="","",VALUE(LEFT(O190,4)))</f>
        <v>1801</v>
      </c>
      <c r="Q190" s="6" t="s">
        <v>2310</v>
      </c>
      <c r="R190" s="6" t="s">
        <v>1466</v>
      </c>
      <c r="S190" s="6" t="s">
        <v>172</v>
      </c>
      <c r="T190" s="6" t="s">
        <v>2311</v>
      </c>
      <c r="U190" s="6" t="s">
        <v>139</v>
      </c>
      <c r="V190" s="6" t="s">
        <v>2312</v>
      </c>
      <c r="W190" s="6" t="str">
        <f aca="false">IF(O190="","",INDEX(Lookups!$B$2:$B$190,MATCH(O190,Lookups!$A$2:$A$190,1)))</f>
        <v>Portland</v>
      </c>
      <c r="X190" s="6" t="s">
        <v>103</v>
      </c>
      <c r="Y190" s="6" t="s">
        <v>13</v>
      </c>
      <c r="Z190" s="6" t="s">
        <v>72</v>
      </c>
      <c r="AA190" s="6" t="s">
        <v>2313</v>
      </c>
      <c r="AB190" s="6" t="s">
        <v>88</v>
      </c>
      <c r="AC190" s="6"/>
      <c r="AD190" s="6"/>
      <c r="AE190" s="6"/>
      <c r="AF190" s="6"/>
      <c r="AG190" s="6"/>
      <c r="AH190" s="6"/>
      <c r="AI190" s="6" t="s">
        <v>2314</v>
      </c>
    </row>
    <row r="191" customFormat="false" ht="15" hidden="false" customHeight="true" outlineLevel="0" collapsed="false">
      <c r="A191" s="6" t="s">
        <v>2315</v>
      </c>
      <c r="B191" s="6" t="s">
        <v>2316</v>
      </c>
      <c r="C191" s="12" t="s">
        <v>9</v>
      </c>
      <c r="D191" s="6" t="s">
        <v>88</v>
      </c>
      <c r="E191" s="6" t="s">
        <v>2047</v>
      </c>
      <c r="F191" s="6" t="s">
        <v>2317</v>
      </c>
      <c r="G191" s="6" t="s">
        <v>2318</v>
      </c>
      <c r="H191" s="6" t="s">
        <v>1361</v>
      </c>
      <c r="I191" s="6" t="s">
        <v>274</v>
      </c>
      <c r="J191" s="6"/>
      <c r="K191" s="6" t="s">
        <v>60</v>
      </c>
      <c r="L191" s="6" t="s">
        <v>61</v>
      </c>
      <c r="M191" s="6" t="s">
        <v>2319</v>
      </c>
      <c r="N191" s="6" t="s">
        <v>2320</v>
      </c>
      <c r="O191" s="8" t="s">
        <v>2321</v>
      </c>
      <c r="P191" s="6" t="n">
        <f aca="false">IF(O191="","",VALUE(LEFT(O191,4)))</f>
        <v>1801</v>
      </c>
      <c r="Q191" s="6" t="s">
        <v>2322</v>
      </c>
      <c r="R191" s="6" t="s">
        <v>2323</v>
      </c>
      <c r="S191" s="6" t="s">
        <v>67</v>
      </c>
      <c r="T191" s="6" t="s">
        <v>2324</v>
      </c>
      <c r="U191" s="6" t="s">
        <v>815</v>
      </c>
      <c r="V191" s="6" t="s">
        <v>1492</v>
      </c>
      <c r="W191" s="6" t="str">
        <f aca="false">IF(O191="","",INDEX(Lookups!$B$2:$B$191,MATCH(O191,Lookups!$A$2:$A$191,1)))</f>
        <v>Portland</v>
      </c>
      <c r="X191" s="6" t="s">
        <v>103</v>
      </c>
      <c r="Y191" s="6" t="s">
        <v>16</v>
      </c>
      <c r="Z191" s="6" t="s">
        <v>72</v>
      </c>
      <c r="AA191" s="6" t="s">
        <v>2325</v>
      </c>
      <c r="AB191" s="6" t="s">
        <v>88</v>
      </c>
      <c r="AC191" s="6"/>
      <c r="AD191" s="6"/>
      <c r="AE191" s="6"/>
      <c r="AF191" s="6"/>
      <c r="AG191" s="6"/>
      <c r="AH191" s="6"/>
      <c r="AI191" s="6" t="s">
        <v>2326</v>
      </c>
    </row>
    <row r="192" customFormat="false" ht="15" hidden="false" customHeight="true" outlineLevel="0" collapsed="false">
      <c r="A192" s="6" t="s">
        <v>2327</v>
      </c>
      <c r="B192" s="6" t="s">
        <v>2328</v>
      </c>
      <c r="C192" s="12" t="s">
        <v>9</v>
      </c>
      <c r="D192" s="6" t="s">
        <v>88</v>
      </c>
      <c r="E192" s="6" t="s">
        <v>2047</v>
      </c>
      <c r="F192" s="6" t="s">
        <v>2317</v>
      </c>
      <c r="G192" s="6" t="s">
        <v>1176</v>
      </c>
      <c r="H192" s="6" t="s">
        <v>2329</v>
      </c>
      <c r="I192" s="6" t="s">
        <v>274</v>
      </c>
      <c r="J192" s="6"/>
      <c r="K192" s="6" t="s">
        <v>60</v>
      </c>
      <c r="L192" s="6" t="s">
        <v>61</v>
      </c>
      <c r="M192" s="6" t="s">
        <v>2330</v>
      </c>
      <c r="N192" s="6" t="s">
        <v>2331</v>
      </c>
      <c r="O192" s="8" t="s">
        <v>2321</v>
      </c>
      <c r="P192" s="6" t="n">
        <f aca="false">IF(O192="","",VALUE(LEFT(O192,4)))</f>
        <v>1801</v>
      </c>
      <c r="Q192" s="6" t="s">
        <v>2332</v>
      </c>
      <c r="R192" s="6" t="s">
        <v>2333</v>
      </c>
      <c r="S192" s="6" t="s">
        <v>172</v>
      </c>
      <c r="T192" s="6" t="s">
        <v>2334</v>
      </c>
      <c r="U192" s="6" t="s">
        <v>69</v>
      </c>
      <c r="V192" s="6" t="s">
        <v>2335</v>
      </c>
      <c r="W192" s="6" t="str">
        <f aca="false">IF(O192="","",INDEX(Lookups!$B$2:$B$192,MATCH(O192,Lookups!$A$2:$A$192,1)))</f>
        <v>Portland</v>
      </c>
      <c r="X192" s="6" t="s">
        <v>103</v>
      </c>
      <c r="Y192" s="6" t="s">
        <v>16</v>
      </c>
      <c r="Z192" s="6" t="s">
        <v>72</v>
      </c>
      <c r="AA192" s="6" t="s">
        <v>2336</v>
      </c>
      <c r="AB192" s="6" t="s">
        <v>88</v>
      </c>
      <c r="AC192" s="6"/>
      <c r="AD192" s="6"/>
      <c r="AE192" s="6"/>
      <c r="AF192" s="6"/>
      <c r="AG192" s="6"/>
      <c r="AH192" s="6"/>
      <c r="AI192" s="6" t="s">
        <v>2337</v>
      </c>
    </row>
    <row r="193" customFormat="false" ht="15" hidden="false" customHeight="true" outlineLevel="0" collapsed="false">
      <c r="A193" s="6" t="s">
        <v>2338</v>
      </c>
      <c r="B193" s="6" t="s">
        <v>2339</v>
      </c>
      <c r="C193" s="7" t="s">
        <v>4</v>
      </c>
      <c r="D193" s="6" t="s">
        <v>88</v>
      </c>
      <c r="E193" s="6" t="s">
        <v>2047</v>
      </c>
      <c r="F193" s="6" t="s">
        <v>2317</v>
      </c>
      <c r="G193" s="6" t="s">
        <v>2340</v>
      </c>
      <c r="H193" s="6" t="s">
        <v>2341</v>
      </c>
      <c r="I193" s="6" t="s">
        <v>274</v>
      </c>
      <c r="J193" s="6"/>
      <c r="K193" s="6" t="s">
        <v>60</v>
      </c>
      <c r="L193" s="6" t="s">
        <v>61</v>
      </c>
      <c r="M193" s="6" t="s">
        <v>2342</v>
      </c>
      <c r="N193" s="6" t="s">
        <v>2343</v>
      </c>
      <c r="O193" s="8" t="s">
        <v>2344</v>
      </c>
      <c r="P193" s="6" t="n">
        <f aca="false">IF(O193="","",VALUE(LEFT(O193,4)))</f>
        <v>1801</v>
      </c>
      <c r="Q193" s="6" t="s">
        <v>2345</v>
      </c>
      <c r="R193" s="6" t="s">
        <v>2346</v>
      </c>
      <c r="S193" s="6" t="s">
        <v>172</v>
      </c>
      <c r="T193" s="6" t="s">
        <v>2347</v>
      </c>
      <c r="U193" s="6" t="s">
        <v>69</v>
      </c>
      <c r="V193" s="6" t="s">
        <v>1492</v>
      </c>
      <c r="W193" s="6" t="str">
        <f aca="false">IF(O193="","",INDEX(Lookups!$B$2:$B$193,MATCH(O193,Lookups!$A$2:$A$193,1)))</f>
        <v>Portland</v>
      </c>
      <c r="X193" s="6" t="s">
        <v>103</v>
      </c>
      <c r="Y193" s="6" t="s">
        <v>13</v>
      </c>
      <c r="Z193" s="6" t="s">
        <v>88</v>
      </c>
      <c r="AA193" s="6" t="s">
        <v>2348</v>
      </c>
      <c r="AB193" s="6" t="s">
        <v>88</v>
      </c>
      <c r="AC193" s="6"/>
      <c r="AD193" s="6"/>
      <c r="AE193" s="6"/>
      <c r="AF193" s="6"/>
      <c r="AG193" s="6"/>
      <c r="AH193" s="6"/>
      <c r="AI193" s="6" t="s">
        <v>2349</v>
      </c>
    </row>
    <row r="194" customFormat="false" ht="15" hidden="false" customHeight="true" outlineLevel="0" collapsed="false">
      <c r="A194" s="6" t="s">
        <v>2350</v>
      </c>
      <c r="B194" s="6" t="s">
        <v>2214</v>
      </c>
      <c r="C194" s="9" t="s">
        <v>6</v>
      </c>
      <c r="D194" s="6" t="s">
        <v>88</v>
      </c>
      <c r="E194" s="6" t="s">
        <v>2047</v>
      </c>
      <c r="F194" s="6" t="s">
        <v>2317</v>
      </c>
      <c r="G194" s="6" t="s">
        <v>2351</v>
      </c>
      <c r="H194" s="6" t="s">
        <v>2352</v>
      </c>
      <c r="I194" s="6" t="s">
        <v>274</v>
      </c>
      <c r="J194" s="6"/>
      <c r="K194" s="6" t="s">
        <v>60</v>
      </c>
      <c r="L194" s="6" t="s">
        <v>61</v>
      </c>
      <c r="M194" s="6" t="s">
        <v>2353</v>
      </c>
      <c r="N194" s="6" t="s">
        <v>2354</v>
      </c>
      <c r="O194" s="8" t="s">
        <v>2344</v>
      </c>
      <c r="P194" s="6" t="n">
        <f aca="false">IF(O194="","",VALUE(LEFT(O194,4)))</f>
        <v>1801</v>
      </c>
      <c r="Q194" s="6" t="s">
        <v>171</v>
      </c>
      <c r="R194" s="6" t="s">
        <v>171</v>
      </c>
      <c r="S194" s="6" t="s">
        <v>172</v>
      </c>
      <c r="T194" s="6" t="s">
        <v>2355</v>
      </c>
      <c r="U194" s="6" t="s">
        <v>139</v>
      </c>
      <c r="V194" s="6" t="s">
        <v>2356</v>
      </c>
      <c r="W194" s="6" t="str">
        <f aca="false">IF(O194="","",INDEX(Lookups!$B$2:$B$194,MATCH(O194,Lookups!$A$2:$A$194,1)))</f>
        <v>Portland</v>
      </c>
      <c r="X194" s="6" t="s">
        <v>103</v>
      </c>
      <c r="Y194" s="6" t="s">
        <v>16</v>
      </c>
      <c r="Z194" s="6" t="s">
        <v>72</v>
      </c>
      <c r="AA194" s="6" t="s">
        <v>2357</v>
      </c>
      <c r="AB194" s="6" t="s">
        <v>88</v>
      </c>
      <c r="AC194" s="6"/>
      <c r="AD194" s="6"/>
      <c r="AE194" s="6"/>
      <c r="AF194" s="6"/>
      <c r="AG194" s="6"/>
      <c r="AH194" s="6"/>
      <c r="AI194" s="6" t="s">
        <v>2358</v>
      </c>
    </row>
    <row r="195" customFormat="false" ht="15" hidden="false" customHeight="true" outlineLevel="0" collapsed="false">
      <c r="A195" s="6" t="s">
        <v>2359</v>
      </c>
      <c r="B195" s="6" t="s">
        <v>2339</v>
      </c>
      <c r="C195" s="7" t="s">
        <v>4</v>
      </c>
      <c r="D195" s="6" t="s">
        <v>88</v>
      </c>
      <c r="E195" s="6" t="s">
        <v>2047</v>
      </c>
      <c r="F195" s="6" t="s">
        <v>2317</v>
      </c>
      <c r="G195" s="6" t="s">
        <v>2360</v>
      </c>
      <c r="H195" s="6" t="s">
        <v>2361</v>
      </c>
      <c r="I195" s="6" t="s">
        <v>274</v>
      </c>
      <c r="J195" s="6"/>
      <c r="K195" s="6" t="s">
        <v>60</v>
      </c>
      <c r="L195" s="6" t="s">
        <v>61</v>
      </c>
      <c r="M195" s="6" t="s">
        <v>2362</v>
      </c>
      <c r="N195" s="6" t="s">
        <v>2363</v>
      </c>
      <c r="O195" s="8" t="s">
        <v>2364</v>
      </c>
      <c r="P195" s="6" t="n">
        <f aca="false">IF(O195="","",VALUE(LEFT(O195,4)))</f>
        <v>1801</v>
      </c>
      <c r="Q195" s="6" t="s">
        <v>2345</v>
      </c>
      <c r="R195" s="6" t="s">
        <v>2346</v>
      </c>
      <c r="S195" s="6" t="s">
        <v>172</v>
      </c>
      <c r="T195" s="6" t="s">
        <v>2347</v>
      </c>
      <c r="U195" s="6" t="s">
        <v>69</v>
      </c>
      <c r="V195" s="6" t="s">
        <v>1492</v>
      </c>
      <c r="W195" s="6" t="str">
        <f aca="false">IF(O195="","",INDEX(Lookups!$B$2:$B$195,MATCH(O195,Lookups!$A$2:$A$195,1)))</f>
        <v>Portland</v>
      </c>
      <c r="X195" s="6" t="s">
        <v>103</v>
      </c>
      <c r="Y195" s="6" t="s">
        <v>16</v>
      </c>
      <c r="Z195" s="6" t="s">
        <v>88</v>
      </c>
      <c r="AA195" s="6" t="s">
        <v>2365</v>
      </c>
      <c r="AB195" s="6" t="s">
        <v>88</v>
      </c>
      <c r="AC195" s="6"/>
      <c r="AD195" s="6"/>
      <c r="AE195" s="6"/>
      <c r="AF195" s="6"/>
      <c r="AG195" s="6"/>
      <c r="AH195" s="6"/>
      <c r="AI195" s="6" t="s">
        <v>2366</v>
      </c>
    </row>
    <row r="196" customFormat="false" ht="15" hidden="false" customHeight="true" outlineLevel="0" collapsed="false">
      <c r="A196" s="6" t="s">
        <v>2367</v>
      </c>
      <c r="B196" s="6" t="s">
        <v>2368</v>
      </c>
      <c r="C196" s="12" t="s">
        <v>9</v>
      </c>
      <c r="D196" s="6" t="s">
        <v>88</v>
      </c>
      <c r="E196" s="6" t="s">
        <v>2047</v>
      </c>
      <c r="F196" s="6" t="s">
        <v>2317</v>
      </c>
      <c r="G196" s="6" t="s">
        <v>2369</v>
      </c>
      <c r="H196" s="6" t="s">
        <v>2370</v>
      </c>
      <c r="I196" s="6" t="s">
        <v>274</v>
      </c>
      <c r="J196" s="6"/>
      <c r="K196" s="6" t="s">
        <v>60</v>
      </c>
      <c r="L196" s="6" t="s">
        <v>61</v>
      </c>
      <c r="M196" s="6" t="s">
        <v>2371</v>
      </c>
      <c r="N196" s="6" t="s">
        <v>2372</v>
      </c>
      <c r="O196" s="8" t="s">
        <v>2364</v>
      </c>
      <c r="P196" s="6" t="n">
        <f aca="false">IF(O196="","",VALUE(LEFT(O196,4)))</f>
        <v>1801</v>
      </c>
      <c r="Q196" s="6" t="s">
        <v>2373</v>
      </c>
      <c r="R196" s="6" t="s">
        <v>2374</v>
      </c>
      <c r="S196" s="6" t="s">
        <v>67</v>
      </c>
      <c r="T196" s="6" t="s">
        <v>2375</v>
      </c>
      <c r="U196" s="6" t="s">
        <v>217</v>
      </c>
      <c r="V196" s="6" t="s">
        <v>2376</v>
      </c>
      <c r="W196" s="6" t="str">
        <f aca="false">IF(O196="","",INDEX(Lookups!$B$2:$B$196,MATCH(O196,Lookups!$A$2:$A$196,1)))</f>
        <v>Portland</v>
      </c>
      <c r="X196" s="6" t="s">
        <v>103</v>
      </c>
      <c r="Y196" s="6" t="s">
        <v>16</v>
      </c>
      <c r="Z196" s="6" t="s">
        <v>88</v>
      </c>
      <c r="AA196" s="6" t="s">
        <v>2377</v>
      </c>
      <c r="AB196" s="6" t="s">
        <v>88</v>
      </c>
      <c r="AC196" s="6"/>
      <c r="AD196" s="6"/>
      <c r="AE196" s="6"/>
      <c r="AF196" s="6"/>
      <c r="AG196" s="6"/>
      <c r="AH196" s="6"/>
      <c r="AI196" s="6" t="s">
        <v>2378</v>
      </c>
    </row>
    <row r="197" customFormat="false" ht="15" hidden="false" customHeight="true" outlineLevel="0" collapsed="false">
      <c r="A197" s="6" t="s">
        <v>2379</v>
      </c>
      <c r="B197" s="6" t="s">
        <v>2380</v>
      </c>
      <c r="C197" s="7" t="s">
        <v>4</v>
      </c>
      <c r="D197" s="6" t="s">
        <v>88</v>
      </c>
      <c r="E197" s="6" t="s">
        <v>2047</v>
      </c>
      <c r="F197" s="6" t="s">
        <v>2317</v>
      </c>
      <c r="G197" s="6" t="s">
        <v>1657</v>
      </c>
      <c r="H197" s="6" t="s">
        <v>2381</v>
      </c>
      <c r="I197" s="6" t="s">
        <v>274</v>
      </c>
      <c r="J197" s="6"/>
      <c r="K197" s="6" t="s">
        <v>60</v>
      </c>
      <c r="L197" s="6" t="s">
        <v>61</v>
      </c>
      <c r="M197" s="6" t="s">
        <v>2382</v>
      </c>
      <c r="N197" s="6" t="s">
        <v>2383</v>
      </c>
      <c r="O197" s="8" t="s">
        <v>2384</v>
      </c>
      <c r="P197" s="6" t="n">
        <f aca="false">IF(O197="","",VALUE(LEFT(O197,4)))</f>
        <v>1801</v>
      </c>
      <c r="Q197" s="6" t="s">
        <v>2385</v>
      </c>
      <c r="R197" s="6" t="s">
        <v>2386</v>
      </c>
      <c r="S197" s="6" t="s">
        <v>1026</v>
      </c>
      <c r="T197" s="6" t="s">
        <v>2387</v>
      </c>
      <c r="U197" s="6" t="s">
        <v>69</v>
      </c>
      <c r="V197" s="6" t="s">
        <v>2012</v>
      </c>
      <c r="W197" s="6" t="str">
        <f aca="false">IF(O197="","",INDEX(Lookups!$B$2:$B$197,MATCH(O197,Lookups!$A$2:$A$197,1)))</f>
        <v>Portland</v>
      </c>
      <c r="X197" s="6" t="s">
        <v>103</v>
      </c>
      <c r="Y197" s="6" t="s">
        <v>13</v>
      </c>
      <c r="Z197" s="6" t="s">
        <v>88</v>
      </c>
      <c r="AA197" s="6" t="s">
        <v>2388</v>
      </c>
      <c r="AB197" s="6" t="s">
        <v>55</v>
      </c>
      <c r="AC197" s="6"/>
      <c r="AD197" s="6"/>
      <c r="AE197" s="6"/>
      <c r="AF197" s="6"/>
      <c r="AG197" s="6"/>
      <c r="AH197" s="6"/>
      <c r="AI197" s="6" t="s">
        <v>2389</v>
      </c>
    </row>
    <row r="198" customFormat="false" ht="15" hidden="false" customHeight="true" outlineLevel="0" collapsed="false">
      <c r="A198" s="6" t="s">
        <v>2390</v>
      </c>
      <c r="B198" s="6" t="s">
        <v>2391</v>
      </c>
      <c r="C198" s="12" t="s">
        <v>9</v>
      </c>
      <c r="D198" s="6" t="s">
        <v>88</v>
      </c>
      <c r="E198" s="6" t="s">
        <v>2047</v>
      </c>
      <c r="F198" s="6" t="s">
        <v>2317</v>
      </c>
      <c r="G198" s="6" t="s">
        <v>2392</v>
      </c>
      <c r="H198" s="6" t="s">
        <v>2393</v>
      </c>
      <c r="I198" s="6" t="s">
        <v>274</v>
      </c>
      <c r="J198" s="6"/>
      <c r="K198" s="6" t="s">
        <v>60</v>
      </c>
      <c r="L198" s="6" t="s">
        <v>61</v>
      </c>
      <c r="M198" s="6" t="s">
        <v>2394</v>
      </c>
      <c r="N198" s="6" t="s">
        <v>2395</v>
      </c>
      <c r="O198" s="8" t="s">
        <v>2384</v>
      </c>
      <c r="P198" s="6" t="n">
        <f aca="false">IF(O198="","",VALUE(LEFT(O198,4)))</f>
        <v>1801</v>
      </c>
      <c r="Q198" s="6" t="s">
        <v>369</v>
      </c>
      <c r="R198" s="6" t="s">
        <v>369</v>
      </c>
      <c r="S198" s="6" t="s">
        <v>1026</v>
      </c>
      <c r="T198" s="6" t="s">
        <v>2396</v>
      </c>
      <c r="U198" s="6" t="s">
        <v>174</v>
      </c>
      <c r="V198" s="6" t="s">
        <v>2012</v>
      </c>
      <c r="W198" s="6" t="str">
        <f aca="false">IF(O198="","",INDEX(Lookups!$B$2:$B$198,MATCH(O198,Lookups!$A$2:$A$198,1)))</f>
        <v>Portland</v>
      </c>
      <c r="X198" s="6" t="s">
        <v>103</v>
      </c>
      <c r="Y198" s="6" t="s">
        <v>16</v>
      </c>
      <c r="Z198" s="6" t="s">
        <v>72</v>
      </c>
      <c r="AA198" s="6" t="s">
        <v>2397</v>
      </c>
      <c r="AB198" s="6" t="s">
        <v>88</v>
      </c>
      <c r="AC198" s="6"/>
      <c r="AD198" s="6"/>
      <c r="AE198" s="6"/>
      <c r="AF198" s="6"/>
      <c r="AG198" s="6"/>
      <c r="AH198" s="6"/>
      <c r="AI198" s="6" t="s">
        <v>2398</v>
      </c>
    </row>
    <row r="199" customFormat="false" ht="15" hidden="false" customHeight="true" outlineLevel="0" collapsed="false">
      <c r="A199" s="6" t="s">
        <v>2399</v>
      </c>
      <c r="B199" s="6" t="s">
        <v>2400</v>
      </c>
      <c r="C199" s="12" t="s">
        <v>9</v>
      </c>
      <c r="D199" s="6" t="s">
        <v>88</v>
      </c>
      <c r="E199" s="6" t="s">
        <v>2047</v>
      </c>
      <c r="F199" s="6" t="s">
        <v>2317</v>
      </c>
      <c r="G199" s="6" t="s">
        <v>1188</v>
      </c>
      <c r="H199" s="6" t="s">
        <v>2401</v>
      </c>
      <c r="I199" s="6" t="s">
        <v>274</v>
      </c>
      <c r="J199" s="6"/>
      <c r="K199" s="6" t="s">
        <v>60</v>
      </c>
      <c r="L199" s="6" t="s">
        <v>61</v>
      </c>
      <c r="M199" s="6" t="s">
        <v>2402</v>
      </c>
      <c r="N199" s="6" t="s">
        <v>2403</v>
      </c>
      <c r="O199" s="8" t="s">
        <v>2404</v>
      </c>
      <c r="P199" s="6" t="n">
        <f aca="false">IF(O199="","",VALUE(LEFT(O199,4)))</f>
        <v>1801</v>
      </c>
      <c r="Q199" s="6" t="s">
        <v>2405</v>
      </c>
      <c r="R199" s="6" t="s">
        <v>2406</v>
      </c>
      <c r="S199" s="6" t="s">
        <v>172</v>
      </c>
      <c r="T199" s="6" t="s">
        <v>2407</v>
      </c>
      <c r="U199" s="6" t="s">
        <v>174</v>
      </c>
      <c r="V199" s="6" t="s">
        <v>2408</v>
      </c>
      <c r="W199" s="6" t="str">
        <f aca="false">IF(O199="","",INDEX(Lookups!$B$2:$B$199,MATCH(O199,Lookups!$A$2:$A$199,1)))</f>
        <v>Portland</v>
      </c>
      <c r="X199" s="6" t="s">
        <v>103</v>
      </c>
      <c r="Y199" s="6" t="s">
        <v>16</v>
      </c>
      <c r="Z199" s="6" t="s">
        <v>88</v>
      </c>
      <c r="AA199" s="6" t="s">
        <v>2409</v>
      </c>
      <c r="AB199" s="6" t="s">
        <v>88</v>
      </c>
      <c r="AC199" s="6"/>
      <c r="AD199" s="6"/>
      <c r="AE199" s="6"/>
      <c r="AF199" s="6"/>
      <c r="AG199" s="6"/>
      <c r="AH199" s="6"/>
      <c r="AI199" s="6" t="s">
        <v>2410</v>
      </c>
    </row>
    <row r="200" customFormat="false" ht="15" hidden="false" customHeight="true" outlineLevel="0" collapsed="false">
      <c r="A200" s="6" t="s">
        <v>2411</v>
      </c>
      <c r="B200" s="6" t="s">
        <v>2214</v>
      </c>
      <c r="C200" s="12" t="s">
        <v>9</v>
      </c>
      <c r="D200" s="6" t="s">
        <v>88</v>
      </c>
      <c r="E200" s="6" t="s">
        <v>2047</v>
      </c>
      <c r="F200" s="6" t="s">
        <v>2317</v>
      </c>
      <c r="G200" s="6" t="s">
        <v>2412</v>
      </c>
      <c r="H200" s="6" t="s">
        <v>2413</v>
      </c>
      <c r="I200" s="6" t="s">
        <v>274</v>
      </c>
      <c r="J200" s="6"/>
      <c r="K200" s="6" t="s">
        <v>60</v>
      </c>
      <c r="L200" s="6" t="s">
        <v>61</v>
      </c>
      <c r="M200" s="6" t="s">
        <v>2414</v>
      </c>
      <c r="N200" s="6" t="s">
        <v>2415</v>
      </c>
      <c r="O200" s="8" t="s">
        <v>2404</v>
      </c>
      <c r="P200" s="6" t="n">
        <f aca="false">IF(O200="","",VALUE(LEFT(O200,4)))</f>
        <v>1801</v>
      </c>
      <c r="Q200" s="6" t="s">
        <v>2416</v>
      </c>
      <c r="R200" s="6" t="s">
        <v>171</v>
      </c>
      <c r="S200" s="6" t="s">
        <v>172</v>
      </c>
      <c r="T200" s="6" t="s">
        <v>2417</v>
      </c>
      <c r="U200" s="6" t="s">
        <v>174</v>
      </c>
      <c r="V200" s="6" t="s">
        <v>1492</v>
      </c>
      <c r="W200" s="6" t="str">
        <f aca="false">IF(O200="","",INDEX(Lookups!$B$2:$B$200,MATCH(O200,Lookups!$A$2:$A$200,1)))</f>
        <v>Portland</v>
      </c>
      <c r="X200" s="6" t="s">
        <v>103</v>
      </c>
      <c r="Y200" s="6" t="s">
        <v>16</v>
      </c>
      <c r="Z200" s="6" t="s">
        <v>72</v>
      </c>
      <c r="AA200" s="6" t="s">
        <v>2418</v>
      </c>
      <c r="AB200" s="6" t="s">
        <v>88</v>
      </c>
      <c r="AC200" s="6"/>
      <c r="AD200" s="6"/>
      <c r="AE200" s="6"/>
      <c r="AF200" s="6"/>
      <c r="AG200" s="6"/>
      <c r="AH200" s="6"/>
      <c r="AI200" s="6" t="s">
        <v>2419</v>
      </c>
    </row>
    <row r="201" customFormat="false" ht="15" hidden="false" customHeight="true" outlineLevel="0" collapsed="false">
      <c r="A201" s="6" t="s">
        <v>2420</v>
      </c>
      <c r="B201" s="6" t="s">
        <v>2339</v>
      </c>
      <c r="C201" s="9" t="s">
        <v>6</v>
      </c>
      <c r="D201" s="6" t="s">
        <v>88</v>
      </c>
      <c r="E201" s="6" t="s">
        <v>2047</v>
      </c>
      <c r="F201" s="6" t="s">
        <v>2421</v>
      </c>
      <c r="G201" s="6" t="s">
        <v>2422</v>
      </c>
      <c r="H201" s="6" t="s">
        <v>2423</v>
      </c>
      <c r="I201" s="6" t="s">
        <v>274</v>
      </c>
      <c r="J201" s="6"/>
      <c r="K201" s="6" t="s">
        <v>60</v>
      </c>
      <c r="L201" s="6" t="s">
        <v>61</v>
      </c>
      <c r="M201" s="6" t="s">
        <v>2424</v>
      </c>
      <c r="N201" s="6" t="s">
        <v>2425</v>
      </c>
      <c r="O201" s="8" t="s">
        <v>2426</v>
      </c>
      <c r="P201" s="6" t="n">
        <f aca="false">IF(O201="","",VALUE(LEFT(O201,4)))</f>
        <v>1801</v>
      </c>
      <c r="Q201" s="6" t="s">
        <v>2427</v>
      </c>
      <c r="R201" s="6" t="s">
        <v>2346</v>
      </c>
      <c r="S201" s="6" t="s">
        <v>172</v>
      </c>
      <c r="T201" s="6" t="s">
        <v>2428</v>
      </c>
      <c r="U201" s="6" t="s">
        <v>139</v>
      </c>
      <c r="V201" s="6" t="s">
        <v>2429</v>
      </c>
      <c r="W201" s="6" t="str">
        <f aca="false">IF(O201="","",INDEX(Lookups!$B$2:$B$201,MATCH(O201,Lookups!$A$2:$A$201,1)))</f>
        <v>Portland</v>
      </c>
      <c r="X201" s="6" t="s">
        <v>103</v>
      </c>
      <c r="Y201" s="6" t="s">
        <v>16</v>
      </c>
      <c r="Z201" s="6" t="s">
        <v>72</v>
      </c>
      <c r="AA201" s="6" t="s">
        <v>2430</v>
      </c>
      <c r="AB201" s="6" t="s">
        <v>88</v>
      </c>
      <c r="AC201" s="6"/>
      <c r="AD201" s="6"/>
      <c r="AE201" s="6"/>
      <c r="AF201" s="6"/>
      <c r="AG201" s="6"/>
      <c r="AH201" s="6"/>
      <c r="AI201" s="6" t="s">
        <v>2431</v>
      </c>
    </row>
    <row r="202" customFormat="false" ht="15" hidden="false" customHeight="true" outlineLevel="0" collapsed="false">
      <c r="A202" s="6" t="s">
        <v>2432</v>
      </c>
      <c r="B202" s="6" t="s">
        <v>2339</v>
      </c>
      <c r="C202" s="9" t="s">
        <v>6</v>
      </c>
      <c r="D202" s="6" t="s">
        <v>88</v>
      </c>
      <c r="E202" s="6" t="s">
        <v>2047</v>
      </c>
      <c r="F202" s="6" t="s">
        <v>2421</v>
      </c>
      <c r="G202" s="6" t="s">
        <v>2433</v>
      </c>
      <c r="H202" s="6" t="s">
        <v>2434</v>
      </c>
      <c r="I202" s="6" t="s">
        <v>274</v>
      </c>
      <c r="J202" s="6"/>
      <c r="K202" s="6" t="s">
        <v>60</v>
      </c>
      <c r="L202" s="6" t="s">
        <v>61</v>
      </c>
      <c r="M202" s="6" t="s">
        <v>2435</v>
      </c>
      <c r="N202" s="6" t="s">
        <v>2436</v>
      </c>
      <c r="O202" s="8" t="s">
        <v>2437</v>
      </c>
      <c r="P202" s="6" t="n">
        <f aca="false">IF(O202="","",VALUE(LEFT(O202,4)))</f>
        <v>1801</v>
      </c>
      <c r="Q202" s="6" t="s">
        <v>1503</v>
      </c>
      <c r="R202" s="6" t="s">
        <v>1503</v>
      </c>
      <c r="S202" s="6" t="s">
        <v>172</v>
      </c>
      <c r="T202" s="6" t="s">
        <v>2438</v>
      </c>
      <c r="U202" s="6" t="s">
        <v>174</v>
      </c>
      <c r="V202" s="6" t="s">
        <v>2439</v>
      </c>
      <c r="W202" s="6" t="str">
        <f aca="false">IF(O202="","",INDEX(Lookups!$B$2:$B$202,MATCH(O202,Lookups!$A$2:$A$202,1)))</f>
        <v>Portland</v>
      </c>
      <c r="X202" s="6" t="s">
        <v>103</v>
      </c>
      <c r="Y202" s="6" t="s">
        <v>14</v>
      </c>
      <c r="Z202" s="6" t="s">
        <v>72</v>
      </c>
      <c r="AA202" s="6" t="s">
        <v>2440</v>
      </c>
      <c r="AB202" s="6" t="s">
        <v>88</v>
      </c>
      <c r="AC202" s="6"/>
      <c r="AD202" s="6"/>
      <c r="AE202" s="6"/>
      <c r="AF202" s="6"/>
      <c r="AG202" s="6"/>
      <c r="AH202" s="6"/>
      <c r="AI202" s="6" t="s">
        <v>2441</v>
      </c>
    </row>
    <row r="203" customFormat="false" ht="15" hidden="false" customHeight="true" outlineLevel="0" collapsed="false">
      <c r="A203" s="6" t="s">
        <v>2442</v>
      </c>
      <c r="B203" s="6" t="s">
        <v>2443</v>
      </c>
      <c r="C203" s="7" t="s">
        <v>4</v>
      </c>
      <c r="D203" s="6" t="s">
        <v>88</v>
      </c>
      <c r="E203" s="6" t="s">
        <v>2047</v>
      </c>
      <c r="F203" s="6" t="s">
        <v>2421</v>
      </c>
      <c r="G203" s="6" t="s">
        <v>2392</v>
      </c>
      <c r="H203" s="6" t="s">
        <v>2444</v>
      </c>
      <c r="I203" s="6" t="s">
        <v>274</v>
      </c>
      <c r="J203" s="6"/>
      <c r="K203" s="6" t="s">
        <v>60</v>
      </c>
      <c r="L203" s="6" t="s">
        <v>61</v>
      </c>
      <c r="M203" s="6" t="s">
        <v>2445</v>
      </c>
      <c r="N203" s="6" t="s">
        <v>2446</v>
      </c>
      <c r="O203" s="8" t="s">
        <v>2447</v>
      </c>
      <c r="P203" s="6" t="n">
        <f aca="false">IF(O203="","",VALUE(LEFT(O203,4)))</f>
        <v>1801</v>
      </c>
      <c r="Q203" s="6" t="s">
        <v>2448</v>
      </c>
      <c r="R203" s="6" t="s">
        <v>2449</v>
      </c>
      <c r="S203" s="6" t="s">
        <v>1093</v>
      </c>
      <c r="T203" s="6" t="s">
        <v>2450</v>
      </c>
      <c r="U203" s="6" t="s">
        <v>85</v>
      </c>
      <c r="V203" s="6" t="s">
        <v>2451</v>
      </c>
      <c r="W203" s="6" t="str">
        <f aca="false">IF(O203="","",INDEX(Lookups!$B$2:$B$203,MATCH(O203,Lookups!$A$2:$A$203,1)))</f>
        <v>Portland</v>
      </c>
      <c r="X203" s="6" t="s">
        <v>103</v>
      </c>
      <c r="Y203" s="6" t="s">
        <v>14</v>
      </c>
      <c r="Z203" s="6" t="s">
        <v>72</v>
      </c>
      <c r="AA203" s="6" t="s">
        <v>2452</v>
      </c>
      <c r="AB203" s="6" t="s">
        <v>88</v>
      </c>
      <c r="AC203" s="6"/>
      <c r="AD203" s="6"/>
      <c r="AE203" s="6"/>
      <c r="AF203" s="6"/>
      <c r="AG203" s="6"/>
      <c r="AH203" s="6"/>
      <c r="AI203" s="6" t="s">
        <v>2453</v>
      </c>
    </row>
    <row r="204" customFormat="false" ht="15" hidden="false" customHeight="true" outlineLevel="0" collapsed="false">
      <c r="A204" s="6" t="s">
        <v>2454</v>
      </c>
      <c r="B204" s="6" t="s">
        <v>2455</v>
      </c>
      <c r="C204" s="12" t="s">
        <v>9</v>
      </c>
      <c r="D204" s="6" t="s">
        <v>88</v>
      </c>
      <c r="E204" s="6" t="s">
        <v>2047</v>
      </c>
      <c r="F204" s="6" t="s">
        <v>2456</v>
      </c>
      <c r="G204" s="6" t="s">
        <v>1800</v>
      </c>
      <c r="H204" s="6" t="s">
        <v>2457</v>
      </c>
      <c r="I204" s="6" t="s">
        <v>274</v>
      </c>
      <c r="J204" s="6"/>
      <c r="K204" s="6" t="s">
        <v>60</v>
      </c>
      <c r="L204" s="6" t="s">
        <v>61</v>
      </c>
      <c r="M204" s="6" t="s">
        <v>2458</v>
      </c>
      <c r="N204" s="6" t="s">
        <v>2459</v>
      </c>
      <c r="O204" s="8" t="s">
        <v>2460</v>
      </c>
      <c r="P204" s="6" t="n">
        <f aca="false">IF(O204="","",VALUE(LEFT(O204,4)))</f>
        <v>1801</v>
      </c>
      <c r="Q204" s="6" t="s">
        <v>2461</v>
      </c>
      <c r="R204" s="6" t="s">
        <v>2462</v>
      </c>
      <c r="S204" s="6" t="s">
        <v>172</v>
      </c>
      <c r="T204" s="6" t="s">
        <v>2463</v>
      </c>
      <c r="U204" s="6" t="s">
        <v>254</v>
      </c>
      <c r="V204" s="6" t="s">
        <v>2429</v>
      </c>
      <c r="W204" s="6" t="str">
        <f aca="false">IF(O204="","",INDEX(Lookups!$B$2:$B$204,MATCH(O204,Lookups!$A$2:$A$204,1)))</f>
        <v>Portland</v>
      </c>
      <c r="X204" s="6" t="s">
        <v>103</v>
      </c>
      <c r="Y204" s="6" t="s">
        <v>16</v>
      </c>
      <c r="Z204" s="6" t="s">
        <v>72</v>
      </c>
      <c r="AA204" s="6" t="s">
        <v>2464</v>
      </c>
      <c r="AB204" s="6" t="s">
        <v>141</v>
      </c>
      <c r="AC204" s="6"/>
      <c r="AD204" s="6"/>
      <c r="AE204" s="6"/>
      <c r="AF204" s="6"/>
      <c r="AG204" s="6"/>
      <c r="AH204" s="6"/>
      <c r="AI204" s="6" t="s">
        <v>2465</v>
      </c>
    </row>
    <row r="205" customFormat="false" ht="15" hidden="false" customHeight="true" outlineLevel="0" collapsed="false">
      <c r="A205" s="6" t="s">
        <v>2466</v>
      </c>
      <c r="B205" s="6" t="s">
        <v>2058</v>
      </c>
      <c r="C205" s="9" t="s">
        <v>6</v>
      </c>
      <c r="D205" s="6" t="s">
        <v>88</v>
      </c>
      <c r="E205" s="6" t="s">
        <v>2047</v>
      </c>
      <c r="F205" s="6" t="s">
        <v>2456</v>
      </c>
      <c r="G205" s="6" t="s">
        <v>2467</v>
      </c>
      <c r="H205" s="6" t="s">
        <v>2468</v>
      </c>
      <c r="I205" s="6" t="s">
        <v>274</v>
      </c>
      <c r="J205" s="6"/>
      <c r="K205" s="6" t="s">
        <v>60</v>
      </c>
      <c r="L205" s="6" t="s">
        <v>61</v>
      </c>
      <c r="M205" s="6" t="s">
        <v>2469</v>
      </c>
      <c r="N205" s="6" t="s">
        <v>2470</v>
      </c>
      <c r="O205" s="8" t="s">
        <v>2460</v>
      </c>
      <c r="P205" s="6" t="n">
        <f aca="false">IF(O205="","",VALUE(LEFT(O205,4)))</f>
        <v>1801</v>
      </c>
      <c r="Q205" s="6" t="s">
        <v>2064</v>
      </c>
      <c r="R205" s="6" t="s">
        <v>2064</v>
      </c>
      <c r="S205" s="6" t="s">
        <v>172</v>
      </c>
      <c r="T205" s="6" t="s">
        <v>2471</v>
      </c>
      <c r="U205" s="6" t="s">
        <v>139</v>
      </c>
      <c r="V205" s="6" t="s">
        <v>2472</v>
      </c>
      <c r="W205" s="6" t="str">
        <f aca="false">IF(O205="","",INDEX(Lookups!$B$2:$B$205,MATCH(O205,Lookups!$A$2:$A$205,1)))</f>
        <v>Portland</v>
      </c>
      <c r="X205" s="6" t="s">
        <v>103</v>
      </c>
      <c r="Y205" s="6" t="s">
        <v>16</v>
      </c>
      <c r="Z205" s="6" t="s">
        <v>72</v>
      </c>
      <c r="AA205" s="6" t="s">
        <v>2473</v>
      </c>
      <c r="AB205" s="6" t="s">
        <v>141</v>
      </c>
      <c r="AC205" s="6"/>
      <c r="AD205" s="6"/>
      <c r="AE205" s="6"/>
      <c r="AF205" s="6"/>
      <c r="AG205" s="6"/>
      <c r="AH205" s="6"/>
      <c r="AI205" s="6" t="s">
        <v>2474</v>
      </c>
    </row>
    <row r="206" customFormat="false" ht="15" hidden="false" customHeight="true" outlineLevel="0" collapsed="false">
      <c r="A206" s="6" t="s">
        <v>2475</v>
      </c>
      <c r="B206" s="6" t="s">
        <v>2476</v>
      </c>
      <c r="C206" s="12" t="s">
        <v>9</v>
      </c>
      <c r="D206" s="6" t="s">
        <v>88</v>
      </c>
      <c r="E206" s="6" t="s">
        <v>2047</v>
      </c>
      <c r="F206" s="6" t="s">
        <v>2456</v>
      </c>
      <c r="G206" s="6" t="s">
        <v>2477</v>
      </c>
      <c r="H206" s="6" t="s">
        <v>2478</v>
      </c>
      <c r="I206" s="6" t="s">
        <v>274</v>
      </c>
      <c r="J206" s="6"/>
      <c r="K206" s="6" t="s">
        <v>60</v>
      </c>
      <c r="L206" s="6" t="s">
        <v>61</v>
      </c>
      <c r="M206" s="6" t="s">
        <v>2479</v>
      </c>
      <c r="N206" s="6" t="s">
        <v>2480</v>
      </c>
      <c r="O206" s="8" t="s">
        <v>2481</v>
      </c>
      <c r="P206" s="6" t="n">
        <f aca="false">IF(O206="","",VALUE(LEFT(O206,4)))</f>
        <v>1801</v>
      </c>
      <c r="Q206" s="6" t="s">
        <v>2482</v>
      </c>
      <c r="R206" s="6" t="s">
        <v>2482</v>
      </c>
      <c r="S206" s="6" t="s">
        <v>101</v>
      </c>
      <c r="T206" s="6" t="s">
        <v>2483</v>
      </c>
      <c r="U206" s="6" t="s">
        <v>69</v>
      </c>
      <c r="V206" s="6" t="s">
        <v>2484</v>
      </c>
      <c r="W206" s="6" t="str">
        <f aca="false">IF(O206="","",INDEX(Lookups!$B$2:$B$206,MATCH(O206,Lookups!$A$2:$A$206,1)))</f>
        <v>Portland</v>
      </c>
      <c r="X206" s="6" t="s">
        <v>231</v>
      </c>
      <c r="Y206" s="6" t="s">
        <v>15</v>
      </c>
      <c r="Z206" s="6" t="s">
        <v>55</v>
      </c>
      <c r="AA206" s="6" t="s">
        <v>2485</v>
      </c>
      <c r="AB206" s="6" t="s">
        <v>88</v>
      </c>
      <c r="AC206" s="6"/>
      <c r="AD206" s="6"/>
      <c r="AE206" s="6"/>
      <c r="AF206" s="6"/>
      <c r="AG206" s="6"/>
      <c r="AH206" s="6"/>
      <c r="AI206" s="6" t="s">
        <v>2486</v>
      </c>
    </row>
    <row r="207" customFormat="false" ht="15" hidden="false" customHeight="true" outlineLevel="0" collapsed="false">
      <c r="A207" s="6" t="s">
        <v>2487</v>
      </c>
      <c r="B207" s="6" t="s">
        <v>2488</v>
      </c>
      <c r="C207" s="7" t="s">
        <v>4</v>
      </c>
      <c r="D207" s="6" t="s">
        <v>88</v>
      </c>
      <c r="E207" s="6" t="s">
        <v>2047</v>
      </c>
      <c r="F207" s="6" t="s">
        <v>2456</v>
      </c>
      <c r="G207" s="6" t="s">
        <v>2489</v>
      </c>
      <c r="H207" s="6" t="s">
        <v>2490</v>
      </c>
      <c r="I207" s="6" t="s">
        <v>274</v>
      </c>
      <c r="J207" s="6"/>
      <c r="K207" s="6" t="s">
        <v>60</v>
      </c>
      <c r="L207" s="6" t="s">
        <v>61</v>
      </c>
      <c r="M207" s="6" t="s">
        <v>2491</v>
      </c>
      <c r="N207" s="6" t="s">
        <v>2492</v>
      </c>
      <c r="O207" s="8" t="s">
        <v>2493</v>
      </c>
      <c r="P207" s="6" t="n">
        <f aca="false">IF(O207="","",VALUE(LEFT(O207,4)))</f>
        <v>1801</v>
      </c>
      <c r="Q207" s="6" t="s">
        <v>2494</v>
      </c>
      <c r="R207" s="6" t="s">
        <v>2495</v>
      </c>
      <c r="S207" s="6" t="s">
        <v>1026</v>
      </c>
      <c r="T207" s="6" t="s">
        <v>2496</v>
      </c>
      <c r="U207" s="6" t="s">
        <v>69</v>
      </c>
      <c r="V207" s="6" t="s">
        <v>1492</v>
      </c>
      <c r="W207" s="6" t="str">
        <f aca="false">IF(O207="","",INDEX(Lookups!$B$2:$B$207,MATCH(O207,Lookups!$A$2:$A$207,1)))</f>
        <v>Portland</v>
      </c>
      <c r="X207" s="6" t="s">
        <v>103</v>
      </c>
      <c r="Y207" s="6" t="s">
        <v>13</v>
      </c>
      <c r="Z207" s="6" t="s">
        <v>88</v>
      </c>
      <c r="AA207" s="6" t="s">
        <v>2497</v>
      </c>
      <c r="AB207" s="6" t="s">
        <v>88</v>
      </c>
      <c r="AC207" s="6"/>
      <c r="AD207" s="6"/>
      <c r="AE207" s="6"/>
      <c r="AF207" s="6"/>
      <c r="AG207" s="6"/>
      <c r="AH207" s="6"/>
      <c r="AI207" s="6" t="s">
        <v>2498</v>
      </c>
    </row>
    <row r="208" customFormat="false" ht="15" hidden="false" customHeight="true" outlineLevel="0" collapsed="false">
      <c r="A208" s="6" t="s">
        <v>2499</v>
      </c>
      <c r="B208" s="6" t="s">
        <v>1085</v>
      </c>
      <c r="C208" s="12" t="s">
        <v>9</v>
      </c>
      <c r="D208" s="6" t="s">
        <v>88</v>
      </c>
      <c r="E208" s="6" t="s">
        <v>2047</v>
      </c>
      <c r="F208" s="6" t="s">
        <v>2456</v>
      </c>
      <c r="G208" s="6" t="s">
        <v>2206</v>
      </c>
      <c r="H208" s="6" t="s">
        <v>2500</v>
      </c>
      <c r="I208" s="6" t="s">
        <v>274</v>
      </c>
      <c r="J208" s="6"/>
      <c r="K208" s="6" t="s">
        <v>60</v>
      </c>
      <c r="L208" s="6" t="s">
        <v>61</v>
      </c>
      <c r="M208" s="6" t="s">
        <v>2501</v>
      </c>
      <c r="N208" s="6" t="s">
        <v>2502</v>
      </c>
      <c r="O208" s="8" t="s">
        <v>2503</v>
      </c>
      <c r="P208" s="6" t="n">
        <f aca="false">IF(O208="","",VALUE(LEFT(O208,4)))</f>
        <v>1801</v>
      </c>
      <c r="Q208" s="6" t="s">
        <v>2504</v>
      </c>
      <c r="R208" s="6" t="s">
        <v>1092</v>
      </c>
      <c r="S208" s="6" t="s">
        <v>1093</v>
      </c>
      <c r="T208" s="6" t="s">
        <v>2505</v>
      </c>
      <c r="U208" s="6" t="s">
        <v>279</v>
      </c>
      <c r="V208" s="6" t="s">
        <v>2012</v>
      </c>
      <c r="W208" s="6" t="str">
        <f aca="false">IF(O208="","",INDEX(Lookups!$B$2:$B$208,MATCH(O208,Lookups!$A$2:$A$208,1)))</f>
        <v>Portland</v>
      </c>
      <c r="X208" s="6" t="s">
        <v>103</v>
      </c>
      <c r="Y208" s="6" t="s">
        <v>16</v>
      </c>
      <c r="Z208" s="6" t="s">
        <v>72</v>
      </c>
      <c r="AA208" s="6" t="s">
        <v>2506</v>
      </c>
      <c r="AB208" s="6" t="s">
        <v>88</v>
      </c>
      <c r="AC208" s="6"/>
      <c r="AD208" s="6"/>
      <c r="AE208" s="6"/>
      <c r="AF208" s="6"/>
      <c r="AG208" s="6"/>
      <c r="AH208" s="6"/>
      <c r="AI208" s="6" t="s">
        <v>2507</v>
      </c>
    </row>
    <row r="209" customFormat="false" ht="15" hidden="false" customHeight="true" outlineLevel="0" collapsed="false">
      <c r="A209" s="6" t="s">
        <v>2508</v>
      </c>
      <c r="B209" s="6" t="s">
        <v>2339</v>
      </c>
      <c r="C209" s="7" t="s">
        <v>4</v>
      </c>
      <c r="D209" s="6" t="s">
        <v>88</v>
      </c>
      <c r="E209" s="6" t="s">
        <v>2047</v>
      </c>
      <c r="F209" s="6" t="s">
        <v>2456</v>
      </c>
      <c r="G209" s="6" t="s">
        <v>2509</v>
      </c>
      <c r="H209" s="6" t="s">
        <v>2510</v>
      </c>
      <c r="I209" s="6" t="s">
        <v>274</v>
      </c>
      <c r="J209" s="6"/>
      <c r="K209" s="6" t="s">
        <v>60</v>
      </c>
      <c r="L209" s="6" t="s">
        <v>61</v>
      </c>
      <c r="M209" s="6" t="s">
        <v>2511</v>
      </c>
      <c r="N209" s="6" t="s">
        <v>2512</v>
      </c>
      <c r="O209" s="8" t="s">
        <v>2513</v>
      </c>
      <c r="P209" s="6" t="n">
        <f aca="false">IF(O209="","",VALUE(LEFT(O209,4)))</f>
        <v>1801</v>
      </c>
      <c r="Q209" s="6" t="s">
        <v>2514</v>
      </c>
      <c r="R209" s="6" t="s">
        <v>2346</v>
      </c>
      <c r="S209" s="6" t="s">
        <v>172</v>
      </c>
      <c r="T209" s="6" t="s">
        <v>2347</v>
      </c>
      <c r="U209" s="6" t="s">
        <v>69</v>
      </c>
      <c r="V209" s="6" t="s">
        <v>1492</v>
      </c>
      <c r="W209" s="6" t="str">
        <f aca="false">IF(O209="","",INDEX(Lookups!$B$2:$B$209,MATCH(O209,Lookups!$A$2:$A$209,1)))</f>
        <v>Portland</v>
      </c>
      <c r="X209" s="6" t="s">
        <v>103</v>
      </c>
      <c r="Y209" s="6" t="s">
        <v>13</v>
      </c>
      <c r="Z209" s="6" t="s">
        <v>88</v>
      </c>
      <c r="AA209" s="6" t="s">
        <v>2515</v>
      </c>
      <c r="AB209" s="6" t="s">
        <v>88</v>
      </c>
      <c r="AC209" s="6"/>
      <c r="AD209" s="6"/>
      <c r="AE209" s="6"/>
      <c r="AF209" s="6"/>
      <c r="AG209" s="6"/>
      <c r="AH209" s="6"/>
      <c r="AI209" s="6" t="s">
        <v>2516</v>
      </c>
    </row>
    <row r="210" customFormat="false" ht="15" hidden="false" customHeight="true" outlineLevel="0" collapsed="false">
      <c r="A210" s="6" t="s">
        <v>2517</v>
      </c>
      <c r="B210" s="6" t="s">
        <v>2518</v>
      </c>
      <c r="C210" s="7" t="s">
        <v>4</v>
      </c>
      <c r="D210" s="6" t="s">
        <v>88</v>
      </c>
      <c r="E210" s="6" t="s">
        <v>2047</v>
      </c>
      <c r="F210" s="6" t="s">
        <v>2519</v>
      </c>
      <c r="G210" s="6" t="s">
        <v>2017</v>
      </c>
      <c r="H210" s="6" t="s">
        <v>2520</v>
      </c>
      <c r="I210" s="6" t="s">
        <v>274</v>
      </c>
      <c r="J210" s="6"/>
      <c r="K210" s="6" t="s">
        <v>60</v>
      </c>
      <c r="L210" s="6" t="s">
        <v>61</v>
      </c>
      <c r="M210" s="6" t="s">
        <v>2521</v>
      </c>
      <c r="N210" s="6" t="s">
        <v>2522</v>
      </c>
      <c r="O210" s="8" t="s">
        <v>2523</v>
      </c>
      <c r="P210" s="6" t="n">
        <f aca="false">IF(O210="","",VALUE(LEFT(O210,4)))</f>
        <v>1801</v>
      </c>
      <c r="Q210" s="6" t="s">
        <v>1805</v>
      </c>
      <c r="R210" s="6" t="s">
        <v>1805</v>
      </c>
      <c r="S210" s="6" t="s">
        <v>252</v>
      </c>
      <c r="T210" s="6" t="s">
        <v>2524</v>
      </c>
      <c r="U210" s="6" t="s">
        <v>85</v>
      </c>
      <c r="V210" s="6" t="s">
        <v>2525</v>
      </c>
      <c r="W210" s="6" t="str">
        <f aca="false">IF(O210="","",INDEX(Lookups!$B$2:$B$210,MATCH(O210,Lookups!$A$2:$A$210,1)))</f>
        <v>Portland</v>
      </c>
      <c r="X210" s="6" t="s">
        <v>124</v>
      </c>
      <c r="Y210" s="6" t="s">
        <v>14</v>
      </c>
      <c r="Z210" s="6" t="s">
        <v>55</v>
      </c>
      <c r="AA210" s="6" t="s">
        <v>2526</v>
      </c>
      <c r="AB210" s="6" t="s">
        <v>141</v>
      </c>
      <c r="AC210" s="6"/>
      <c r="AD210" s="6"/>
      <c r="AE210" s="6"/>
      <c r="AF210" s="6"/>
      <c r="AG210" s="6"/>
      <c r="AH210" s="6"/>
      <c r="AI210" s="6" t="s">
        <v>2527</v>
      </c>
    </row>
    <row r="211" customFormat="false" ht="15" hidden="false" customHeight="true" outlineLevel="0" collapsed="false">
      <c r="A211" s="6" t="s">
        <v>2528</v>
      </c>
      <c r="B211" s="6" t="s">
        <v>2339</v>
      </c>
      <c r="C211" s="12" t="s">
        <v>9</v>
      </c>
      <c r="D211" s="6" t="s">
        <v>88</v>
      </c>
      <c r="E211" s="6" t="s">
        <v>2047</v>
      </c>
      <c r="F211" s="6" t="s">
        <v>2519</v>
      </c>
      <c r="G211" s="6" t="s">
        <v>2529</v>
      </c>
      <c r="H211" s="6" t="s">
        <v>2530</v>
      </c>
      <c r="I211" s="6" t="s">
        <v>274</v>
      </c>
      <c r="J211" s="6"/>
      <c r="K211" s="6" t="s">
        <v>60</v>
      </c>
      <c r="L211" s="6" t="s">
        <v>61</v>
      </c>
      <c r="M211" s="6" t="s">
        <v>2531</v>
      </c>
      <c r="N211" s="6" t="s">
        <v>2532</v>
      </c>
      <c r="O211" s="8" t="s">
        <v>2533</v>
      </c>
      <c r="P211" s="6" t="n">
        <f aca="false">IF(O211="","",VALUE(LEFT(O211,4)))</f>
        <v>1801</v>
      </c>
      <c r="Q211" s="6" t="s">
        <v>2534</v>
      </c>
      <c r="R211" s="6" t="s">
        <v>2346</v>
      </c>
      <c r="S211" s="6" t="s">
        <v>172</v>
      </c>
      <c r="T211" s="6" t="s">
        <v>2535</v>
      </c>
      <c r="U211" s="6" t="s">
        <v>139</v>
      </c>
      <c r="V211" s="6" t="s">
        <v>2536</v>
      </c>
      <c r="W211" s="6" t="str">
        <f aca="false">IF(O211="","",INDEX(Lookups!$B$2:$B$211,MATCH(O211,Lookups!$A$2:$A$211,1)))</f>
        <v>Portland</v>
      </c>
      <c r="X211" s="6" t="s">
        <v>103</v>
      </c>
      <c r="Y211" s="6" t="s">
        <v>16</v>
      </c>
      <c r="Z211" s="6" t="s">
        <v>88</v>
      </c>
      <c r="AA211" s="6" t="s">
        <v>2537</v>
      </c>
      <c r="AB211" s="6" t="s">
        <v>88</v>
      </c>
      <c r="AC211" s="6"/>
      <c r="AD211" s="6"/>
      <c r="AE211" s="6"/>
      <c r="AF211" s="6"/>
      <c r="AG211" s="6"/>
      <c r="AH211" s="6"/>
      <c r="AI211" s="6" t="s">
        <v>2538</v>
      </c>
    </row>
    <row r="212" customFormat="false" ht="15" hidden="false" customHeight="true" outlineLevel="0" collapsed="false">
      <c r="A212" s="6" t="s">
        <v>2539</v>
      </c>
      <c r="B212" s="6" t="s">
        <v>2540</v>
      </c>
      <c r="C212" s="9" t="s">
        <v>6</v>
      </c>
      <c r="D212" s="6" t="s">
        <v>88</v>
      </c>
      <c r="E212" s="6" t="s">
        <v>2047</v>
      </c>
      <c r="F212" s="6" t="s">
        <v>2519</v>
      </c>
      <c r="G212" s="6" t="s">
        <v>2541</v>
      </c>
      <c r="H212" s="6" t="s">
        <v>2542</v>
      </c>
      <c r="I212" s="6" t="s">
        <v>274</v>
      </c>
      <c r="J212" s="6"/>
      <c r="K212" s="6" t="s">
        <v>60</v>
      </c>
      <c r="L212" s="6" t="s">
        <v>61</v>
      </c>
      <c r="M212" s="6" t="s">
        <v>2543</v>
      </c>
      <c r="N212" s="6" t="s">
        <v>2544</v>
      </c>
      <c r="O212" s="8" t="s">
        <v>2533</v>
      </c>
      <c r="P212" s="6" t="n">
        <f aca="false">IF(O212="","",VALUE(LEFT(O212,4)))</f>
        <v>1801</v>
      </c>
      <c r="Q212" s="6" t="s">
        <v>2545</v>
      </c>
      <c r="R212" s="6" t="s">
        <v>2546</v>
      </c>
      <c r="S212" s="6" t="s">
        <v>196</v>
      </c>
      <c r="T212" s="6" t="s">
        <v>2547</v>
      </c>
      <c r="U212" s="6" t="s">
        <v>815</v>
      </c>
      <c r="V212" s="6" t="s">
        <v>2012</v>
      </c>
      <c r="W212" s="6" t="str">
        <f aca="false">IF(O212="","",INDEX(Lookups!$B$2:$B$212,MATCH(O212,Lookups!$A$2:$A$212,1)))</f>
        <v>Portland</v>
      </c>
      <c r="X212" s="6" t="s">
        <v>267</v>
      </c>
      <c r="Y212" s="6" t="s">
        <v>15</v>
      </c>
      <c r="Z212" s="6" t="s">
        <v>72</v>
      </c>
      <c r="AA212" s="6" t="s">
        <v>2548</v>
      </c>
      <c r="AB212" s="6" t="s">
        <v>141</v>
      </c>
      <c r="AC212" s="6"/>
      <c r="AD212" s="6"/>
      <c r="AE212" s="6"/>
      <c r="AF212" s="6"/>
      <c r="AG212" s="6"/>
      <c r="AH212" s="6"/>
      <c r="AI212" s="6" t="s">
        <v>2549</v>
      </c>
    </row>
    <row r="213" customFormat="false" ht="15" hidden="false" customHeight="true" outlineLevel="0" collapsed="false">
      <c r="A213" s="6" t="s">
        <v>2550</v>
      </c>
      <c r="B213" s="6" t="s">
        <v>2551</v>
      </c>
      <c r="C213" s="12" t="s">
        <v>9</v>
      </c>
      <c r="D213" s="6" t="s">
        <v>88</v>
      </c>
      <c r="E213" s="6" t="s">
        <v>2047</v>
      </c>
      <c r="F213" s="6" t="s">
        <v>2519</v>
      </c>
      <c r="G213" s="6" t="s">
        <v>1707</v>
      </c>
      <c r="H213" s="6" t="s">
        <v>2552</v>
      </c>
      <c r="I213" s="6" t="s">
        <v>274</v>
      </c>
      <c r="J213" s="6"/>
      <c r="K213" s="6" t="s">
        <v>60</v>
      </c>
      <c r="L213" s="6" t="s">
        <v>61</v>
      </c>
      <c r="M213" s="6" t="s">
        <v>2553</v>
      </c>
      <c r="N213" s="6" t="s">
        <v>2554</v>
      </c>
      <c r="O213" s="8" t="s">
        <v>2533</v>
      </c>
      <c r="P213" s="6" t="n">
        <f aca="false">IF(O213="","",VALUE(LEFT(O213,4)))</f>
        <v>1801</v>
      </c>
      <c r="Q213" s="6" t="s">
        <v>2555</v>
      </c>
      <c r="R213" s="6" t="s">
        <v>747</v>
      </c>
      <c r="S213" s="6" t="s">
        <v>137</v>
      </c>
      <c r="T213" s="6" t="s">
        <v>2556</v>
      </c>
      <c r="U213" s="6" t="s">
        <v>815</v>
      </c>
      <c r="V213" s="6" t="s">
        <v>2012</v>
      </c>
      <c r="W213" s="6" t="str">
        <f aca="false">IF(O213="","",INDEX(Lookups!$B$2:$B$213,MATCH(O213,Lookups!$A$2:$A$213,1)))</f>
        <v>Portland</v>
      </c>
      <c r="X213" s="6" t="s">
        <v>103</v>
      </c>
      <c r="Y213" s="6" t="s">
        <v>16</v>
      </c>
      <c r="Z213" s="6" t="s">
        <v>72</v>
      </c>
      <c r="AA213" s="6" t="s">
        <v>1543</v>
      </c>
      <c r="AB213" s="6" t="s">
        <v>72</v>
      </c>
      <c r="AC213" s="6"/>
      <c r="AD213" s="6"/>
      <c r="AE213" s="6"/>
      <c r="AF213" s="6"/>
      <c r="AG213" s="6"/>
      <c r="AH213" s="6"/>
      <c r="AI213" s="6" t="s">
        <v>2557</v>
      </c>
    </row>
    <row r="214" customFormat="false" ht="15" hidden="false" customHeight="true" outlineLevel="0" collapsed="false">
      <c r="A214" s="6" t="s">
        <v>2558</v>
      </c>
      <c r="B214" s="6" t="s">
        <v>2455</v>
      </c>
      <c r="C214" s="12" t="s">
        <v>9</v>
      </c>
      <c r="D214" s="6" t="s">
        <v>88</v>
      </c>
      <c r="E214" s="6" t="s">
        <v>2047</v>
      </c>
      <c r="F214" s="6" t="s">
        <v>2559</v>
      </c>
      <c r="G214" s="6" t="s">
        <v>2560</v>
      </c>
      <c r="H214" s="6" t="s">
        <v>2561</v>
      </c>
      <c r="I214" s="6" t="s">
        <v>274</v>
      </c>
      <c r="J214" s="6"/>
      <c r="K214" s="6" t="s">
        <v>60</v>
      </c>
      <c r="L214" s="6" t="s">
        <v>61</v>
      </c>
      <c r="M214" s="6" t="s">
        <v>2562</v>
      </c>
      <c r="N214" s="6" t="s">
        <v>2563</v>
      </c>
      <c r="O214" s="8" t="s">
        <v>2564</v>
      </c>
      <c r="P214" s="6" t="n">
        <f aca="false">IF(O214="","",VALUE(LEFT(O214,4)))</f>
        <v>1801</v>
      </c>
      <c r="Q214" s="6" t="s">
        <v>2565</v>
      </c>
      <c r="R214" s="6" t="s">
        <v>2462</v>
      </c>
      <c r="S214" s="6" t="s">
        <v>172</v>
      </c>
      <c r="T214" s="6" t="s">
        <v>2566</v>
      </c>
      <c r="U214" s="6" t="s">
        <v>254</v>
      </c>
      <c r="V214" s="6" t="s">
        <v>2054</v>
      </c>
      <c r="W214" s="6" t="str">
        <f aca="false">IF(O214="","",INDEX(Lookups!$B$2:$B$214,MATCH(O214,Lookups!$A$2:$A$214,1)))</f>
        <v>Portland</v>
      </c>
      <c r="X214" s="6" t="s">
        <v>103</v>
      </c>
      <c r="Y214" s="6" t="s">
        <v>16</v>
      </c>
      <c r="Z214" s="6" t="s">
        <v>72</v>
      </c>
      <c r="AA214" s="6" t="s">
        <v>2567</v>
      </c>
      <c r="AB214" s="6" t="s">
        <v>141</v>
      </c>
      <c r="AC214" s="6"/>
      <c r="AD214" s="6"/>
      <c r="AE214" s="6"/>
      <c r="AF214" s="6"/>
      <c r="AG214" s="6"/>
      <c r="AH214" s="6"/>
      <c r="AI214" s="6" t="s">
        <v>2568</v>
      </c>
    </row>
    <row r="215" customFormat="false" ht="15" hidden="false" customHeight="true" outlineLevel="0" collapsed="false">
      <c r="A215" s="6" t="s">
        <v>2569</v>
      </c>
      <c r="B215" s="6" t="s">
        <v>2339</v>
      </c>
      <c r="C215" s="9" t="s">
        <v>6</v>
      </c>
      <c r="D215" s="6" t="s">
        <v>88</v>
      </c>
      <c r="E215" s="6" t="s">
        <v>2047</v>
      </c>
      <c r="F215" s="6" t="s">
        <v>2559</v>
      </c>
      <c r="G215" s="6" t="s">
        <v>2570</v>
      </c>
      <c r="H215" s="6" t="s">
        <v>2571</v>
      </c>
      <c r="I215" s="6" t="s">
        <v>274</v>
      </c>
      <c r="J215" s="6"/>
      <c r="K215" s="6" t="s">
        <v>60</v>
      </c>
      <c r="L215" s="6" t="s">
        <v>61</v>
      </c>
      <c r="M215" s="6" t="s">
        <v>2572</v>
      </c>
      <c r="N215" s="6" t="s">
        <v>2573</v>
      </c>
      <c r="O215" s="8" t="s">
        <v>2574</v>
      </c>
      <c r="P215" s="6" t="n">
        <f aca="false">IF(O215="","",VALUE(LEFT(O215,4)))</f>
        <v>1801</v>
      </c>
      <c r="Q215" s="6" t="s">
        <v>2575</v>
      </c>
      <c r="R215" s="6" t="s">
        <v>2346</v>
      </c>
      <c r="S215" s="6" t="s">
        <v>172</v>
      </c>
      <c r="T215" s="6" t="s">
        <v>2576</v>
      </c>
      <c r="U215" s="6" t="s">
        <v>815</v>
      </c>
      <c r="V215" s="6" t="s">
        <v>2012</v>
      </c>
      <c r="W215" s="6" t="str">
        <f aca="false">IF(O215="","",INDEX(Lookups!$B$2:$B$215,MATCH(O215,Lookups!$A$2:$A$215,1)))</f>
        <v>Portland</v>
      </c>
      <c r="X215" s="6" t="s">
        <v>103</v>
      </c>
      <c r="Y215" s="6" t="s">
        <v>16</v>
      </c>
      <c r="Z215" s="6" t="s">
        <v>72</v>
      </c>
      <c r="AA215" s="6" t="s">
        <v>2577</v>
      </c>
      <c r="AB215" s="6" t="s">
        <v>88</v>
      </c>
      <c r="AC215" s="6"/>
      <c r="AD215" s="6"/>
      <c r="AE215" s="6"/>
      <c r="AF215" s="6"/>
      <c r="AG215" s="6"/>
      <c r="AH215" s="6"/>
      <c r="AI215" s="6" t="s">
        <v>2578</v>
      </c>
    </row>
    <row r="216" customFormat="false" ht="15" hidden="false" customHeight="true" outlineLevel="0" collapsed="false">
      <c r="A216" s="6" t="s">
        <v>2579</v>
      </c>
      <c r="B216" s="6" t="s">
        <v>2580</v>
      </c>
      <c r="C216" s="7" t="s">
        <v>4</v>
      </c>
      <c r="D216" s="6" t="s">
        <v>88</v>
      </c>
      <c r="E216" s="6" t="s">
        <v>2581</v>
      </c>
      <c r="F216" s="6" t="s">
        <v>2582</v>
      </c>
      <c r="G216" s="6" t="s">
        <v>2583</v>
      </c>
      <c r="H216" s="6" t="s">
        <v>2584</v>
      </c>
      <c r="I216" s="6" t="s">
        <v>274</v>
      </c>
      <c r="J216" s="6"/>
      <c r="K216" s="6" t="s">
        <v>60</v>
      </c>
      <c r="L216" s="6" t="s">
        <v>61</v>
      </c>
      <c r="M216" s="6" t="s">
        <v>2585</v>
      </c>
      <c r="N216" s="6" t="s">
        <v>2586</v>
      </c>
      <c r="O216" s="8" t="s">
        <v>2587</v>
      </c>
      <c r="P216" s="6" t="n">
        <f aca="false">IF(O216="","",VALUE(LEFT(O216,4)))</f>
        <v>1811</v>
      </c>
      <c r="Q216" s="6" t="s">
        <v>2588</v>
      </c>
      <c r="R216" s="6" t="s">
        <v>552</v>
      </c>
      <c r="S216" s="6" t="s">
        <v>553</v>
      </c>
      <c r="T216" s="6" t="s">
        <v>2589</v>
      </c>
      <c r="U216" s="6" t="s">
        <v>69</v>
      </c>
      <c r="V216" s="6" t="s">
        <v>2590</v>
      </c>
      <c r="W216" s="6" t="str">
        <f aca="false">IF(O216="","",INDEX(Lookups!$B$2:$B$216,MATCH(O216,Lookups!$A$2:$A$216,1)))</f>
        <v>Ryder</v>
      </c>
      <c r="X216" s="6" t="s">
        <v>70</v>
      </c>
      <c r="Y216" s="6" t="s">
        <v>13</v>
      </c>
      <c r="Z216" s="6" t="s">
        <v>72</v>
      </c>
      <c r="AA216" s="6" t="s">
        <v>2591</v>
      </c>
      <c r="AB216" s="6" t="s">
        <v>88</v>
      </c>
      <c r="AC216" s="6" t="s">
        <v>2592</v>
      </c>
      <c r="AD216" s="6" t="s">
        <v>106</v>
      </c>
      <c r="AE216" s="6" t="s">
        <v>2593</v>
      </c>
      <c r="AF216" s="6"/>
      <c r="AG216" s="6" t="s">
        <v>2594</v>
      </c>
      <c r="AH216" s="6"/>
      <c r="AI216" s="6" t="s">
        <v>2595</v>
      </c>
    </row>
    <row r="217" customFormat="false" ht="15" hidden="false" customHeight="true" outlineLevel="0" collapsed="false">
      <c r="A217" s="6" t="s">
        <v>2596</v>
      </c>
      <c r="B217" s="6" t="s">
        <v>2580</v>
      </c>
      <c r="C217" s="7" t="s">
        <v>4</v>
      </c>
      <c r="D217" s="6" t="s">
        <v>88</v>
      </c>
      <c r="E217" s="6" t="s">
        <v>2581</v>
      </c>
      <c r="F217" s="6" t="s">
        <v>2582</v>
      </c>
      <c r="G217" s="6" t="s">
        <v>326</v>
      </c>
      <c r="H217" s="6" t="s">
        <v>2597</v>
      </c>
      <c r="I217" s="6" t="s">
        <v>274</v>
      </c>
      <c r="J217" s="6"/>
      <c r="K217" s="6" t="s">
        <v>60</v>
      </c>
      <c r="L217" s="6" t="s">
        <v>61</v>
      </c>
      <c r="M217" s="6" t="s">
        <v>2598</v>
      </c>
      <c r="N217" s="6" t="s">
        <v>2599</v>
      </c>
      <c r="O217" s="8" t="s">
        <v>2600</v>
      </c>
      <c r="P217" s="6" t="n">
        <f aca="false">IF(O217="","",VALUE(LEFT(O217,4)))</f>
        <v>1811</v>
      </c>
      <c r="Q217" s="6" t="s">
        <v>552</v>
      </c>
      <c r="R217" s="6" t="s">
        <v>552</v>
      </c>
      <c r="S217" s="6" t="s">
        <v>553</v>
      </c>
      <c r="T217" s="6" t="s">
        <v>2601</v>
      </c>
      <c r="U217" s="6" t="s">
        <v>85</v>
      </c>
      <c r="V217" s="6" t="s">
        <v>2602</v>
      </c>
      <c r="W217" s="6" t="str">
        <f aca="false">IF(O217="","",INDEX(Lookups!$B$2:$B$217,MATCH(O217,Lookups!$A$2:$A$217,1)))</f>
        <v>Ryder</v>
      </c>
      <c r="X217" s="6" t="s">
        <v>70</v>
      </c>
      <c r="Y217" s="6" t="s">
        <v>13</v>
      </c>
      <c r="Z217" s="6" t="s">
        <v>72</v>
      </c>
      <c r="AA217" s="6" t="s">
        <v>2603</v>
      </c>
      <c r="AB217" s="6" t="s">
        <v>88</v>
      </c>
      <c r="AC217" s="6" t="s">
        <v>2604</v>
      </c>
      <c r="AD217" s="6" t="s">
        <v>106</v>
      </c>
      <c r="AE217" s="6"/>
      <c r="AF217" s="6"/>
      <c r="AG217" s="6"/>
      <c r="AH217" s="6"/>
      <c r="AI217" s="6" t="s">
        <v>2605</v>
      </c>
    </row>
    <row r="218" customFormat="false" ht="15" hidden="false" customHeight="true" outlineLevel="0" collapsed="false">
      <c r="A218" s="6" t="s">
        <v>2606</v>
      </c>
      <c r="B218" s="6" t="s">
        <v>2580</v>
      </c>
      <c r="C218" s="7" t="s">
        <v>4</v>
      </c>
      <c r="D218" s="6" t="s">
        <v>88</v>
      </c>
      <c r="E218" s="6" t="s">
        <v>2581</v>
      </c>
      <c r="F218" s="6" t="s">
        <v>2582</v>
      </c>
      <c r="G218" s="6" t="s">
        <v>1243</v>
      </c>
      <c r="H218" s="6" t="s">
        <v>2607</v>
      </c>
      <c r="I218" s="6" t="s">
        <v>274</v>
      </c>
      <c r="J218" s="6"/>
      <c r="K218" s="6" t="s">
        <v>60</v>
      </c>
      <c r="L218" s="6" t="s">
        <v>61</v>
      </c>
      <c r="M218" s="6" t="s">
        <v>2608</v>
      </c>
      <c r="N218" s="6" t="s">
        <v>2609</v>
      </c>
      <c r="O218" s="8" t="s">
        <v>2600</v>
      </c>
      <c r="P218" s="6" t="n">
        <f aca="false">IF(O218="","",VALUE(LEFT(O218,4)))</f>
        <v>1811</v>
      </c>
      <c r="Q218" s="6" t="s">
        <v>552</v>
      </c>
      <c r="R218" s="6" t="s">
        <v>552</v>
      </c>
      <c r="S218" s="6" t="s">
        <v>553</v>
      </c>
      <c r="T218" s="6" t="s">
        <v>2610</v>
      </c>
      <c r="U218" s="6" t="s">
        <v>69</v>
      </c>
      <c r="V218" s="6" t="s">
        <v>2611</v>
      </c>
      <c r="W218" s="6" t="str">
        <f aca="false">IF(O218="","",INDEX(Lookups!$B$2:$B$218,MATCH(O218,Lookups!$A$2:$A$218,1)))</f>
        <v>Ryder</v>
      </c>
      <c r="X218" s="6" t="s">
        <v>70</v>
      </c>
      <c r="Y218" s="6" t="s">
        <v>13</v>
      </c>
      <c r="Z218" s="6" t="s">
        <v>88</v>
      </c>
      <c r="AA218" s="6" t="s">
        <v>2612</v>
      </c>
      <c r="AB218" s="6" t="s">
        <v>88</v>
      </c>
      <c r="AC218" s="6"/>
      <c r="AD218" s="6" t="s">
        <v>106</v>
      </c>
      <c r="AE218" s="6"/>
      <c r="AF218" s="6"/>
      <c r="AG218" s="6"/>
      <c r="AH218" s="6"/>
      <c r="AI218" s="6" t="s">
        <v>2613</v>
      </c>
    </row>
    <row r="219" customFormat="false" ht="15" hidden="false" customHeight="true" outlineLevel="0" collapsed="false">
      <c r="A219" s="6" t="s">
        <v>2614</v>
      </c>
      <c r="B219" s="6" t="s">
        <v>2580</v>
      </c>
      <c r="C219" s="12" t="s">
        <v>9</v>
      </c>
      <c r="D219" s="6" t="s">
        <v>88</v>
      </c>
      <c r="E219" s="6" t="s">
        <v>2581</v>
      </c>
      <c r="F219" s="6" t="s">
        <v>2582</v>
      </c>
      <c r="G219" s="6" t="s">
        <v>1213</v>
      </c>
      <c r="H219" s="6" t="s">
        <v>2615</v>
      </c>
      <c r="I219" s="6" t="s">
        <v>274</v>
      </c>
      <c r="J219" s="6"/>
      <c r="K219" s="6" t="s">
        <v>60</v>
      </c>
      <c r="L219" s="6" t="s">
        <v>61</v>
      </c>
      <c r="M219" s="6" t="s">
        <v>2616</v>
      </c>
      <c r="N219" s="6" t="s">
        <v>2617</v>
      </c>
      <c r="O219" s="8" t="s">
        <v>2593</v>
      </c>
      <c r="P219" s="6" t="n">
        <f aca="false">IF(O219="","",VALUE(LEFT(O219,4)))</f>
        <v>1811</v>
      </c>
      <c r="Q219" s="6" t="s">
        <v>2618</v>
      </c>
      <c r="R219" s="6" t="s">
        <v>2619</v>
      </c>
      <c r="S219" s="6" t="s">
        <v>553</v>
      </c>
      <c r="T219" s="6" t="s">
        <v>2620</v>
      </c>
      <c r="U219" s="6" t="s">
        <v>254</v>
      </c>
      <c r="V219" s="6" t="s">
        <v>2621</v>
      </c>
      <c r="W219" s="6" t="str">
        <f aca="false">IF(O219="","",INDEX(Lookups!$B$2:$B$219,MATCH(O219,Lookups!$A$2:$A$219,1)))</f>
        <v>Ryder</v>
      </c>
      <c r="X219" s="6" t="s">
        <v>70</v>
      </c>
      <c r="Y219" s="6" t="s">
        <v>16</v>
      </c>
      <c r="Z219" s="6" t="s">
        <v>88</v>
      </c>
      <c r="AA219" s="6" t="s">
        <v>2622</v>
      </c>
      <c r="AB219" s="6" t="s">
        <v>88</v>
      </c>
      <c r="AC219" s="6"/>
      <c r="AD219" s="6"/>
      <c r="AE219" s="6"/>
      <c r="AF219" s="6"/>
      <c r="AG219" s="6"/>
      <c r="AH219" s="6"/>
      <c r="AI219" s="6" t="s">
        <v>2623</v>
      </c>
    </row>
    <row r="220" customFormat="false" ht="15" hidden="false" customHeight="true" outlineLevel="0" collapsed="false">
      <c r="A220" s="6" t="s">
        <v>2624</v>
      </c>
      <c r="B220" s="6" t="s">
        <v>2580</v>
      </c>
      <c r="C220" s="12" t="s">
        <v>9</v>
      </c>
      <c r="D220" s="6" t="s">
        <v>88</v>
      </c>
      <c r="E220" s="6" t="s">
        <v>2581</v>
      </c>
      <c r="F220" s="6" t="s">
        <v>2582</v>
      </c>
      <c r="G220" s="6" t="s">
        <v>2625</v>
      </c>
      <c r="H220" s="6" t="s">
        <v>2030</v>
      </c>
      <c r="I220" s="6" t="s">
        <v>274</v>
      </c>
      <c r="J220" s="6"/>
      <c r="K220" s="6" t="s">
        <v>60</v>
      </c>
      <c r="L220" s="6" t="s">
        <v>61</v>
      </c>
      <c r="M220" s="6" t="s">
        <v>2626</v>
      </c>
      <c r="N220" s="6" t="s">
        <v>2627</v>
      </c>
      <c r="O220" s="8" t="s">
        <v>2593</v>
      </c>
      <c r="P220" s="6" t="n">
        <f aca="false">IF(O220="","",VALUE(LEFT(O220,4)))</f>
        <v>1811</v>
      </c>
      <c r="Q220" s="6" t="s">
        <v>2628</v>
      </c>
      <c r="R220" s="6" t="s">
        <v>2628</v>
      </c>
      <c r="S220" s="6" t="s">
        <v>553</v>
      </c>
      <c r="T220" s="6" t="s">
        <v>2629</v>
      </c>
      <c r="U220" s="6" t="s">
        <v>815</v>
      </c>
      <c r="V220" s="6" t="s">
        <v>2630</v>
      </c>
      <c r="W220" s="6" t="str">
        <f aca="false">IF(O220="","",INDEX(Lookups!$B$2:$B$220,MATCH(O220,Lookups!$A$2:$A$220,1)))</f>
        <v>Ryder</v>
      </c>
      <c r="X220" s="6" t="s">
        <v>70</v>
      </c>
      <c r="Y220" s="6" t="s">
        <v>15</v>
      </c>
      <c r="Z220" s="6" t="s">
        <v>72</v>
      </c>
      <c r="AA220" s="6" t="s">
        <v>2631</v>
      </c>
      <c r="AB220" s="6" t="s">
        <v>88</v>
      </c>
      <c r="AC220" s="6"/>
      <c r="AD220" s="6"/>
      <c r="AE220" s="6"/>
      <c r="AF220" s="6"/>
      <c r="AG220" s="6"/>
      <c r="AH220" s="6"/>
      <c r="AI220" s="6" t="s">
        <v>2632</v>
      </c>
    </row>
    <row r="221" customFormat="false" ht="15" hidden="false" customHeight="true" outlineLevel="0" collapsed="false">
      <c r="A221" s="6" t="s">
        <v>2633</v>
      </c>
      <c r="B221" s="6" t="s">
        <v>2580</v>
      </c>
      <c r="C221" s="7" t="s">
        <v>4</v>
      </c>
      <c r="D221" s="6" t="s">
        <v>88</v>
      </c>
      <c r="E221" s="6" t="s">
        <v>2581</v>
      </c>
      <c r="F221" s="6" t="s">
        <v>2634</v>
      </c>
      <c r="G221" s="6" t="s">
        <v>2635</v>
      </c>
      <c r="H221" s="6" t="s">
        <v>2636</v>
      </c>
      <c r="I221" s="6" t="s">
        <v>274</v>
      </c>
      <c r="J221" s="6"/>
      <c r="K221" s="6" t="s">
        <v>60</v>
      </c>
      <c r="L221" s="6" t="s">
        <v>61</v>
      </c>
      <c r="M221" s="6" t="s">
        <v>2637</v>
      </c>
      <c r="N221" s="6" t="s">
        <v>2638</v>
      </c>
      <c r="O221" s="8" t="s">
        <v>2593</v>
      </c>
      <c r="P221" s="6" t="n">
        <f aca="false">IF(O221="","",VALUE(LEFT(O221,4)))</f>
        <v>1811</v>
      </c>
      <c r="Q221" s="6" t="s">
        <v>2639</v>
      </c>
      <c r="R221" s="6" t="s">
        <v>2640</v>
      </c>
      <c r="S221" s="6" t="s">
        <v>553</v>
      </c>
      <c r="T221" s="6" t="s">
        <v>2620</v>
      </c>
      <c r="U221" s="6" t="s">
        <v>254</v>
      </c>
      <c r="V221" s="6" t="s">
        <v>2641</v>
      </c>
      <c r="W221" s="6" t="str">
        <f aca="false">IF(O221="","",INDEX(Lookups!$B$2:$B$221,MATCH(O221,Lookups!$A$2:$A$221,1)))</f>
        <v>Ryder</v>
      </c>
      <c r="X221" s="6" t="s">
        <v>70</v>
      </c>
      <c r="Y221" s="6" t="s">
        <v>13</v>
      </c>
      <c r="Z221" s="6" t="s">
        <v>72</v>
      </c>
      <c r="AA221" s="6" t="s">
        <v>2642</v>
      </c>
      <c r="AB221" s="6" t="s">
        <v>88</v>
      </c>
      <c r="AC221" s="6"/>
      <c r="AD221" s="6" t="s">
        <v>736</v>
      </c>
      <c r="AE221" s="6"/>
      <c r="AF221" s="6"/>
      <c r="AG221" s="6"/>
      <c r="AH221" s="6"/>
      <c r="AI221" s="6" t="s">
        <v>2643</v>
      </c>
    </row>
    <row r="222" customFormat="false" ht="15" hidden="false" customHeight="true" outlineLevel="0" collapsed="false">
      <c r="A222" s="6" t="s">
        <v>2644</v>
      </c>
      <c r="B222" s="6" t="s">
        <v>2580</v>
      </c>
      <c r="C222" s="12" t="s">
        <v>9</v>
      </c>
      <c r="D222" s="6" t="s">
        <v>88</v>
      </c>
      <c r="E222" s="6" t="s">
        <v>2581</v>
      </c>
      <c r="F222" s="6" t="s">
        <v>2582</v>
      </c>
      <c r="G222" s="6" t="s">
        <v>2645</v>
      </c>
      <c r="H222" s="6" t="s">
        <v>2646</v>
      </c>
      <c r="I222" s="6" t="s">
        <v>274</v>
      </c>
      <c r="J222" s="6"/>
      <c r="K222" s="6" t="s">
        <v>60</v>
      </c>
      <c r="L222" s="6" t="s">
        <v>61</v>
      </c>
      <c r="M222" s="6" t="s">
        <v>2647</v>
      </c>
      <c r="N222" s="6" t="s">
        <v>2648</v>
      </c>
      <c r="O222" s="8" t="s">
        <v>2649</v>
      </c>
      <c r="P222" s="6" t="n">
        <f aca="false">IF(O222="","",VALUE(LEFT(O222,4)))</f>
        <v>1811</v>
      </c>
      <c r="Q222" s="6" t="s">
        <v>2650</v>
      </c>
      <c r="R222" s="6" t="s">
        <v>552</v>
      </c>
      <c r="S222" s="6" t="s">
        <v>553</v>
      </c>
      <c r="T222" s="6" t="s">
        <v>2651</v>
      </c>
      <c r="U222" s="6" t="s">
        <v>815</v>
      </c>
      <c r="V222" s="6" t="s">
        <v>2630</v>
      </c>
      <c r="W222" s="6" t="str">
        <f aca="false">IF(O222="","",INDEX(Lookups!$B$2:$B$222,MATCH(O222,Lookups!$A$2:$A$222,1)))</f>
        <v>Ryder</v>
      </c>
      <c r="X222" s="6" t="s">
        <v>70</v>
      </c>
      <c r="Y222" s="6" t="s">
        <v>16</v>
      </c>
      <c r="Z222" s="6" t="s">
        <v>55</v>
      </c>
      <c r="AA222" s="6" t="s">
        <v>2652</v>
      </c>
      <c r="AB222" s="6" t="s">
        <v>88</v>
      </c>
      <c r="AC222" s="6"/>
      <c r="AD222" s="6"/>
      <c r="AE222" s="6"/>
      <c r="AF222" s="6"/>
      <c r="AG222" s="6"/>
      <c r="AH222" s="6"/>
      <c r="AI222" s="6" t="s">
        <v>2653</v>
      </c>
    </row>
    <row r="223" customFormat="false" ht="15" hidden="false" customHeight="true" outlineLevel="0" collapsed="false">
      <c r="A223" s="6" t="s">
        <v>2654</v>
      </c>
      <c r="B223" s="6" t="s">
        <v>2580</v>
      </c>
      <c r="C223" s="12" t="s">
        <v>9</v>
      </c>
      <c r="D223" s="6" t="s">
        <v>88</v>
      </c>
      <c r="E223" s="6" t="s">
        <v>2581</v>
      </c>
      <c r="F223" s="6" t="s">
        <v>2582</v>
      </c>
      <c r="G223" s="6" t="s">
        <v>557</v>
      </c>
      <c r="H223" s="6" t="s">
        <v>1139</v>
      </c>
      <c r="I223" s="6" t="s">
        <v>274</v>
      </c>
      <c r="J223" s="6"/>
      <c r="K223" s="6" t="s">
        <v>60</v>
      </c>
      <c r="L223" s="6" t="s">
        <v>61</v>
      </c>
      <c r="M223" s="6" t="s">
        <v>2655</v>
      </c>
      <c r="N223" s="6" t="s">
        <v>2656</v>
      </c>
      <c r="O223" s="8" t="s">
        <v>2657</v>
      </c>
      <c r="P223" s="6" t="n">
        <f aca="false">IF(O223="","",VALUE(LEFT(O223,4)))</f>
        <v>1811</v>
      </c>
      <c r="Q223" s="6" t="s">
        <v>2658</v>
      </c>
      <c r="R223" s="6" t="s">
        <v>2619</v>
      </c>
      <c r="S223" s="6" t="s">
        <v>553</v>
      </c>
      <c r="T223" s="6" t="s">
        <v>2659</v>
      </c>
      <c r="U223" s="6" t="s">
        <v>139</v>
      </c>
      <c r="V223" s="6" t="s">
        <v>2660</v>
      </c>
      <c r="W223" s="6" t="str">
        <f aca="false">IF(O223="","",INDEX(Lookups!$B$2:$B$223,MATCH(O223,Lookups!$A$2:$A$223,1)))</f>
        <v>Ryder</v>
      </c>
      <c r="X223" s="6" t="s">
        <v>70</v>
      </c>
      <c r="Y223" s="6" t="s">
        <v>16</v>
      </c>
      <c r="Z223" s="6" t="s">
        <v>72</v>
      </c>
      <c r="AA223" s="6" t="s">
        <v>2661</v>
      </c>
      <c r="AB223" s="6" t="s">
        <v>88</v>
      </c>
      <c r="AC223" s="6"/>
      <c r="AD223" s="6"/>
      <c r="AE223" s="6"/>
      <c r="AF223" s="6"/>
      <c r="AG223" s="6"/>
      <c r="AH223" s="6"/>
      <c r="AI223" s="6" t="s">
        <v>2662</v>
      </c>
    </row>
    <row r="224" customFormat="false" ht="15" hidden="false" customHeight="true" outlineLevel="0" collapsed="false">
      <c r="A224" s="6" t="s">
        <v>2663</v>
      </c>
      <c r="B224" s="6" t="s">
        <v>2580</v>
      </c>
      <c r="C224" s="7" t="s">
        <v>4</v>
      </c>
      <c r="D224" s="6" t="s">
        <v>88</v>
      </c>
      <c r="E224" s="6" t="s">
        <v>2581</v>
      </c>
      <c r="F224" s="6" t="s">
        <v>2582</v>
      </c>
      <c r="G224" s="6" t="s">
        <v>1679</v>
      </c>
      <c r="H224" s="6" t="s">
        <v>2664</v>
      </c>
      <c r="I224" s="6" t="s">
        <v>274</v>
      </c>
      <c r="J224" s="6"/>
      <c r="K224" s="6" t="s">
        <v>60</v>
      </c>
      <c r="L224" s="6" t="s">
        <v>61</v>
      </c>
      <c r="M224" s="6" t="s">
        <v>2665</v>
      </c>
      <c r="N224" s="6" t="s">
        <v>2666</v>
      </c>
      <c r="O224" s="8" t="s">
        <v>2667</v>
      </c>
      <c r="P224" s="6" t="n">
        <f aca="false">IF(O224="","",VALUE(LEFT(O224,4)))</f>
        <v>1811</v>
      </c>
      <c r="Q224" s="6" t="s">
        <v>552</v>
      </c>
      <c r="R224" s="6" t="s">
        <v>552</v>
      </c>
      <c r="S224" s="6" t="s">
        <v>553</v>
      </c>
      <c r="T224" s="6" t="s">
        <v>2668</v>
      </c>
      <c r="U224" s="6" t="s">
        <v>85</v>
      </c>
      <c r="V224" s="6" t="s">
        <v>2630</v>
      </c>
      <c r="W224" s="6" t="str">
        <f aca="false">IF(O224="","",INDEX(Lookups!$B$2:$B$224,MATCH(O224,Lookups!$A$2:$A$224,1)))</f>
        <v>Ryder</v>
      </c>
      <c r="X224" s="6" t="s">
        <v>70</v>
      </c>
      <c r="Y224" s="6" t="s">
        <v>14</v>
      </c>
      <c r="Z224" s="6" t="s">
        <v>55</v>
      </c>
      <c r="AA224" s="6" t="s">
        <v>2669</v>
      </c>
      <c r="AB224" s="6" t="s">
        <v>88</v>
      </c>
      <c r="AC224" s="6"/>
      <c r="AD224" s="6"/>
      <c r="AE224" s="6"/>
      <c r="AF224" s="6"/>
      <c r="AG224" s="6"/>
      <c r="AH224" s="6"/>
      <c r="AI224" s="6" t="s">
        <v>2670</v>
      </c>
    </row>
    <row r="225" customFormat="false" ht="15" hidden="false" customHeight="true" outlineLevel="0" collapsed="false">
      <c r="A225" s="6" t="s">
        <v>2671</v>
      </c>
      <c r="B225" s="6" t="s">
        <v>2580</v>
      </c>
      <c r="C225" s="12" t="s">
        <v>9</v>
      </c>
      <c r="D225" s="6" t="s">
        <v>88</v>
      </c>
      <c r="E225" s="6" t="s">
        <v>2581</v>
      </c>
      <c r="F225" s="6" t="s">
        <v>2582</v>
      </c>
      <c r="G225" s="6" t="s">
        <v>1498</v>
      </c>
      <c r="H225" s="6" t="s">
        <v>2672</v>
      </c>
      <c r="I225" s="6" t="s">
        <v>274</v>
      </c>
      <c r="J225" s="6"/>
      <c r="K225" s="6" t="s">
        <v>60</v>
      </c>
      <c r="L225" s="6" t="s">
        <v>61</v>
      </c>
      <c r="M225" s="6" t="s">
        <v>2673</v>
      </c>
      <c r="N225" s="6" t="s">
        <v>2674</v>
      </c>
      <c r="O225" s="8" t="s">
        <v>2667</v>
      </c>
      <c r="P225" s="6" t="n">
        <f aca="false">IF(O225="","",VALUE(LEFT(O225,4)))</f>
        <v>1811</v>
      </c>
      <c r="Q225" s="6" t="s">
        <v>553</v>
      </c>
      <c r="R225" s="6" t="s">
        <v>552</v>
      </c>
      <c r="S225" s="6" t="s">
        <v>553</v>
      </c>
      <c r="T225" s="6" t="s">
        <v>2651</v>
      </c>
      <c r="U225" s="6" t="s">
        <v>815</v>
      </c>
      <c r="V225" s="6" t="s">
        <v>2630</v>
      </c>
      <c r="W225" s="6" t="str">
        <f aca="false">IF(O225="","",INDEX(Lookups!$B$2:$B$225,MATCH(O225,Lookups!$A$2:$A$225,1)))</f>
        <v>Ryder</v>
      </c>
      <c r="X225" s="6" t="s">
        <v>70</v>
      </c>
      <c r="Y225" s="6" t="s">
        <v>16</v>
      </c>
      <c r="Z225" s="6" t="s">
        <v>55</v>
      </c>
      <c r="AA225" s="6" t="s">
        <v>2675</v>
      </c>
      <c r="AB225" s="6" t="s">
        <v>88</v>
      </c>
      <c r="AC225" s="6"/>
      <c r="AD225" s="6"/>
      <c r="AE225" s="6"/>
      <c r="AF225" s="6"/>
      <c r="AG225" s="6"/>
      <c r="AH225" s="6"/>
      <c r="AI225" s="6" t="s">
        <v>2676</v>
      </c>
    </row>
    <row r="226" customFormat="false" ht="15" hidden="false" customHeight="true" outlineLevel="0" collapsed="false">
      <c r="A226" s="6" t="s">
        <v>2677</v>
      </c>
      <c r="B226" s="6" t="s">
        <v>2580</v>
      </c>
      <c r="C226" s="12" t="s">
        <v>9</v>
      </c>
      <c r="D226" s="6" t="s">
        <v>88</v>
      </c>
      <c r="E226" s="6" t="s">
        <v>2581</v>
      </c>
      <c r="F226" s="6" t="s">
        <v>2582</v>
      </c>
      <c r="G226" s="6" t="s">
        <v>424</v>
      </c>
      <c r="H226" s="6" t="s">
        <v>2678</v>
      </c>
      <c r="I226" s="6" t="s">
        <v>274</v>
      </c>
      <c r="J226" s="6"/>
      <c r="K226" s="6" t="s">
        <v>60</v>
      </c>
      <c r="L226" s="6" t="s">
        <v>61</v>
      </c>
      <c r="M226" s="6" t="s">
        <v>2679</v>
      </c>
      <c r="N226" s="6" t="s">
        <v>2680</v>
      </c>
      <c r="O226" s="8" t="s">
        <v>2681</v>
      </c>
      <c r="P226" s="6" t="n">
        <f aca="false">IF(O226="","",VALUE(LEFT(O226,4)))</f>
        <v>1811</v>
      </c>
      <c r="Q226" s="6" t="s">
        <v>552</v>
      </c>
      <c r="R226" s="6" t="s">
        <v>552</v>
      </c>
      <c r="S226" s="6" t="s">
        <v>553</v>
      </c>
      <c r="T226" s="6" t="s">
        <v>2682</v>
      </c>
      <c r="U226" s="6" t="s">
        <v>69</v>
      </c>
      <c r="V226" s="6" t="s">
        <v>2630</v>
      </c>
      <c r="W226" s="6" t="str">
        <f aca="false">IF(O226="","",INDEX(Lookups!$B$2:$B$226,MATCH(O226,Lookups!$A$2:$A$226,1)))</f>
        <v>Ryder</v>
      </c>
      <c r="X226" s="6" t="s">
        <v>70</v>
      </c>
      <c r="Y226" s="6" t="s">
        <v>16</v>
      </c>
      <c r="Z226" s="6" t="s">
        <v>72</v>
      </c>
      <c r="AA226" s="6" t="s">
        <v>2683</v>
      </c>
      <c r="AB226" s="6" t="s">
        <v>88</v>
      </c>
      <c r="AC226" s="6"/>
      <c r="AD226" s="6"/>
      <c r="AE226" s="6"/>
      <c r="AF226" s="6"/>
      <c r="AG226" s="6"/>
      <c r="AH226" s="6"/>
      <c r="AI226" s="6" t="s">
        <v>2684</v>
      </c>
    </row>
    <row r="227" customFormat="false" ht="15" hidden="false" customHeight="true" outlineLevel="0" collapsed="false">
      <c r="A227" s="6" t="s">
        <v>2685</v>
      </c>
      <c r="B227" s="6" t="s">
        <v>2580</v>
      </c>
      <c r="C227" s="12" t="s">
        <v>9</v>
      </c>
      <c r="D227" s="6" t="s">
        <v>88</v>
      </c>
      <c r="E227" s="6" t="s">
        <v>2581</v>
      </c>
      <c r="F227" s="6" t="s">
        <v>2582</v>
      </c>
      <c r="G227" s="6" t="s">
        <v>2686</v>
      </c>
      <c r="H227" s="6" t="s">
        <v>2687</v>
      </c>
      <c r="I227" s="6" t="s">
        <v>274</v>
      </c>
      <c r="J227" s="6"/>
      <c r="K227" s="6" t="s">
        <v>60</v>
      </c>
      <c r="L227" s="6" t="s">
        <v>61</v>
      </c>
      <c r="M227" s="6" t="s">
        <v>2688</v>
      </c>
      <c r="N227" s="6" t="s">
        <v>2689</v>
      </c>
      <c r="O227" s="8" t="s">
        <v>2690</v>
      </c>
      <c r="P227" s="6" t="n">
        <f aca="false">IF(O227="","",VALUE(LEFT(O227,4)))</f>
        <v>1811</v>
      </c>
      <c r="Q227" s="6" t="s">
        <v>552</v>
      </c>
      <c r="R227" s="6" t="s">
        <v>552</v>
      </c>
      <c r="S227" s="6" t="s">
        <v>553</v>
      </c>
      <c r="T227" s="6" t="s">
        <v>2620</v>
      </c>
      <c r="U227" s="6" t="s">
        <v>254</v>
      </c>
      <c r="V227" s="6" t="s">
        <v>2630</v>
      </c>
      <c r="W227" s="6" t="str">
        <f aca="false">IF(O227="","",INDEX(Lookups!$B$2:$B$227,MATCH(O227,Lookups!$A$2:$A$227,1)))</f>
        <v>Ryder</v>
      </c>
      <c r="X227" s="6" t="s">
        <v>70</v>
      </c>
      <c r="Y227" s="6" t="s">
        <v>16</v>
      </c>
      <c r="Z227" s="6" t="s">
        <v>72</v>
      </c>
      <c r="AA227" s="6" t="s">
        <v>2691</v>
      </c>
      <c r="AB227" s="6" t="s">
        <v>88</v>
      </c>
      <c r="AC227" s="6"/>
      <c r="AD227" s="6"/>
      <c r="AE227" s="6"/>
      <c r="AF227" s="6"/>
      <c r="AG227" s="6"/>
      <c r="AH227" s="6"/>
      <c r="AI227" s="6" t="s">
        <v>2692</v>
      </c>
    </row>
    <row r="228" customFormat="false" ht="15" hidden="false" customHeight="true" outlineLevel="0" collapsed="false">
      <c r="A228" s="6" t="s">
        <v>2693</v>
      </c>
      <c r="B228" s="6" t="s">
        <v>2580</v>
      </c>
      <c r="C228" s="7" t="s">
        <v>4</v>
      </c>
      <c r="D228" s="6" t="s">
        <v>88</v>
      </c>
      <c r="E228" s="6" t="s">
        <v>2581</v>
      </c>
      <c r="F228" s="6" t="s">
        <v>2582</v>
      </c>
      <c r="G228" s="6" t="s">
        <v>2694</v>
      </c>
      <c r="H228" s="6" t="s">
        <v>2490</v>
      </c>
      <c r="I228" s="6" t="s">
        <v>274</v>
      </c>
      <c r="J228" s="6"/>
      <c r="K228" s="6" t="s">
        <v>60</v>
      </c>
      <c r="L228" s="6" t="s">
        <v>61</v>
      </c>
      <c r="M228" s="6" t="s">
        <v>2695</v>
      </c>
      <c r="N228" s="6" t="s">
        <v>2696</v>
      </c>
      <c r="O228" s="8" t="s">
        <v>2697</v>
      </c>
      <c r="P228" s="6" t="n">
        <f aca="false">IF(O228="","",VALUE(LEFT(O228,4)))</f>
        <v>1811</v>
      </c>
      <c r="Q228" s="6" t="s">
        <v>552</v>
      </c>
      <c r="R228" s="6" t="s">
        <v>552</v>
      </c>
      <c r="S228" s="6" t="s">
        <v>553</v>
      </c>
      <c r="T228" s="6" t="s">
        <v>2651</v>
      </c>
      <c r="U228" s="6" t="s">
        <v>815</v>
      </c>
      <c r="V228" s="6" t="s">
        <v>2630</v>
      </c>
      <c r="W228" s="6" t="str">
        <f aca="false">IF(O228="","",INDEX(Lookups!$B$2:$B$228,MATCH(O228,Lookups!$A$2:$A$228,1)))</f>
        <v>Ryder</v>
      </c>
      <c r="X228" s="6" t="s">
        <v>70</v>
      </c>
      <c r="Y228" s="6" t="s">
        <v>13</v>
      </c>
      <c r="Z228" s="6" t="s">
        <v>72</v>
      </c>
      <c r="AA228" s="6" t="s">
        <v>2698</v>
      </c>
      <c r="AB228" s="6" t="s">
        <v>88</v>
      </c>
      <c r="AC228" s="6"/>
      <c r="AD228" s="6" t="s">
        <v>106</v>
      </c>
      <c r="AE228" s="6"/>
      <c r="AF228" s="6"/>
      <c r="AG228" s="6"/>
      <c r="AH228" s="6"/>
      <c r="AI228" s="6" t="s">
        <v>2699</v>
      </c>
    </row>
    <row r="229" customFormat="false" ht="15" hidden="false" customHeight="true" outlineLevel="0" collapsed="false">
      <c r="A229" s="6" t="s">
        <v>2700</v>
      </c>
      <c r="B229" s="6" t="s">
        <v>2580</v>
      </c>
      <c r="C229" s="7" t="s">
        <v>4</v>
      </c>
      <c r="D229" s="6" t="s">
        <v>88</v>
      </c>
      <c r="E229" s="6" t="s">
        <v>2581</v>
      </c>
      <c r="F229" s="6" t="s">
        <v>2582</v>
      </c>
      <c r="G229" s="6" t="s">
        <v>2701</v>
      </c>
      <c r="H229" s="6" t="s">
        <v>2702</v>
      </c>
      <c r="I229" s="6" t="s">
        <v>274</v>
      </c>
      <c r="J229" s="6"/>
      <c r="K229" s="6" t="s">
        <v>60</v>
      </c>
      <c r="L229" s="6" t="s">
        <v>61</v>
      </c>
      <c r="M229" s="6" t="s">
        <v>2703</v>
      </c>
      <c r="N229" s="6" t="s">
        <v>2704</v>
      </c>
      <c r="O229" s="8" t="s">
        <v>2697</v>
      </c>
      <c r="P229" s="6" t="n">
        <f aca="false">IF(O229="","",VALUE(LEFT(O229,4)))</f>
        <v>1811</v>
      </c>
      <c r="Q229" s="6" t="s">
        <v>552</v>
      </c>
      <c r="R229" s="6" t="s">
        <v>552</v>
      </c>
      <c r="S229" s="6" t="s">
        <v>553</v>
      </c>
      <c r="T229" s="6" t="s">
        <v>2705</v>
      </c>
      <c r="U229" s="6" t="s">
        <v>69</v>
      </c>
      <c r="V229" s="6" t="s">
        <v>2630</v>
      </c>
      <c r="W229" s="6" t="str">
        <f aca="false">IF(O229="","",INDEX(Lookups!$B$2:$B$229,MATCH(O229,Lookups!$A$2:$A$229,1)))</f>
        <v>Ryder</v>
      </c>
      <c r="X229" s="6" t="s">
        <v>70</v>
      </c>
      <c r="Y229" s="6" t="s">
        <v>13</v>
      </c>
      <c r="Z229" s="6" t="s">
        <v>88</v>
      </c>
      <c r="AA229" s="6" t="s">
        <v>2706</v>
      </c>
      <c r="AB229" s="6" t="s">
        <v>88</v>
      </c>
      <c r="AC229" s="6"/>
      <c r="AD229" s="6" t="s">
        <v>106</v>
      </c>
      <c r="AE229" s="6"/>
      <c r="AF229" s="6"/>
      <c r="AG229" s="6"/>
      <c r="AH229" s="6"/>
      <c r="AI229" s="6" t="s">
        <v>2707</v>
      </c>
    </row>
    <row r="230" customFormat="false" ht="15" hidden="false" customHeight="true" outlineLevel="0" collapsed="false">
      <c r="A230" s="6" t="s">
        <v>2708</v>
      </c>
      <c r="B230" s="6" t="s">
        <v>2580</v>
      </c>
      <c r="C230" s="7" t="s">
        <v>4</v>
      </c>
      <c r="D230" s="6" t="s">
        <v>88</v>
      </c>
      <c r="E230" s="6" t="s">
        <v>2581</v>
      </c>
      <c r="F230" s="6" t="s">
        <v>2582</v>
      </c>
      <c r="G230" s="6" t="s">
        <v>2709</v>
      </c>
      <c r="H230" s="6" t="s">
        <v>2710</v>
      </c>
      <c r="I230" s="6" t="s">
        <v>274</v>
      </c>
      <c r="J230" s="6"/>
      <c r="K230" s="6" t="s">
        <v>60</v>
      </c>
      <c r="L230" s="6" t="s">
        <v>61</v>
      </c>
      <c r="M230" s="6" t="s">
        <v>2711</v>
      </c>
      <c r="N230" s="6" t="s">
        <v>2712</v>
      </c>
      <c r="O230" s="8" t="s">
        <v>2713</v>
      </c>
      <c r="P230" s="6" t="n">
        <f aca="false">IF(O230="","",VALUE(LEFT(O230,4)))</f>
        <v>1811</v>
      </c>
      <c r="Q230" s="6" t="s">
        <v>2714</v>
      </c>
      <c r="R230" s="6" t="s">
        <v>552</v>
      </c>
      <c r="S230" s="6" t="s">
        <v>553</v>
      </c>
      <c r="T230" s="6" t="s">
        <v>2715</v>
      </c>
      <c r="U230" s="6" t="s">
        <v>69</v>
      </c>
      <c r="V230" s="6" t="s">
        <v>2716</v>
      </c>
      <c r="W230" s="6" t="str">
        <f aca="false">IF(O230="","",INDEX(Lookups!$B$2:$B$230,MATCH(O230,Lookups!$A$2:$A$230,1)))</f>
        <v>Ryder</v>
      </c>
      <c r="X230" s="6" t="s">
        <v>70</v>
      </c>
      <c r="Y230" s="6" t="s">
        <v>13</v>
      </c>
      <c r="Z230" s="6" t="s">
        <v>88</v>
      </c>
      <c r="AA230" s="6" t="s">
        <v>2717</v>
      </c>
      <c r="AB230" s="6" t="s">
        <v>88</v>
      </c>
      <c r="AC230" s="6"/>
      <c r="AD230" s="6" t="s">
        <v>1518</v>
      </c>
      <c r="AE230" s="6"/>
      <c r="AF230" s="6"/>
      <c r="AG230" s="6"/>
      <c r="AH230" s="6"/>
      <c r="AI230" s="6" t="s">
        <v>2718</v>
      </c>
    </row>
    <row r="231" customFormat="false" ht="15" hidden="false" customHeight="true" outlineLevel="0" collapsed="false">
      <c r="A231" s="6" t="s">
        <v>2719</v>
      </c>
      <c r="B231" s="6" t="s">
        <v>2580</v>
      </c>
      <c r="C231" s="12" t="s">
        <v>9</v>
      </c>
      <c r="D231" s="6" t="s">
        <v>88</v>
      </c>
      <c r="E231" s="6" t="s">
        <v>2581</v>
      </c>
      <c r="F231" s="6" t="s">
        <v>2582</v>
      </c>
      <c r="G231" s="6" t="s">
        <v>2720</v>
      </c>
      <c r="H231" s="6" t="s">
        <v>2721</v>
      </c>
      <c r="I231" s="6" t="s">
        <v>274</v>
      </c>
      <c r="J231" s="6"/>
      <c r="K231" s="6" t="s">
        <v>60</v>
      </c>
      <c r="L231" s="6" t="s">
        <v>61</v>
      </c>
      <c r="M231" s="6" t="s">
        <v>2722</v>
      </c>
      <c r="N231" s="6" t="s">
        <v>2723</v>
      </c>
      <c r="O231" s="8" t="s">
        <v>2724</v>
      </c>
      <c r="P231" s="6" t="n">
        <f aca="false">IF(O231="","",VALUE(LEFT(O231,4)))</f>
        <v>1811</v>
      </c>
      <c r="Q231" s="6" t="s">
        <v>2619</v>
      </c>
      <c r="R231" s="6" t="s">
        <v>2619</v>
      </c>
      <c r="S231" s="6" t="s">
        <v>553</v>
      </c>
      <c r="T231" s="6" t="s">
        <v>2620</v>
      </c>
      <c r="U231" s="6" t="s">
        <v>254</v>
      </c>
      <c r="V231" s="6" t="s">
        <v>2630</v>
      </c>
      <c r="W231" s="6" t="str">
        <f aca="false">IF(O231="","",INDEX(Lookups!$B$2:$B$231,MATCH(O231,Lookups!$A$2:$A$231,1)))</f>
        <v>Ryder</v>
      </c>
      <c r="X231" s="6" t="s">
        <v>70</v>
      </c>
      <c r="Y231" s="6" t="s">
        <v>16</v>
      </c>
      <c r="Z231" s="6" t="s">
        <v>72</v>
      </c>
      <c r="AA231" s="6" t="s">
        <v>2725</v>
      </c>
      <c r="AB231" s="6" t="s">
        <v>88</v>
      </c>
      <c r="AC231" s="6"/>
      <c r="AD231" s="6"/>
      <c r="AE231" s="6"/>
      <c r="AF231" s="6"/>
      <c r="AG231" s="6"/>
      <c r="AH231" s="6"/>
      <c r="AI231" s="6" t="s">
        <v>2726</v>
      </c>
    </row>
    <row r="232" customFormat="false" ht="15" hidden="false" customHeight="true" outlineLevel="0" collapsed="false">
      <c r="A232" s="6" t="s">
        <v>2727</v>
      </c>
      <c r="B232" s="6" t="s">
        <v>2580</v>
      </c>
      <c r="C232" s="12" t="s">
        <v>9</v>
      </c>
      <c r="D232" s="6" t="s">
        <v>88</v>
      </c>
      <c r="E232" s="6" t="s">
        <v>2581</v>
      </c>
      <c r="F232" s="6" t="s">
        <v>2582</v>
      </c>
      <c r="G232" s="6" t="s">
        <v>2728</v>
      </c>
      <c r="H232" s="6" t="s">
        <v>2729</v>
      </c>
      <c r="I232" s="6" t="s">
        <v>274</v>
      </c>
      <c r="J232" s="6"/>
      <c r="K232" s="6" t="s">
        <v>60</v>
      </c>
      <c r="L232" s="6" t="s">
        <v>61</v>
      </c>
      <c r="M232" s="6" t="s">
        <v>2730</v>
      </c>
      <c r="N232" s="6" t="s">
        <v>2731</v>
      </c>
      <c r="O232" s="8" t="s">
        <v>2732</v>
      </c>
      <c r="P232" s="6" t="n">
        <f aca="false">IF(O232="","",VALUE(LEFT(O232,4)))</f>
        <v>1811</v>
      </c>
      <c r="Q232" s="6" t="s">
        <v>2733</v>
      </c>
      <c r="R232" s="6" t="s">
        <v>552</v>
      </c>
      <c r="S232" s="6" t="s">
        <v>553</v>
      </c>
      <c r="T232" s="6" t="s">
        <v>2651</v>
      </c>
      <c r="U232" s="6" t="s">
        <v>815</v>
      </c>
      <c r="V232" s="6" t="s">
        <v>2630</v>
      </c>
      <c r="W232" s="6" t="str">
        <f aca="false">IF(O232="","",INDEX(Lookups!$B$2:$B$232,MATCH(O232,Lookups!$A$2:$A$232,1)))</f>
        <v>Ryder</v>
      </c>
      <c r="X232" s="6" t="s">
        <v>70</v>
      </c>
      <c r="Y232" s="6" t="s">
        <v>16</v>
      </c>
      <c r="Z232" s="6" t="s">
        <v>88</v>
      </c>
      <c r="AA232" s="6" t="s">
        <v>2734</v>
      </c>
      <c r="AB232" s="6" t="s">
        <v>88</v>
      </c>
      <c r="AC232" s="6"/>
      <c r="AD232" s="6"/>
      <c r="AE232" s="6"/>
      <c r="AF232" s="6"/>
      <c r="AG232" s="6"/>
      <c r="AH232" s="6"/>
      <c r="AI232" s="6" t="s">
        <v>2735</v>
      </c>
    </row>
    <row r="233" customFormat="false" ht="15" hidden="false" customHeight="true" outlineLevel="0" collapsed="false">
      <c r="A233" s="6" t="s">
        <v>2736</v>
      </c>
      <c r="B233" s="6" t="s">
        <v>2580</v>
      </c>
      <c r="C233" s="12" t="s">
        <v>9</v>
      </c>
      <c r="D233" s="6" t="s">
        <v>88</v>
      </c>
      <c r="E233" s="6" t="s">
        <v>2581</v>
      </c>
      <c r="F233" s="6" t="s">
        <v>2582</v>
      </c>
      <c r="G233" s="6" t="s">
        <v>2737</v>
      </c>
      <c r="H233" s="6" t="s">
        <v>2738</v>
      </c>
      <c r="I233" s="6" t="s">
        <v>274</v>
      </c>
      <c r="J233" s="6"/>
      <c r="K233" s="6" t="s">
        <v>60</v>
      </c>
      <c r="L233" s="6" t="s">
        <v>61</v>
      </c>
      <c r="M233" s="6" t="s">
        <v>2739</v>
      </c>
      <c r="N233" s="6" t="s">
        <v>2740</v>
      </c>
      <c r="O233" s="8" t="s">
        <v>2732</v>
      </c>
      <c r="P233" s="6" t="n">
        <f aca="false">IF(O233="","",VALUE(LEFT(O233,4)))</f>
        <v>1811</v>
      </c>
      <c r="Q233" s="6" t="s">
        <v>2741</v>
      </c>
      <c r="R233" s="6" t="s">
        <v>552</v>
      </c>
      <c r="S233" s="6" t="s">
        <v>553</v>
      </c>
      <c r="T233" s="6" t="s">
        <v>2742</v>
      </c>
      <c r="U233" s="6" t="s">
        <v>217</v>
      </c>
      <c r="V233" s="6" t="s">
        <v>2743</v>
      </c>
      <c r="W233" s="6" t="str">
        <f aca="false">IF(O233="","",INDEX(Lookups!$B$2:$B$233,MATCH(O233,Lookups!$A$2:$A$233,1)))</f>
        <v>Ryder</v>
      </c>
      <c r="X233" s="6" t="s">
        <v>70</v>
      </c>
      <c r="Y233" s="6" t="s">
        <v>16</v>
      </c>
      <c r="Z233" s="6" t="s">
        <v>72</v>
      </c>
      <c r="AA233" s="6" t="s">
        <v>2744</v>
      </c>
      <c r="AB233" s="6" t="s">
        <v>88</v>
      </c>
      <c r="AC233" s="6"/>
      <c r="AD233" s="6"/>
      <c r="AE233" s="6"/>
      <c r="AF233" s="6"/>
      <c r="AG233" s="6"/>
      <c r="AH233" s="6"/>
      <c r="AI233" s="6" t="s">
        <v>2745</v>
      </c>
    </row>
    <row r="234" customFormat="false" ht="15" hidden="false" customHeight="true" outlineLevel="0" collapsed="false">
      <c r="A234" s="6" t="s">
        <v>2746</v>
      </c>
      <c r="B234" s="6" t="s">
        <v>2747</v>
      </c>
      <c r="C234" s="7" t="s">
        <v>4</v>
      </c>
      <c r="D234" s="6" t="s">
        <v>88</v>
      </c>
      <c r="E234" s="6" t="s">
        <v>2581</v>
      </c>
      <c r="F234" s="6" t="s">
        <v>2634</v>
      </c>
      <c r="G234" s="6" t="s">
        <v>1213</v>
      </c>
      <c r="H234" s="6" t="s">
        <v>2748</v>
      </c>
      <c r="I234" s="6" t="s">
        <v>274</v>
      </c>
      <c r="J234" s="6"/>
      <c r="K234" s="6" t="s">
        <v>60</v>
      </c>
      <c r="L234" s="6" t="s">
        <v>61</v>
      </c>
      <c r="M234" s="6" t="s">
        <v>2749</v>
      </c>
      <c r="N234" s="6" t="s">
        <v>2750</v>
      </c>
      <c r="O234" s="8" t="s">
        <v>2732</v>
      </c>
      <c r="P234" s="6" t="n">
        <f aca="false">IF(O234="","",VALUE(LEFT(O234,4)))</f>
        <v>1811</v>
      </c>
      <c r="Q234" s="6" t="s">
        <v>2751</v>
      </c>
      <c r="R234" s="6" t="s">
        <v>2752</v>
      </c>
      <c r="S234" s="6" t="s">
        <v>383</v>
      </c>
      <c r="T234" s="6" t="s">
        <v>2753</v>
      </c>
      <c r="U234" s="6" t="s">
        <v>69</v>
      </c>
      <c r="V234" s="6" t="s">
        <v>2630</v>
      </c>
      <c r="W234" s="6" t="str">
        <f aca="false">IF(O234="","",INDEX(Lookups!$B$2:$B$234,MATCH(O234,Lookups!$A$2:$A$234,1)))</f>
        <v>Ryder</v>
      </c>
      <c r="X234" s="6" t="s">
        <v>70</v>
      </c>
      <c r="Y234" s="6" t="s">
        <v>13</v>
      </c>
      <c r="Z234" s="6" t="s">
        <v>88</v>
      </c>
      <c r="AA234" s="6" t="s">
        <v>2754</v>
      </c>
      <c r="AB234" s="6" t="s">
        <v>72</v>
      </c>
      <c r="AC234" s="6"/>
      <c r="AD234" s="6" t="s">
        <v>106</v>
      </c>
      <c r="AE234" s="6"/>
      <c r="AF234" s="6"/>
      <c r="AG234" s="6"/>
      <c r="AH234" s="6"/>
      <c r="AI234" s="6" t="s">
        <v>2755</v>
      </c>
    </row>
    <row r="235" customFormat="false" ht="15" hidden="false" customHeight="true" outlineLevel="0" collapsed="false">
      <c r="A235" s="6" t="s">
        <v>2756</v>
      </c>
      <c r="B235" s="6" t="s">
        <v>2580</v>
      </c>
      <c r="C235" s="7" t="s">
        <v>4</v>
      </c>
      <c r="D235" s="6" t="s">
        <v>88</v>
      </c>
      <c r="E235" s="6" t="s">
        <v>2581</v>
      </c>
      <c r="F235" s="6" t="s">
        <v>2582</v>
      </c>
      <c r="G235" s="6" t="s">
        <v>2757</v>
      </c>
      <c r="H235" s="6" t="s">
        <v>2758</v>
      </c>
      <c r="I235" s="6" t="s">
        <v>274</v>
      </c>
      <c r="J235" s="6"/>
      <c r="K235" s="6" t="s">
        <v>60</v>
      </c>
      <c r="L235" s="6" t="s">
        <v>61</v>
      </c>
      <c r="M235" s="6" t="s">
        <v>2759</v>
      </c>
      <c r="N235" s="6" t="s">
        <v>2760</v>
      </c>
      <c r="O235" s="8" t="s">
        <v>2761</v>
      </c>
      <c r="P235" s="6" t="n">
        <f aca="false">IF(O235="","",VALUE(LEFT(O235,4)))</f>
        <v>1811</v>
      </c>
      <c r="Q235" s="6" t="s">
        <v>552</v>
      </c>
      <c r="R235" s="6" t="s">
        <v>552</v>
      </c>
      <c r="S235" s="6" t="s">
        <v>553</v>
      </c>
      <c r="T235" s="6" t="s">
        <v>2762</v>
      </c>
      <c r="U235" s="6" t="s">
        <v>254</v>
      </c>
      <c r="V235" s="6" t="s">
        <v>2763</v>
      </c>
      <c r="W235" s="6" t="str">
        <f aca="false">IF(O235="","",INDEX(Lookups!$B$2:$B$235,MATCH(O235,Lookups!$A$2:$A$235,1)))</f>
        <v>Ryder</v>
      </c>
      <c r="X235" s="6" t="s">
        <v>70</v>
      </c>
      <c r="Y235" s="6" t="s">
        <v>13</v>
      </c>
      <c r="Z235" s="6" t="s">
        <v>55</v>
      </c>
      <c r="AA235" s="6" t="s">
        <v>2764</v>
      </c>
      <c r="AB235" s="6" t="s">
        <v>88</v>
      </c>
      <c r="AC235" s="6" t="s">
        <v>2765</v>
      </c>
      <c r="AD235" s="6" t="s">
        <v>106</v>
      </c>
      <c r="AE235" s="6"/>
      <c r="AF235" s="6"/>
      <c r="AG235" s="6"/>
      <c r="AH235" s="6"/>
      <c r="AI235" s="6" t="s">
        <v>2766</v>
      </c>
    </row>
    <row r="236" customFormat="false" ht="15" hidden="false" customHeight="true" outlineLevel="0" collapsed="false">
      <c r="A236" s="6" t="s">
        <v>2767</v>
      </c>
      <c r="B236" s="6" t="s">
        <v>2580</v>
      </c>
      <c r="C236" s="12" t="s">
        <v>9</v>
      </c>
      <c r="D236" s="6" t="s">
        <v>88</v>
      </c>
      <c r="E236" s="6" t="s">
        <v>2581</v>
      </c>
      <c r="F236" s="6" t="s">
        <v>2582</v>
      </c>
      <c r="G236" s="6" t="s">
        <v>2768</v>
      </c>
      <c r="H236" s="6" t="s">
        <v>2769</v>
      </c>
      <c r="I236" s="6" t="s">
        <v>274</v>
      </c>
      <c r="J236" s="6"/>
      <c r="K236" s="6" t="s">
        <v>60</v>
      </c>
      <c r="L236" s="6" t="s">
        <v>61</v>
      </c>
      <c r="M236" s="6" t="s">
        <v>2770</v>
      </c>
      <c r="N236" s="6" t="s">
        <v>2771</v>
      </c>
      <c r="O236" s="8" t="s">
        <v>2772</v>
      </c>
      <c r="P236" s="6" t="n">
        <f aca="false">IF(O236="","",VALUE(LEFT(O236,4)))</f>
        <v>1811</v>
      </c>
      <c r="Q236" s="6" t="s">
        <v>552</v>
      </c>
      <c r="R236" s="6" t="s">
        <v>552</v>
      </c>
      <c r="S236" s="6" t="s">
        <v>553</v>
      </c>
      <c r="T236" s="6" t="s">
        <v>2773</v>
      </c>
      <c r="U236" s="6" t="s">
        <v>217</v>
      </c>
      <c r="V236" s="6" t="s">
        <v>2774</v>
      </c>
      <c r="W236" s="6" t="str">
        <f aca="false">IF(O236="","",INDEX(Lookups!$B$2:$B$236,MATCH(O236,Lookups!$A$2:$A$236,1)))</f>
        <v>Ryder</v>
      </c>
      <c r="X236" s="6" t="s">
        <v>70</v>
      </c>
      <c r="Y236" s="6" t="s">
        <v>16</v>
      </c>
      <c r="Z236" s="6" t="s">
        <v>88</v>
      </c>
      <c r="AA236" s="6" t="s">
        <v>2775</v>
      </c>
      <c r="AB236" s="6" t="s">
        <v>88</v>
      </c>
      <c r="AC236" s="6"/>
      <c r="AD236" s="6"/>
      <c r="AE236" s="6"/>
      <c r="AF236" s="6"/>
      <c r="AG236" s="6"/>
      <c r="AH236" s="6"/>
      <c r="AI236" s="6" t="s">
        <v>2776</v>
      </c>
    </row>
    <row r="237" customFormat="false" ht="15" hidden="false" customHeight="true" outlineLevel="0" collapsed="false">
      <c r="A237" s="6" t="s">
        <v>2777</v>
      </c>
      <c r="B237" s="6" t="s">
        <v>2747</v>
      </c>
      <c r="C237" s="12" t="s">
        <v>9</v>
      </c>
      <c r="D237" s="6" t="s">
        <v>88</v>
      </c>
      <c r="E237" s="6" t="s">
        <v>2581</v>
      </c>
      <c r="F237" s="6" t="s">
        <v>2634</v>
      </c>
      <c r="G237" s="6" t="s">
        <v>1202</v>
      </c>
      <c r="H237" s="6" t="s">
        <v>2778</v>
      </c>
      <c r="I237" s="6" t="s">
        <v>274</v>
      </c>
      <c r="J237" s="6"/>
      <c r="K237" s="6" t="s">
        <v>60</v>
      </c>
      <c r="L237" s="6" t="s">
        <v>61</v>
      </c>
      <c r="M237" s="6" t="s">
        <v>2779</v>
      </c>
      <c r="N237" s="6" t="s">
        <v>2780</v>
      </c>
      <c r="O237" s="8" t="s">
        <v>2781</v>
      </c>
      <c r="P237" s="6" t="n">
        <f aca="false">IF(O237="","",VALUE(LEFT(O237,4)))</f>
        <v>1811</v>
      </c>
      <c r="Q237" s="6" t="s">
        <v>2782</v>
      </c>
      <c r="R237" s="6" t="s">
        <v>2783</v>
      </c>
      <c r="S237" s="6" t="s">
        <v>383</v>
      </c>
      <c r="T237" s="6" t="s">
        <v>2784</v>
      </c>
      <c r="U237" s="6" t="s">
        <v>174</v>
      </c>
      <c r="V237" s="6" t="s">
        <v>2785</v>
      </c>
      <c r="W237" s="6" t="str">
        <f aca="false">IF(O237="","",INDEX(Lookups!$B$2:$B$237,MATCH(O237,Lookups!$A$2:$A$237,1)))</f>
        <v>Ryder</v>
      </c>
      <c r="X237" s="6" t="s">
        <v>70</v>
      </c>
      <c r="Y237" s="6" t="s">
        <v>16</v>
      </c>
      <c r="Z237" s="6" t="s">
        <v>72</v>
      </c>
      <c r="AA237" s="6" t="s">
        <v>2786</v>
      </c>
      <c r="AB237" s="6" t="s">
        <v>55</v>
      </c>
      <c r="AC237" s="6"/>
      <c r="AD237" s="6"/>
      <c r="AE237" s="6"/>
      <c r="AF237" s="6"/>
      <c r="AG237" s="6"/>
      <c r="AH237" s="6"/>
      <c r="AI237" s="6" t="s">
        <v>2787</v>
      </c>
    </row>
    <row r="238" customFormat="false" ht="15" hidden="false" customHeight="true" outlineLevel="0" collapsed="false">
      <c r="A238" s="6" t="s">
        <v>2788</v>
      </c>
      <c r="B238" s="6" t="s">
        <v>2789</v>
      </c>
      <c r="C238" s="7" t="s">
        <v>4</v>
      </c>
      <c r="D238" s="6" t="s">
        <v>88</v>
      </c>
      <c r="E238" s="6" t="s">
        <v>2581</v>
      </c>
      <c r="F238" s="6" t="s">
        <v>2634</v>
      </c>
      <c r="G238" s="6" t="s">
        <v>2790</v>
      </c>
      <c r="H238" s="6" t="s">
        <v>2791</v>
      </c>
      <c r="I238" s="6" t="s">
        <v>274</v>
      </c>
      <c r="J238" s="6"/>
      <c r="K238" s="6" t="s">
        <v>60</v>
      </c>
      <c r="L238" s="6" t="s">
        <v>61</v>
      </c>
      <c r="M238" s="6" t="s">
        <v>2792</v>
      </c>
      <c r="N238" s="6" t="s">
        <v>2793</v>
      </c>
      <c r="O238" s="8" t="s">
        <v>2781</v>
      </c>
      <c r="P238" s="6" t="n">
        <f aca="false">IF(O238="","",VALUE(LEFT(O238,4)))</f>
        <v>1811</v>
      </c>
      <c r="Q238" s="6" t="s">
        <v>2794</v>
      </c>
      <c r="R238" s="6" t="s">
        <v>2795</v>
      </c>
      <c r="S238" s="6" t="s">
        <v>798</v>
      </c>
      <c r="T238" s="6" t="s">
        <v>2796</v>
      </c>
      <c r="U238" s="6" t="s">
        <v>69</v>
      </c>
      <c r="V238" s="6" t="s">
        <v>2797</v>
      </c>
      <c r="W238" s="6" t="str">
        <f aca="false">IF(O238="","",INDEX(Lookups!$B$2:$B$238,MATCH(O238,Lookups!$A$2:$A$238,1)))</f>
        <v>Ryder</v>
      </c>
      <c r="X238" s="6" t="s">
        <v>70</v>
      </c>
      <c r="Y238" s="6" t="s">
        <v>13</v>
      </c>
      <c r="Z238" s="6" t="s">
        <v>88</v>
      </c>
      <c r="AA238" s="6" t="s">
        <v>2798</v>
      </c>
      <c r="AB238" s="6" t="s">
        <v>72</v>
      </c>
      <c r="AC238" s="6"/>
      <c r="AD238" s="6" t="s">
        <v>736</v>
      </c>
      <c r="AE238" s="6"/>
      <c r="AF238" s="6"/>
      <c r="AG238" s="6"/>
      <c r="AH238" s="6"/>
      <c r="AI238" s="6" t="s">
        <v>2799</v>
      </c>
    </row>
    <row r="239" customFormat="false" ht="15" hidden="false" customHeight="true" outlineLevel="0" collapsed="false">
      <c r="A239" s="6" t="s">
        <v>2800</v>
      </c>
      <c r="B239" s="6" t="s">
        <v>2747</v>
      </c>
      <c r="C239" s="7" t="s">
        <v>4</v>
      </c>
      <c r="D239" s="6" t="s">
        <v>88</v>
      </c>
      <c r="E239" s="6" t="s">
        <v>2801</v>
      </c>
      <c r="F239" s="6" t="s">
        <v>2802</v>
      </c>
      <c r="G239" s="6" t="s">
        <v>2757</v>
      </c>
      <c r="H239" s="6" t="s">
        <v>2018</v>
      </c>
      <c r="I239" s="6" t="s">
        <v>274</v>
      </c>
      <c r="J239" s="6"/>
      <c r="K239" s="6" t="s">
        <v>60</v>
      </c>
      <c r="L239" s="6" t="s">
        <v>61</v>
      </c>
      <c r="M239" s="6" t="s">
        <v>2803</v>
      </c>
      <c r="N239" s="6" t="s">
        <v>2804</v>
      </c>
      <c r="O239" s="8" t="s">
        <v>2781</v>
      </c>
      <c r="P239" s="6" t="n">
        <f aca="false">IF(O239="","",VALUE(LEFT(O239,4)))</f>
        <v>1811</v>
      </c>
      <c r="Q239" s="6" t="s">
        <v>2805</v>
      </c>
      <c r="R239" s="6" t="s">
        <v>2806</v>
      </c>
      <c r="S239" s="6" t="s">
        <v>383</v>
      </c>
      <c r="T239" s="6" t="s">
        <v>2807</v>
      </c>
      <c r="U239" s="6" t="s">
        <v>69</v>
      </c>
      <c r="V239" s="6" t="s">
        <v>2808</v>
      </c>
      <c r="W239" s="6" t="str">
        <f aca="false">IF(O239="","",INDEX(Lookups!$B$2:$B$239,MATCH(O239,Lookups!$A$2:$A$239,1)))</f>
        <v>Ryder</v>
      </c>
      <c r="X239" s="6" t="s">
        <v>70</v>
      </c>
      <c r="Y239" s="6" t="s">
        <v>13</v>
      </c>
      <c r="Z239" s="6" t="s">
        <v>88</v>
      </c>
      <c r="AA239" s="6" t="s">
        <v>2809</v>
      </c>
      <c r="AB239" s="6" t="s">
        <v>141</v>
      </c>
      <c r="AC239" s="6"/>
      <c r="AD239" s="6"/>
      <c r="AE239" s="6"/>
      <c r="AF239" s="6"/>
      <c r="AG239" s="6"/>
      <c r="AH239" s="6"/>
      <c r="AI239" s="6" t="s">
        <v>2810</v>
      </c>
    </row>
    <row r="240" customFormat="false" ht="15" hidden="false" customHeight="true" outlineLevel="0" collapsed="false">
      <c r="A240" s="6" t="s">
        <v>2811</v>
      </c>
      <c r="B240" s="6" t="s">
        <v>2580</v>
      </c>
      <c r="C240" s="7" t="s">
        <v>4</v>
      </c>
      <c r="D240" s="6" t="s">
        <v>88</v>
      </c>
      <c r="E240" s="6" t="s">
        <v>2812</v>
      </c>
      <c r="F240" s="6" t="s">
        <v>2813</v>
      </c>
      <c r="G240" s="6" t="s">
        <v>1265</v>
      </c>
      <c r="H240" s="6" t="s">
        <v>2814</v>
      </c>
      <c r="I240" s="6" t="s">
        <v>274</v>
      </c>
      <c r="J240" s="6"/>
      <c r="K240" s="6" t="s">
        <v>60</v>
      </c>
      <c r="L240" s="6" t="s">
        <v>61</v>
      </c>
      <c r="M240" s="6" t="s">
        <v>2815</v>
      </c>
      <c r="N240" s="6" t="s">
        <v>2816</v>
      </c>
      <c r="O240" s="8" t="s">
        <v>2817</v>
      </c>
      <c r="P240" s="6" t="n">
        <f aca="false">IF(O240="","",VALUE(LEFT(O240,4)))</f>
        <v>1811</v>
      </c>
      <c r="Q240" s="6" t="s">
        <v>552</v>
      </c>
      <c r="R240" s="6" t="s">
        <v>552</v>
      </c>
      <c r="S240" s="6" t="s">
        <v>553</v>
      </c>
      <c r="T240" s="6" t="s">
        <v>2818</v>
      </c>
      <c r="U240" s="6" t="s">
        <v>254</v>
      </c>
      <c r="V240" s="6" t="s">
        <v>2819</v>
      </c>
      <c r="W240" s="6" t="str">
        <f aca="false">IF(O240="","",INDEX(Lookups!$B$2:$B$240,MATCH(O240,Lookups!$A$2:$A$240,1)))</f>
        <v>Ryder</v>
      </c>
      <c r="X240" s="6" t="s">
        <v>70</v>
      </c>
      <c r="Y240" s="6" t="s">
        <v>16</v>
      </c>
      <c r="Z240" s="6" t="s">
        <v>72</v>
      </c>
      <c r="AA240" s="6" t="s">
        <v>2820</v>
      </c>
      <c r="AB240" s="6" t="s">
        <v>141</v>
      </c>
      <c r="AC240" s="6"/>
      <c r="AD240" s="6" t="s">
        <v>736</v>
      </c>
      <c r="AE240" s="6"/>
      <c r="AF240" s="6"/>
      <c r="AG240" s="6"/>
      <c r="AH240" s="6"/>
      <c r="AI240" s="6" t="s">
        <v>2821</v>
      </c>
    </row>
    <row r="241" customFormat="false" ht="15" hidden="false" customHeight="true" outlineLevel="0" collapsed="false">
      <c r="A241" s="6" t="s">
        <v>2822</v>
      </c>
      <c r="B241" s="6" t="s">
        <v>2747</v>
      </c>
      <c r="C241" s="7" t="s">
        <v>4</v>
      </c>
      <c r="D241" s="6" t="s">
        <v>88</v>
      </c>
      <c r="E241" s="6" t="s">
        <v>2801</v>
      </c>
      <c r="F241" s="6" t="s">
        <v>2802</v>
      </c>
      <c r="G241" s="6" t="s">
        <v>2823</v>
      </c>
      <c r="H241" s="6" t="s">
        <v>2824</v>
      </c>
      <c r="I241" s="6" t="s">
        <v>274</v>
      </c>
      <c r="J241" s="6"/>
      <c r="K241" s="6" t="s">
        <v>60</v>
      </c>
      <c r="L241" s="6" t="s">
        <v>61</v>
      </c>
      <c r="M241" s="6" t="s">
        <v>2825</v>
      </c>
      <c r="N241" s="6" t="s">
        <v>2826</v>
      </c>
      <c r="O241" s="8" t="s">
        <v>2817</v>
      </c>
      <c r="P241" s="6" t="n">
        <f aca="false">IF(O241="","",VALUE(LEFT(O241,4)))</f>
        <v>1811</v>
      </c>
      <c r="Q241" s="6" t="s">
        <v>2827</v>
      </c>
      <c r="R241" s="6" t="s">
        <v>2828</v>
      </c>
      <c r="S241" s="6" t="s">
        <v>383</v>
      </c>
      <c r="T241" s="6" t="s">
        <v>2829</v>
      </c>
      <c r="U241" s="6" t="s">
        <v>815</v>
      </c>
      <c r="V241" s="6" t="s">
        <v>2830</v>
      </c>
      <c r="W241" s="6" t="str">
        <f aca="false">IF(O241="","",INDEX(Lookups!$B$2:$B$241,MATCH(O241,Lookups!$A$2:$A$241,1)))</f>
        <v>Ryder</v>
      </c>
      <c r="X241" s="6" t="s">
        <v>70</v>
      </c>
      <c r="Y241" s="6" t="s">
        <v>13</v>
      </c>
      <c r="Z241" s="6" t="s">
        <v>55</v>
      </c>
      <c r="AA241" s="6" t="s">
        <v>2831</v>
      </c>
      <c r="AB241" s="6" t="s">
        <v>141</v>
      </c>
      <c r="AC241" s="6"/>
      <c r="AD241" s="6"/>
      <c r="AE241" s="6"/>
      <c r="AF241" s="6"/>
      <c r="AG241" s="6"/>
      <c r="AH241" s="6"/>
      <c r="AI241" s="6" t="s">
        <v>2832</v>
      </c>
    </row>
    <row r="242" customFormat="false" ht="15" hidden="false" customHeight="true" outlineLevel="0" collapsed="false">
      <c r="A242" s="6" t="s">
        <v>2833</v>
      </c>
      <c r="B242" s="6" t="s">
        <v>2580</v>
      </c>
      <c r="C242" s="12" t="s">
        <v>9</v>
      </c>
      <c r="D242" s="6" t="s">
        <v>88</v>
      </c>
      <c r="E242" s="6" t="s">
        <v>2801</v>
      </c>
      <c r="F242" s="6" t="s">
        <v>2834</v>
      </c>
      <c r="G242" s="6" t="s">
        <v>2835</v>
      </c>
      <c r="H242" s="6" t="s">
        <v>2836</v>
      </c>
      <c r="I242" s="6" t="s">
        <v>274</v>
      </c>
      <c r="J242" s="6"/>
      <c r="K242" s="6" t="s">
        <v>60</v>
      </c>
      <c r="L242" s="6" t="s">
        <v>61</v>
      </c>
      <c r="M242" s="6" t="s">
        <v>2837</v>
      </c>
      <c r="N242" s="6" t="s">
        <v>2838</v>
      </c>
      <c r="O242" s="8" t="s">
        <v>2839</v>
      </c>
      <c r="P242" s="6" t="n">
        <f aca="false">IF(O242="","",VALUE(LEFT(O242,4)))</f>
        <v>1811</v>
      </c>
      <c r="Q242" s="6" t="s">
        <v>2840</v>
      </c>
      <c r="R242" s="6" t="s">
        <v>552</v>
      </c>
      <c r="S242" s="6" t="s">
        <v>553</v>
      </c>
      <c r="T242" s="6" t="s">
        <v>2841</v>
      </c>
      <c r="U242" s="6" t="s">
        <v>254</v>
      </c>
      <c r="V242" s="6" t="s">
        <v>2842</v>
      </c>
      <c r="W242" s="6" t="str">
        <f aca="false">IF(O242="","",INDEX(Lookups!$B$2:$B$242,MATCH(O242,Lookups!$A$2:$A$242,1)))</f>
        <v>Ryder</v>
      </c>
      <c r="X242" s="6" t="s">
        <v>70</v>
      </c>
      <c r="Y242" s="6" t="s">
        <v>16</v>
      </c>
      <c r="Z242" s="6" t="s">
        <v>72</v>
      </c>
      <c r="AA242" s="6" t="s">
        <v>2843</v>
      </c>
      <c r="AB242" s="6" t="s">
        <v>88</v>
      </c>
      <c r="AC242" s="6"/>
      <c r="AD242" s="6"/>
      <c r="AE242" s="6"/>
      <c r="AF242" s="6"/>
      <c r="AG242" s="6"/>
      <c r="AH242" s="6"/>
      <c r="AI242" s="6" t="s">
        <v>2844</v>
      </c>
    </row>
    <row r="243" customFormat="false" ht="15" hidden="false" customHeight="true" outlineLevel="0" collapsed="false">
      <c r="A243" s="6" t="s">
        <v>2845</v>
      </c>
      <c r="B243" s="6" t="s">
        <v>2747</v>
      </c>
      <c r="C243" s="12" t="s">
        <v>9</v>
      </c>
      <c r="D243" s="6" t="s">
        <v>88</v>
      </c>
      <c r="E243" s="6" t="s">
        <v>2801</v>
      </c>
      <c r="F243" s="6" t="s">
        <v>2834</v>
      </c>
      <c r="G243" s="6" t="s">
        <v>2846</v>
      </c>
      <c r="H243" s="6" t="s">
        <v>2847</v>
      </c>
      <c r="I243" s="6" t="s">
        <v>274</v>
      </c>
      <c r="J243" s="6"/>
      <c r="K243" s="6" t="s">
        <v>60</v>
      </c>
      <c r="L243" s="6" t="s">
        <v>61</v>
      </c>
      <c r="M243" s="6" t="s">
        <v>2848</v>
      </c>
      <c r="N243" s="6" t="s">
        <v>2849</v>
      </c>
      <c r="O243" s="8" t="s">
        <v>2850</v>
      </c>
      <c r="P243" s="6" t="n">
        <f aca="false">IF(O243="","",VALUE(LEFT(O243,4)))</f>
        <v>1811</v>
      </c>
      <c r="Q243" s="6" t="s">
        <v>2851</v>
      </c>
      <c r="R243" s="6" t="s">
        <v>382</v>
      </c>
      <c r="S243" s="6" t="s">
        <v>383</v>
      </c>
      <c r="T243" s="6" t="s">
        <v>2841</v>
      </c>
      <c r="U243" s="6" t="s">
        <v>254</v>
      </c>
      <c r="V243" s="6" t="s">
        <v>2852</v>
      </c>
      <c r="W243" s="6" t="str">
        <f aca="false">IF(O243="","",INDEX(Lookups!$B$2:$B$243,MATCH(O243,Lookups!$A$2:$A$243,1)))</f>
        <v>Ryder</v>
      </c>
      <c r="X243" s="6" t="s">
        <v>70</v>
      </c>
      <c r="Y243" s="6" t="s">
        <v>16</v>
      </c>
      <c r="Z243" s="6" t="s">
        <v>72</v>
      </c>
      <c r="AA243" s="6" t="s">
        <v>2853</v>
      </c>
      <c r="AB243" s="6" t="s">
        <v>88</v>
      </c>
      <c r="AC243" s="6"/>
      <c r="AD243" s="6"/>
      <c r="AE243" s="6"/>
      <c r="AF243" s="6"/>
      <c r="AG243" s="6"/>
      <c r="AH243" s="6"/>
      <c r="AI243" s="6" t="s">
        <v>2854</v>
      </c>
    </row>
    <row r="244" customFormat="false" ht="15" hidden="false" customHeight="true" outlineLevel="0" collapsed="false">
      <c r="A244" s="6" t="s">
        <v>2855</v>
      </c>
      <c r="B244" s="6" t="s">
        <v>2747</v>
      </c>
      <c r="C244" s="7" t="s">
        <v>4</v>
      </c>
      <c r="D244" s="6" t="s">
        <v>88</v>
      </c>
      <c r="E244" s="6" t="s">
        <v>2801</v>
      </c>
      <c r="F244" s="6" t="s">
        <v>2834</v>
      </c>
      <c r="G244" s="6" t="s">
        <v>1943</v>
      </c>
      <c r="H244" s="6" t="s">
        <v>2856</v>
      </c>
      <c r="I244" s="6" t="s">
        <v>274</v>
      </c>
      <c r="J244" s="6"/>
      <c r="K244" s="6" t="s">
        <v>60</v>
      </c>
      <c r="L244" s="6" t="s">
        <v>61</v>
      </c>
      <c r="M244" s="6" t="s">
        <v>2857</v>
      </c>
      <c r="N244" s="6" t="s">
        <v>2858</v>
      </c>
      <c r="O244" s="8" t="s">
        <v>2859</v>
      </c>
      <c r="P244" s="6" t="n">
        <f aca="false">IF(O244="","",VALUE(LEFT(O244,4)))</f>
        <v>1811</v>
      </c>
      <c r="Q244" s="6" t="s">
        <v>2860</v>
      </c>
      <c r="R244" s="6" t="s">
        <v>2861</v>
      </c>
      <c r="S244" s="6" t="s">
        <v>383</v>
      </c>
      <c r="T244" s="6" t="s">
        <v>2829</v>
      </c>
      <c r="U244" s="6" t="s">
        <v>815</v>
      </c>
      <c r="V244" s="6" t="s">
        <v>2830</v>
      </c>
      <c r="W244" s="6" t="str">
        <f aca="false">IF(O244="","",INDEX(Lookups!$B$2:$B$244,MATCH(O244,Lookups!$A$2:$A$244,1)))</f>
        <v>Ryder</v>
      </c>
      <c r="X244" s="6" t="s">
        <v>70</v>
      </c>
      <c r="Y244" s="6" t="s">
        <v>13</v>
      </c>
      <c r="Z244" s="6" t="s">
        <v>72</v>
      </c>
      <c r="AA244" s="6" t="s">
        <v>2862</v>
      </c>
      <c r="AB244" s="6" t="s">
        <v>88</v>
      </c>
      <c r="AC244" s="6"/>
      <c r="AD244" s="6"/>
      <c r="AE244" s="6"/>
      <c r="AF244" s="6"/>
      <c r="AG244" s="6"/>
      <c r="AH244" s="6"/>
      <c r="AI244" s="6" t="s">
        <v>2863</v>
      </c>
    </row>
    <row r="245" customFormat="false" ht="15" hidden="false" customHeight="true" outlineLevel="0" collapsed="false">
      <c r="A245" s="6" t="s">
        <v>2864</v>
      </c>
      <c r="B245" s="6" t="s">
        <v>2580</v>
      </c>
      <c r="C245" s="7" t="s">
        <v>4</v>
      </c>
      <c r="D245" s="6" t="s">
        <v>88</v>
      </c>
      <c r="E245" s="6" t="s">
        <v>2801</v>
      </c>
      <c r="F245" s="6" t="s">
        <v>2834</v>
      </c>
      <c r="G245" s="6" t="s">
        <v>2865</v>
      </c>
      <c r="H245" s="6" t="s">
        <v>2866</v>
      </c>
      <c r="I245" s="6" t="s">
        <v>274</v>
      </c>
      <c r="J245" s="6"/>
      <c r="K245" s="6" t="s">
        <v>60</v>
      </c>
      <c r="L245" s="6" t="s">
        <v>61</v>
      </c>
      <c r="M245" s="6" t="s">
        <v>2867</v>
      </c>
      <c r="N245" s="6" t="s">
        <v>2868</v>
      </c>
      <c r="O245" s="8" t="s">
        <v>2859</v>
      </c>
      <c r="P245" s="6" t="n">
        <f aca="false">IF(O245="","",VALUE(LEFT(O245,4)))</f>
        <v>1811</v>
      </c>
      <c r="Q245" s="6" t="s">
        <v>552</v>
      </c>
      <c r="R245" s="6" t="s">
        <v>552</v>
      </c>
      <c r="S245" s="6" t="s">
        <v>553</v>
      </c>
      <c r="T245" s="6" t="s">
        <v>1855</v>
      </c>
      <c r="U245" s="6" t="s">
        <v>85</v>
      </c>
      <c r="V245" s="6" t="s">
        <v>2830</v>
      </c>
      <c r="W245" s="6" t="str">
        <f aca="false">IF(O245="","",INDEX(Lookups!$B$2:$B$245,MATCH(O245,Lookups!$A$2:$A$245,1)))</f>
        <v>Ryder</v>
      </c>
      <c r="X245" s="6" t="s">
        <v>70</v>
      </c>
      <c r="Y245" s="6" t="s">
        <v>16</v>
      </c>
      <c r="Z245" s="6" t="s">
        <v>72</v>
      </c>
      <c r="AA245" s="6" t="s">
        <v>2869</v>
      </c>
      <c r="AB245" s="6" t="s">
        <v>88</v>
      </c>
      <c r="AC245" s="6"/>
      <c r="AD245" s="6"/>
      <c r="AE245" s="6"/>
      <c r="AF245" s="6"/>
      <c r="AG245" s="6"/>
      <c r="AH245" s="6"/>
      <c r="AI245" s="6" t="s">
        <v>2870</v>
      </c>
    </row>
    <row r="246" customFormat="false" ht="15" hidden="false" customHeight="true" outlineLevel="0" collapsed="false">
      <c r="A246" s="6" t="s">
        <v>2871</v>
      </c>
      <c r="B246" s="6" t="s">
        <v>2580</v>
      </c>
      <c r="C246" s="7" t="s">
        <v>4</v>
      </c>
      <c r="D246" s="6" t="s">
        <v>88</v>
      </c>
      <c r="E246" s="6" t="s">
        <v>2801</v>
      </c>
      <c r="F246" s="6" t="s">
        <v>2834</v>
      </c>
      <c r="G246" s="6" t="s">
        <v>2872</v>
      </c>
      <c r="H246" s="6" t="s">
        <v>2873</v>
      </c>
      <c r="I246" s="6" t="s">
        <v>274</v>
      </c>
      <c r="J246" s="6"/>
      <c r="K246" s="6" t="s">
        <v>60</v>
      </c>
      <c r="L246" s="6" t="s">
        <v>61</v>
      </c>
      <c r="M246" s="6" t="s">
        <v>2874</v>
      </c>
      <c r="N246" s="6" t="s">
        <v>2875</v>
      </c>
      <c r="O246" s="8" t="s">
        <v>2859</v>
      </c>
      <c r="P246" s="6" t="n">
        <f aca="false">IF(O246="","",VALUE(LEFT(O246,4)))</f>
        <v>1811</v>
      </c>
      <c r="Q246" s="6" t="s">
        <v>2876</v>
      </c>
      <c r="R246" s="6" t="s">
        <v>2877</v>
      </c>
      <c r="S246" s="6" t="s">
        <v>553</v>
      </c>
      <c r="T246" s="6" t="s">
        <v>2878</v>
      </c>
      <c r="U246" s="6" t="s">
        <v>279</v>
      </c>
      <c r="V246" s="6" t="s">
        <v>2879</v>
      </c>
      <c r="W246" s="6" t="str">
        <f aca="false">IF(O246="","",INDEX(Lookups!$B$2:$B$246,MATCH(O246,Lookups!$A$2:$A$246,1)))</f>
        <v>Ryder</v>
      </c>
      <c r="X246" s="6" t="s">
        <v>70</v>
      </c>
      <c r="Y246" s="6" t="s">
        <v>14</v>
      </c>
      <c r="Z246" s="6" t="s">
        <v>88</v>
      </c>
      <c r="AA246" s="6" t="s">
        <v>2880</v>
      </c>
      <c r="AB246" s="6" t="s">
        <v>88</v>
      </c>
      <c r="AC246" s="6"/>
      <c r="AD246" s="6"/>
      <c r="AE246" s="6"/>
      <c r="AF246" s="6"/>
      <c r="AG246" s="6"/>
      <c r="AH246" s="6"/>
      <c r="AI246" s="6" t="s">
        <v>2881</v>
      </c>
    </row>
    <row r="247" customFormat="false" ht="15" hidden="false" customHeight="true" outlineLevel="0" collapsed="false">
      <c r="A247" s="6" t="s">
        <v>2882</v>
      </c>
      <c r="B247" s="6" t="s">
        <v>2580</v>
      </c>
      <c r="C247" s="7" t="s">
        <v>4</v>
      </c>
      <c r="D247" s="6" t="s">
        <v>88</v>
      </c>
      <c r="E247" s="6" t="s">
        <v>2801</v>
      </c>
      <c r="F247" s="6" t="s">
        <v>2883</v>
      </c>
      <c r="G247" s="6" t="s">
        <v>2477</v>
      </c>
      <c r="H247" s="6" t="s">
        <v>2884</v>
      </c>
      <c r="I247" s="6" t="s">
        <v>274</v>
      </c>
      <c r="J247" s="6"/>
      <c r="K247" s="6" t="s">
        <v>60</v>
      </c>
      <c r="L247" s="6" t="s">
        <v>61</v>
      </c>
      <c r="M247" s="6" t="s">
        <v>2885</v>
      </c>
      <c r="N247" s="6" t="s">
        <v>2886</v>
      </c>
      <c r="O247" s="8" t="s">
        <v>2887</v>
      </c>
      <c r="P247" s="6" t="n">
        <f aca="false">IF(O247="","",VALUE(LEFT(O247,4)))</f>
        <v>1811</v>
      </c>
      <c r="Q247" s="6" t="s">
        <v>2888</v>
      </c>
      <c r="R247" s="6" t="s">
        <v>552</v>
      </c>
      <c r="S247" s="6" t="s">
        <v>553</v>
      </c>
      <c r="T247" s="6" t="s">
        <v>2889</v>
      </c>
      <c r="U247" s="6" t="s">
        <v>815</v>
      </c>
      <c r="V247" s="6" t="s">
        <v>2830</v>
      </c>
      <c r="W247" s="6" t="str">
        <f aca="false">IF(O247="","",INDEX(Lookups!$B$2:$B$247,MATCH(O247,Lookups!$A$2:$A$247,1)))</f>
        <v>Ryder</v>
      </c>
      <c r="X247" s="6" t="s">
        <v>70</v>
      </c>
      <c r="Y247" s="6" t="s">
        <v>16</v>
      </c>
      <c r="Z247" s="6" t="s">
        <v>72</v>
      </c>
      <c r="AA247" s="6" t="s">
        <v>2890</v>
      </c>
      <c r="AB247" s="6" t="s">
        <v>88</v>
      </c>
      <c r="AC247" s="6"/>
      <c r="AD247" s="6"/>
      <c r="AE247" s="6"/>
      <c r="AF247" s="6"/>
      <c r="AG247" s="6"/>
      <c r="AH247" s="6"/>
      <c r="AI247" s="6" t="s">
        <v>2891</v>
      </c>
    </row>
    <row r="248" customFormat="false" ht="15" hidden="false" customHeight="true" outlineLevel="0" collapsed="false">
      <c r="A248" s="6" t="s">
        <v>2892</v>
      </c>
      <c r="B248" s="6" t="s">
        <v>2747</v>
      </c>
      <c r="C248" s="7" t="s">
        <v>4</v>
      </c>
      <c r="D248" s="6" t="s">
        <v>88</v>
      </c>
      <c r="E248" s="6" t="s">
        <v>2801</v>
      </c>
      <c r="F248" s="6" t="s">
        <v>2834</v>
      </c>
      <c r="G248" s="6" t="s">
        <v>478</v>
      </c>
      <c r="H248" s="6" t="s">
        <v>2893</v>
      </c>
      <c r="I248" s="6" t="s">
        <v>274</v>
      </c>
      <c r="J248" s="6"/>
      <c r="K248" s="6" t="s">
        <v>60</v>
      </c>
      <c r="L248" s="6" t="s">
        <v>61</v>
      </c>
      <c r="M248" s="6" t="s">
        <v>2894</v>
      </c>
      <c r="N248" s="6" t="s">
        <v>2895</v>
      </c>
      <c r="O248" s="8" t="s">
        <v>2896</v>
      </c>
      <c r="P248" s="6" t="n">
        <f aca="false">IF(O248="","",VALUE(LEFT(O248,4)))</f>
        <v>1811</v>
      </c>
      <c r="Q248" s="6" t="s">
        <v>2828</v>
      </c>
      <c r="R248" s="6" t="s">
        <v>2828</v>
      </c>
      <c r="S248" s="6" t="s">
        <v>383</v>
      </c>
      <c r="T248" s="6" t="s">
        <v>2897</v>
      </c>
      <c r="U248" s="6" t="s">
        <v>69</v>
      </c>
      <c r="V248" s="6" t="s">
        <v>2898</v>
      </c>
      <c r="W248" s="6" t="str">
        <f aca="false">IF(O248="","",INDEX(Lookups!$B$2:$B$248,MATCH(O248,Lookups!$A$2:$A$248,1)))</f>
        <v>Ryder</v>
      </c>
      <c r="X248" s="6" t="s">
        <v>70</v>
      </c>
      <c r="Y248" s="6" t="s">
        <v>16</v>
      </c>
      <c r="Z248" s="6" t="s">
        <v>55</v>
      </c>
      <c r="AA248" s="6" t="s">
        <v>2899</v>
      </c>
      <c r="AB248" s="6" t="s">
        <v>88</v>
      </c>
      <c r="AC248" s="6"/>
      <c r="AD248" s="6"/>
      <c r="AE248" s="6"/>
      <c r="AF248" s="6"/>
      <c r="AG248" s="6"/>
      <c r="AH248" s="6"/>
      <c r="AI248" s="6" t="s">
        <v>2900</v>
      </c>
    </row>
    <row r="249" customFormat="false" ht="15" hidden="false" customHeight="true" outlineLevel="0" collapsed="false">
      <c r="A249" s="6" t="s">
        <v>2901</v>
      </c>
      <c r="B249" s="6" t="s">
        <v>2902</v>
      </c>
      <c r="C249" s="12" t="s">
        <v>9</v>
      </c>
      <c r="D249" s="6" t="s">
        <v>88</v>
      </c>
      <c r="E249" s="6" t="s">
        <v>2801</v>
      </c>
      <c r="F249" s="6" t="s">
        <v>2883</v>
      </c>
      <c r="G249" s="6" t="s">
        <v>2903</v>
      </c>
      <c r="H249" s="6" t="s">
        <v>1266</v>
      </c>
      <c r="I249" s="6" t="s">
        <v>274</v>
      </c>
      <c r="J249" s="6"/>
      <c r="K249" s="6" t="s">
        <v>60</v>
      </c>
      <c r="L249" s="6" t="s">
        <v>61</v>
      </c>
      <c r="M249" s="6" t="s">
        <v>2904</v>
      </c>
      <c r="N249" s="6" t="s">
        <v>2905</v>
      </c>
      <c r="O249" s="8" t="s">
        <v>2906</v>
      </c>
      <c r="P249" s="6" t="n">
        <f aca="false">IF(O249="","",VALUE(LEFT(O249,4)))</f>
        <v>1811</v>
      </c>
      <c r="Q249" s="6" t="s">
        <v>2907</v>
      </c>
      <c r="R249" s="6" t="s">
        <v>2908</v>
      </c>
      <c r="S249" s="6" t="s">
        <v>798</v>
      </c>
      <c r="T249" s="6" t="s">
        <v>2909</v>
      </c>
      <c r="U249" s="6" t="s">
        <v>217</v>
      </c>
      <c r="V249" s="6" t="s">
        <v>2910</v>
      </c>
      <c r="W249" s="6" t="str">
        <f aca="false">IF(O249="","",INDEX(Lookups!$B$2:$B$249,MATCH(O249,Lookups!$A$2:$A$249,1)))</f>
        <v>Ryder</v>
      </c>
      <c r="X249" s="6" t="s">
        <v>70</v>
      </c>
      <c r="Y249" s="6" t="s">
        <v>16</v>
      </c>
      <c r="Z249" s="6" t="s">
        <v>55</v>
      </c>
      <c r="AA249" s="6" t="s">
        <v>2911</v>
      </c>
      <c r="AB249" s="6" t="s">
        <v>55</v>
      </c>
      <c r="AC249" s="6"/>
      <c r="AD249" s="6"/>
      <c r="AE249" s="6"/>
      <c r="AF249" s="6"/>
      <c r="AG249" s="6"/>
      <c r="AH249" s="6"/>
      <c r="AI249" s="6" t="s">
        <v>2912</v>
      </c>
    </row>
    <row r="250" customFormat="false" ht="15" hidden="false" customHeight="true" outlineLevel="0" collapsed="false">
      <c r="A250" s="6" t="s">
        <v>2913</v>
      </c>
      <c r="B250" s="6" t="s">
        <v>2914</v>
      </c>
      <c r="C250" s="7" t="s">
        <v>4</v>
      </c>
      <c r="D250" s="6" t="s">
        <v>88</v>
      </c>
      <c r="E250" s="6" t="s">
        <v>1163</v>
      </c>
      <c r="F250" s="6" t="s">
        <v>2915</v>
      </c>
      <c r="G250" s="6" t="s">
        <v>2017</v>
      </c>
      <c r="H250" s="6" t="s">
        <v>2916</v>
      </c>
      <c r="I250" s="6" t="s">
        <v>274</v>
      </c>
      <c r="J250" s="6"/>
      <c r="K250" s="6" t="s">
        <v>60</v>
      </c>
      <c r="L250" s="6" t="s">
        <v>61</v>
      </c>
      <c r="M250" s="6" t="s">
        <v>2917</v>
      </c>
      <c r="N250" s="6" t="s">
        <v>2918</v>
      </c>
      <c r="O250" s="8" t="s">
        <v>2919</v>
      </c>
      <c r="P250" s="6" t="n">
        <f aca="false">IF(O250="","",VALUE(LEFT(O250,4)))</f>
        <v>1816</v>
      </c>
      <c r="Q250" s="6" t="s">
        <v>542</v>
      </c>
      <c r="R250" s="6" t="s">
        <v>542</v>
      </c>
      <c r="S250" s="6" t="s">
        <v>447</v>
      </c>
      <c r="T250" s="6" t="s">
        <v>2920</v>
      </c>
      <c r="U250" s="6" t="s">
        <v>69</v>
      </c>
      <c r="V250" s="6" t="s">
        <v>2921</v>
      </c>
      <c r="W250" s="6" t="str">
        <f aca="false">IF(O250="","",INDEX(Lookups!$B$2:$B$250,MATCH(O250,Lookups!$A$2:$A$250,1)))</f>
        <v>Sidmouth</v>
      </c>
      <c r="X250" s="6" t="s">
        <v>206</v>
      </c>
      <c r="Y250" s="6" t="s">
        <v>15</v>
      </c>
      <c r="Z250" s="6" t="s">
        <v>72</v>
      </c>
      <c r="AA250" s="6" t="s">
        <v>2922</v>
      </c>
      <c r="AB250" s="6" t="s">
        <v>88</v>
      </c>
      <c r="AC250" s="6"/>
      <c r="AD250" s="6"/>
      <c r="AE250" s="6"/>
      <c r="AF250" s="6"/>
      <c r="AG250" s="6"/>
      <c r="AH250" s="6"/>
      <c r="AI250" s="6" t="s">
        <v>2923</v>
      </c>
    </row>
    <row r="251" customFormat="false" ht="15" hidden="false" customHeight="true" outlineLevel="0" collapsed="false">
      <c r="A251" s="6" t="s">
        <v>2924</v>
      </c>
      <c r="B251" s="6" t="s">
        <v>2925</v>
      </c>
      <c r="C251" s="7" t="s">
        <v>4</v>
      </c>
      <c r="D251" s="6" t="s">
        <v>88</v>
      </c>
      <c r="E251" s="6" t="s">
        <v>1163</v>
      </c>
      <c r="F251" s="6" t="s">
        <v>2915</v>
      </c>
      <c r="G251" s="6" t="s">
        <v>2926</v>
      </c>
      <c r="H251" s="6" t="s">
        <v>2927</v>
      </c>
      <c r="I251" s="6" t="s">
        <v>274</v>
      </c>
      <c r="J251" s="6"/>
      <c r="K251" s="6" t="s">
        <v>60</v>
      </c>
      <c r="L251" s="6" t="s">
        <v>61</v>
      </c>
      <c r="M251" s="6" t="s">
        <v>2928</v>
      </c>
      <c r="N251" s="6" t="s">
        <v>2929</v>
      </c>
      <c r="O251" s="8" t="s">
        <v>2919</v>
      </c>
      <c r="P251" s="6" t="n">
        <f aca="false">IF(O251="","",VALUE(LEFT(O251,4)))</f>
        <v>1816</v>
      </c>
      <c r="Q251" s="6" t="s">
        <v>2930</v>
      </c>
      <c r="R251" s="6" t="s">
        <v>2931</v>
      </c>
      <c r="S251" s="6" t="s">
        <v>705</v>
      </c>
      <c r="T251" s="6" t="s">
        <v>2932</v>
      </c>
      <c r="U251" s="6" t="s">
        <v>217</v>
      </c>
      <c r="V251" s="6" t="s">
        <v>2921</v>
      </c>
      <c r="W251" s="6" t="str">
        <f aca="false">IF(O251="","",INDEX(Lookups!$B$2:$B$251,MATCH(O251,Lookups!$A$2:$A$251,1)))</f>
        <v>Sidmouth</v>
      </c>
      <c r="X251" s="6" t="s">
        <v>103</v>
      </c>
      <c r="Y251" s="6" t="s">
        <v>13</v>
      </c>
      <c r="Z251" s="6" t="s">
        <v>88</v>
      </c>
      <c r="AA251" s="6" t="s">
        <v>2933</v>
      </c>
      <c r="AB251" s="6" t="s">
        <v>55</v>
      </c>
      <c r="AC251" s="6"/>
      <c r="AD251" s="6"/>
      <c r="AE251" s="6"/>
      <c r="AF251" s="6"/>
      <c r="AG251" s="6"/>
      <c r="AH251" s="6"/>
      <c r="AI251" s="6" t="s">
        <v>2934</v>
      </c>
    </row>
    <row r="252" customFormat="false" ht="15" hidden="false" customHeight="true" outlineLevel="0" collapsed="false">
      <c r="A252" s="6" t="s">
        <v>2935</v>
      </c>
      <c r="B252" s="6" t="s">
        <v>2936</v>
      </c>
      <c r="C252" s="7" t="s">
        <v>4</v>
      </c>
      <c r="D252" s="6" t="s">
        <v>88</v>
      </c>
      <c r="E252" s="6" t="s">
        <v>2937</v>
      </c>
      <c r="F252" s="6" t="s">
        <v>2938</v>
      </c>
      <c r="G252" s="6" t="s">
        <v>1151</v>
      </c>
      <c r="H252" s="6" t="s">
        <v>2939</v>
      </c>
      <c r="I252" s="6" t="s">
        <v>274</v>
      </c>
      <c r="J252" s="6"/>
      <c r="K252" s="6" t="s">
        <v>60</v>
      </c>
      <c r="L252" s="6" t="s">
        <v>61</v>
      </c>
      <c r="M252" s="6" t="s">
        <v>2940</v>
      </c>
      <c r="N252" s="6" t="s">
        <v>2941</v>
      </c>
      <c r="O252" s="8" t="s">
        <v>2942</v>
      </c>
      <c r="P252" s="6" t="n">
        <f aca="false">IF(O252="","",VALUE(LEFT(O252,4)))</f>
        <v>1816</v>
      </c>
      <c r="Q252" s="6" t="s">
        <v>2943</v>
      </c>
      <c r="R252" s="6" t="s">
        <v>2944</v>
      </c>
      <c r="S252" s="6" t="s">
        <v>705</v>
      </c>
      <c r="T252" s="6" t="s">
        <v>2945</v>
      </c>
      <c r="U252" s="6" t="s">
        <v>69</v>
      </c>
      <c r="V252" s="6" t="s">
        <v>2946</v>
      </c>
      <c r="W252" s="6" t="str">
        <f aca="false">IF(O252="","",INDEX(Lookups!$B$2:$B$252,MATCH(O252,Lookups!$A$2:$A$252,1)))</f>
        <v>Sidmouth</v>
      </c>
      <c r="X252" s="6" t="s">
        <v>103</v>
      </c>
      <c r="Y252" s="6" t="s">
        <v>13</v>
      </c>
      <c r="Z252" s="6" t="s">
        <v>88</v>
      </c>
      <c r="AA252" s="6" t="s">
        <v>2947</v>
      </c>
      <c r="AB252" s="6" t="s">
        <v>88</v>
      </c>
      <c r="AC252" s="6" t="s">
        <v>2948</v>
      </c>
      <c r="AD252" s="6" t="s">
        <v>106</v>
      </c>
      <c r="AE252" s="6" t="s">
        <v>2949</v>
      </c>
      <c r="AF252" s="6"/>
      <c r="AG252" s="6" t="s">
        <v>2950</v>
      </c>
      <c r="AH252" s="6"/>
      <c r="AI252" s="6" t="s">
        <v>2951</v>
      </c>
    </row>
    <row r="253" customFormat="false" ht="15" hidden="false" customHeight="true" outlineLevel="0" collapsed="false">
      <c r="A253" s="6" t="s">
        <v>2952</v>
      </c>
      <c r="B253" s="6" t="s">
        <v>2953</v>
      </c>
      <c r="C253" s="7" t="s">
        <v>4</v>
      </c>
      <c r="D253" s="6" t="s">
        <v>88</v>
      </c>
      <c r="E253" s="6" t="s">
        <v>1163</v>
      </c>
      <c r="F253" s="6" t="s">
        <v>2954</v>
      </c>
      <c r="G253" s="6" t="s">
        <v>2351</v>
      </c>
      <c r="H253" s="6" t="s">
        <v>2955</v>
      </c>
      <c r="I253" s="6" t="s">
        <v>274</v>
      </c>
      <c r="J253" s="6"/>
      <c r="K253" s="6" t="s">
        <v>60</v>
      </c>
      <c r="L253" s="6" t="s">
        <v>61</v>
      </c>
      <c r="M253" s="6" t="s">
        <v>2956</v>
      </c>
      <c r="N253" s="6" t="s">
        <v>2957</v>
      </c>
      <c r="O253" s="8" t="s">
        <v>2949</v>
      </c>
      <c r="P253" s="6" t="n">
        <f aca="false">IF(O253="","",VALUE(LEFT(O253,4)))</f>
        <v>1816</v>
      </c>
      <c r="Q253" s="6" t="s">
        <v>2064</v>
      </c>
      <c r="R253" s="6" t="s">
        <v>2064</v>
      </c>
      <c r="S253" s="6" t="s">
        <v>172</v>
      </c>
      <c r="T253" s="6" t="s">
        <v>2958</v>
      </c>
      <c r="U253" s="6" t="s">
        <v>139</v>
      </c>
      <c r="V253" s="6" t="s">
        <v>2959</v>
      </c>
      <c r="W253" s="6" t="str">
        <f aca="false">IF(O253="","",INDEX(Lookups!$B$2:$B$253,MATCH(O253,Lookups!$A$2:$A$253,1)))</f>
        <v>Sidmouth</v>
      </c>
      <c r="X253" s="6" t="s">
        <v>103</v>
      </c>
      <c r="Y253" s="6" t="s">
        <v>13</v>
      </c>
      <c r="Z253" s="6" t="s">
        <v>88</v>
      </c>
      <c r="AA253" s="6" t="s">
        <v>2960</v>
      </c>
      <c r="AB253" s="6" t="s">
        <v>141</v>
      </c>
      <c r="AC253" s="6"/>
      <c r="AD253" s="6"/>
      <c r="AE253" s="6"/>
      <c r="AF253" s="6"/>
      <c r="AG253" s="6"/>
      <c r="AH253" s="6"/>
      <c r="AI253" s="6" t="s">
        <v>2961</v>
      </c>
    </row>
    <row r="254" customFormat="false" ht="15" hidden="false" customHeight="true" outlineLevel="0" collapsed="false">
      <c r="A254" s="6" t="s">
        <v>2962</v>
      </c>
      <c r="B254" s="6" t="s">
        <v>1162</v>
      </c>
      <c r="C254" s="7" t="s">
        <v>4</v>
      </c>
      <c r="D254" s="6" t="s">
        <v>88</v>
      </c>
      <c r="E254" s="6" t="s">
        <v>1163</v>
      </c>
      <c r="F254" s="6" t="s">
        <v>2963</v>
      </c>
      <c r="G254" s="6" t="s">
        <v>1621</v>
      </c>
      <c r="H254" s="6" t="s">
        <v>2964</v>
      </c>
      <c r="I254" s="6" t="s">
        <v>274</v>
      </c>
      <c r="J254" s="6"/>
      <c r="K254" s="6" t="s">
        <v>60</v>
      </c>
      <c r="L254" s="6" t="s">
        <v>61</v>
      </c>
      <c r="M254" s="6" t="s">
        <v>2965</v>
      </c>
      <c r="N254" s="6" t="s">
        <v>2966</v>
      </c>
      <c r="O254" s="8" t="s">
        <v>2949</v>
      </c>
      <c r="P254" s="6" t="n">
        <f aca="false">IF(O254="","",VALUE(LEFT(O254,4)))</f>
        <v>1816</v>
      </c>
      <c r="Q254" s="6" t="s">
        <v>620</v>
      </c>
      <c r="R254" s="6" t="s">
        <v>620</v>
      </c>
      <c r="S254" s="6" t="s">
        <v>304</v>
      </c>
      <c r="T254" s="6" t="s">
        <v>2967</v>
      </c>
      <c r="U254" s="6" t="s">
        <v>85</v>
      </c>
      <c r="V254" s="6" t="s">
        <v>2921</v>
      </c>
      <c r="W254" s="6" t="str">
        <f aca="false">IF(O254="","",INDEX(Lookups!$B$2:$B$254,MATCH(O254,Lookups!$A$2:$A$254,1)))</f>
        <v>Sidmouth</v>
      </c>
      <c r="X254" s="6" t="s">
        <v>103</v>
      </c>
      <c r="Y254" s="6" t="s">
        <v>13</v>
      </c>
      <c r="Z254" s="6" t="s">
        <v>72</v>
      </c>
      <c r="AA254" s="6" t="s">
        <v>2968</v>
      </c>
      <c r="AB254" s="6" t="s">
        <v>88</v>
      </c>
      <c r="AC254" s="6"/>
      <c r="AD254" s="6"/>
      <c r="AE254" s="6"/>
      <c r="AF254" s="6"/>
      <c r="AG254" s="6"/>
      <c r="AH254" s="6"/>
      <c r="AI254" s="6" t="s">
        <v>2969</v>
      </c>
    </row>
    <row r="255" customFormat="false" ht="15" hidden="false" customHeight="true" outlineLevel="0" collapsed="false">
      <c r="A255" s="6" t="s">
        <v>2970</v>
      </c>
      <c r="B255" s="6" t="s">
        <v>2936</v>
      </c>
      <c r="C255" s="7" t="s">
        <v>4</v>
      </c>
      <c r="D255" s="6" t="s">
        <v>88</v>
      </c>
      <c r="E255" s="6" t="s">
        <v>2937</v>
      </c>
      <c r="F255" s="6" t="s">
        <v>2938</v>
      </c>
      <c r="G255" s="6" t="s">
        <v>2686</v>
      </c>
      <c r="H255" s="6" t="s">
        <v>2971</v>
      </c>
      <c r="I255" s="6" t="s">
        <v>274</v>
      </c>
      <c r="J255" s="6"/>
      <c r="K255" s="6" t="s">
        <v>60</v>
      </c>
      <c r="L255" s="6" t="s">
        <v>61</v>
      </c>
      <c r="M255" s="6" t="s">
        <v>2972</v>
      </c>
      <c r="N255" s="6" t="s">
        <v>2973</v>
      </c>
      <c r="O255" s="8" t="s">
        <v>2949</v>
      </c>
      <c r="P255" s="6" t="n">
        <f aca="false">IF(O255="","",VALUE(LEFT(O255,4)))</f>
        <v>1816</v>
      </c>
      <c r="Q255" s="6" t="s">
        <v>2974</v>
      </c>
      <c r="R255" s="6" t="s">
        <v>2974</v>
      </c>
      <c r="S255" s="6" t="s">
        <v>304</v>
      </c>
      <c r="T255" s="6" t="s">
        <v>2975</v>
      </c>
      <c r="U255" s="6" t="s">
        <v>85</v>
      </c>
      <c r="V255" s="6" t="s">
        <v>2976</v>
      </c>
      <c r="W255" s="6" t="str">
        <f aca="false">IF(O255="","",INDEX(Lookups!$B$2:$B$255,MATCH(O255,Lookups!$A$2:$A$255,1)))</f>
        <v>Sidmouth</v>
      </c>
      <c r="X255" s="6" t="s">
        <v>103</v>
      </c>
      <c r="Y255" s="6" t="s">
        <v>13</v>
      </c>
      <c r="Z255" s="6" t="s">
        <v>72</v>
      </c>
      <c r="AA255" s="6" t="s">
        <v>2977</v>
      </c>
      <c r="AB255" s="6" t="s">
        <v>88</v>
      </c>
      <c r="AC255" s="6" t="s">
        <v>2978</v>
      </c>
      <c r="AD255" s="6" t="s">
        <v>106</v>
      </c>
      <c r="AE255" s="6" t="s">
        <v>2949</v>
      </c>
      <c r="AF255" s="6"/>
      <c r="AG255" s="6" t="s">
        <v>2950</v>
      </c>
      <c r="AH255" s="6"/>
      <c r="AI255" s="6" t="s">
        <v>2979</v>
      </c>
    </row>
    <row r="256" customFormat="false" ht="15" hidden="false" customHeight="true" outlineLevel="0" collapsed="false">
      <c r="A256" s="6" t="s">
        <v>2980</v>
      </c>
      <c r="B256" s="6" t="s">
        <v>1162</v>
      </c>
      <c r="C256" s="7" t="s">
        <v>4</v>
      </c>
      <c r="D256" s="6" t="s">
        <v>88</v>
      </c>
      <c r="E256" s="6" t="s">
        <v>1163</v>
      </c>
      <c r="F256" s="6" t="s">
        <v>2981</v>
      </c>
      <c r="G256" s="6" t="s">
        <v>2982</v>
      </c>
      <c r="H256" s="6" t="s">
        <v>2983</v>
      </c>
      <c r="I256" s="6" t="s">
        <v>274</v>
      </c>
      <c r="J256" s="6"/>
      <c r="K256" s="6" t="s">
        <v>60</v>
      </c>
      <c r="L256" s="6" t="s">
        <v>61</v>
      </c>
      <c r="M256" s="6" t="s">
        <v>2984</v>
      </c>
      <c r="N256" s="6" t="s">
        <v>2985</v>
      </c>
      <c r="O256" s="8" t="s">
        <v>2986</v>
      </c>
      <c r="P256" s="6" t="n">
        <f aca="false">IF(O256="","",VALUE(LEFT(O256,4)))</f>
        <v>1816</v>
      </c>
      <c r="Q256" s="6" t="s">
        <v>620</v>
      </c>
      <c r="R256" s="6" t="s">
        <v>620</v>
      </c>
      <c r="S256" s="6" t="s">
        <v>304</v>
      </c>
      <c r="T256" s="6" t="s">
        <v>2987</v>
      </c>
      <c r="U256" s="6" t="s">
        <v>69</v>
      </c>
      <c r="V256" s="6" t="s">
        <v>2921</v>
      </c>
      <c r="W256" s="6" t="str">
        <f aca="false">IF(O256="","",INDEX(Lookups!$B$2:$B$256,MATCH(O256,Lookups!$A$2:$A$256,1)))</f>
        <v>Sidmouth</v>
      </c>
      <c r="X256" s="6" t="s">
        <v>103</v>
      </c>
      <c r="Y256" s="6" t="s">
        <v>13</v>
      </c>
      <c r="Z256" s="6" t="s">
        <v>88</v>
      </c>
      <c r="AA256" s="6" t="s">
        <v>2988</v>
      </c>
      <c r="AB256" s="6" t="s">
        <v>88</v>
      </c>
      <c r="AC256" s="6"/>
      <c r="AD256" s="6"/>
      <c r="AE256" s="6"/>
      <c r="AF256" s="6"/>
      <c r="AG256" s="6"/>
      <c r="AH256" s="6"/>
      <c r="AI256" s="6" t="s">
        <v>2989</v>
      </c>
    </row>
    <row r="257" customFormat="false" ht="15" hidden="false" customHeight="true" outlineLevel="0" collapsed="false">
      <c r="A257" s="6" t="s">
        <v>2990</v>
      </c>
      <c r="B257" s="6" t="s">
        <v>2936</v>
      </c>
      <c r="C257" s="7" t="s">
        <v>4</v>
      </c>
      <c r="D257" s="6" t="s">
        <v>88</v>
      </c>
      <c r="E257" s="6" t="s">
        <v>1163</v>
      </c>
      <c r="F257" s="6" t="s">
        <v>2963</v>
      </c>
      <c r="G257" s="6" t="s">
        <v>2991</v>
      </c>
      <c r="H257" s="6" t="s">
        <v>2992</v>
      </c>
      <c r="I257" s="6" t="s">
        <v>274</v>
      </c>
      <c r="J257" s="6"/>
      <c r="K257" s="6" t="s">
        <v>60</v>
      </c>
      <c r="L257" s="6" t="s">
        <v>61</v>
      </c>
      <c r="M257" s="6" t="s">
        <v>2993</v>
      </c>
      <c r="N257" s="6" t="s">
        <v>2994</v>
      </c>
      <c r="O257" s="8" t="s">
        <v>2986</v>
      </c>
      <c r="P257" s="6" t="n">
        <f aca="false">IF(O257="","",VALUE(LEFT(O257,4)))</f>
        <v>1816</v>
      </c>
      <c r="Q257" s="6" t="s">
        <v>2944</v>
      </c>
      <c r="R257" s="6" t="s">
        <v>2944</v>
      </c>
      <c r="S257" s="6" t="s">
        <v>705</v>
      </c>
      <c r="T257" s="6" t="s">
        <v>2995</v>
      </c>
      <c r="U257" s="6" t="s">
        <v>69</v>
      </c>
      <c r="V257" s="6" t="s">
        <v>2921</v>
      </c>
      <c r="W257" s="6" t="str">
        <f aca="false">IF(O257="","",INDEX(Lookups!$B$2:$B$257,MATCH(O257,Lookups!$A$2:$A$257,1)))</f>
        <v>Sidmouth</v>
      </c>
      <c r="X257" s="6" t="s">
        <v>103</v>
      </c>
      <c r="Y257" s="6" t="s">
        <v>13</v>
      </c>
      <c r="Z257" s="6" t="s">
        <v>88</v>
      </c>
      <c r="AA257" s="6" t="s">
        <v>2996</v>
      </c>
      <c r="AB257" s="6" t="s">
        <v>72</v>
      </c>
      <c r="AC257" s="6"/>
      <c r="AD257" s="6"/>
      <c r="AE257" s="6"/>
      <c r="AF257" s="6"/>
      <c r="AG257" s="6"/>
      <c r="AH257" s="6"/>
      <c r="AI257" s="6" t="s">
        <v>2997</v>
      </c>
    </row>
    <row r="258" customFormat="false" ht="15" hidden="false" customHeight="true" outlineLevel="0" collapsed="false">
      <c r="A258" s="6" t="s">
        <v>2998</v>
      </c>
      <c r="B258" s="6" t="s">
        <v>2953</v>
      </c>
      <c r="C258" s="7" t="s">
        <v>4</v>
      </c>
      <c r="D258" s="6" t="s">
        <v>88</v>
      </c>
      <c r="E258" s="6" t="s">
        <v>1163</v>
      </c>
      <c r="F258" s="6" t="s">
        <v>2954</v>
      </c>
      <c r="G258" s="6" t="s">
        <v>2999</v>
      </c>
      <c r="H258" s="6" t="s">
        <v>3000</v>
      </c>
      <c r="I258" s="6" t="s">
        <v>274</v>
      </c>
      <c r="J258" s="6"/>
      <c r="K258" s="6" t="s">
        <v>60</v>
      </c>
      <c r="L258" s="6" t="s">
        <v>61</v>
      </c>
      <c r="M258" s="6" t="s">
        <v>3001</v>
      </c>
      <c r="N258" s="6" t="s">
        <v>3002</v>
      </c>
      <c r="O258" s="8" t="s">
        <v>3003</v>
      </c>
      <c r="P258" s="6" t="n">
        <f aca="false">IF(O258="","",VALUE(LEFT(O258,4)))</f>
        <v>1816</v>
      </c>
      <c r="Q258" s="6" t="s">
        <v>3004</v>
      </c>
      <c r="R258" s="6" t="s">
        <v>3005</v>
      </c>
      <c r="S258" s="6" t="s">
        <v>172</v>
      </c>
      <c r="T258" s="6" t="s">
        <v>1477</v>
      </c>
      <c r="U258" s="6" t="s">
        <v>279</v>
      </c>
      <c r="V258" s="6" t="s">
        <v>3006</v>
      </c>
      <c r="W258" s="6" t="str">
        <f aca="false">IF(O258="","",INDEX(Lookups!$B$2:$B$258,MATCH(O258,Lookups!$A$2:$A$258,1)))</f>
        <v>Sidmouth</v>
      </c>
      <c r="X258" s="6" t="s">
        <v>103</v>
      </c>
      <c r="Y258" s="6" t="s">
        <v>13</v>
      </c>
      <c r="Z258" s="6" t="s">
        <v>88</v>
      </c>
      <c r="AA258" s="6" t="s">
        <v>3007</v>
      </c>
      <c r="AB258" s="6" t="s">
        <v>141</v>
      </c>
      <c r="AC258" s="6"/>
      <c r="AD258" s="6"/>
      <c r="AE258" s="6"/>
      <c r="AF258" s="6"/>
      <c r="AG258" s="6"/>
      <c r="AH258" s="6"/>
      <c r="AI258" s="6" t="s">
        <v>3008</v>
      </c>
    </row>
    <row r="259" customFormat="false" ht="15" hidden="false" customHeight="true" outlineLevel="0" collapsed="false">
      <c r="A259" s="6" t="s">
        <v>3009</v>
      </c>
      <c r="B259" s="6" t="s">
        <v>1175</v>
      </c>
      <c r="C259" s="7" t="s">
        <v>4</v>
      </c>
      <c r="D259" s="6" t="s">
        <v>88</v>
      </c>
      <c r="E259" s="6" t="s">
        <v>1163</v>
      </c>
      <c r="F259" s="6" t="s">
        <v>2981</v>
      </c>
      <c r="G259" s="6" t="s">
        <v>3010</v>
      </c>
      <c r="H259" s="6" t="s">
        <v>3011</v>
      </c>
      <c r="I259" s="6" t="s">
        <v>274</v>
      </c>
      <c r="J259" s="6"/>
      <c r="K259" s="6" t="s">
        <v>60</v>
      </c>
      <c r="L259" s="6" t="s">
        <v>61</v>
      </c>
      <c r="M259" s="6" t="s">
        <v>3012</v>
      </c>
      <c r="N259" s="6" t="s">
        <v>3013</v>
      </c>
      <c r="O259" s="8" t="s">
        <v>3014</v>
      </c>
      <c r="P259" s="6" t="n">
        <f aca="false">IF(O259="","",VALUE(LEFT(O259,4)))</f>
        <v>1816</v>
      </c>
      <c r="Q259" s="6" t="s">
        <v>3015</v>
      </c>
      <c r="R259" s="6" t="s">
        <v>1182</v>
      </c>
      <c r="S259" s="6" t="s">
        <v>304</v>
      </c>
      <c r="T259" s="6" t="s">
        <v>3016</v>
      </c>
      <c r="U259" s="6" t="s">
        <v>217</v>
      </c>
      <c r="V259" s="6" t="s">
        <v>3017</v>
      </c>
      <c r="W259" s="6" t="str">
        <f aca="false">IF(O259="","",INDEX(Lookups!$B$2:$B$259,MATCH(O259,Lookups!$A$2:$A$259,1)))</f>
        <v>Sidmouth</v>
      </c>
      <c r="X259" s="6" t="s">
        <v>103</v>
      </c>
      <c r="Y259" s="6" t="s">
        <v>16</v>
      </c>
      <c r="Z259" s="6" t="s">
        <v>88</v>
      </c>
      <c r="AA259" s="6" t="s">
        <v>3018</v>
      </c>
      <c r="AB259" s="6" t="s">
        <v>141</v>
      </c>
      <c r="AC259" s="6"/>
      <c r="AD259" s="6"/>
      <c r="AE259" s="6"/>
      <c r="AF259" s="6"/>
      <c r="AG259" s="6"/>
      <c r="AH259" s="6"/>
      <c r="AI259" s="6" t="s">
        <v>3019</v>
      </c>
    </row>
    <row r="260" customFormat="false" ht="15" hidden="false" customHeight="true" outlineLevel="0" collapsed="false">
      <c r="A260" s="6" t="s">
        <v>3020</v>
      </c>
      <c r="B260" s="6" t="s">
        <v>3021</v>
      </c>
      <c r="C260" s="7" t="s">
        <v>4</v>
      </c>
      <c r="D260" s="6" t="s">
        <v>88</v>
      </c>
      <c r="E260" s="6" t="s">
        <v>1163</v>
      </c>
      <c r="F260" s="6" t="s">
        <v>2963</v>
      </c>
      <c r="G260" s="6" t="s">
        <v>3022</v>
      </c>
      <c r="H260" s="6" t="s">
        <v>3023</v>
      </c>
      <c r="I260" s="6" t="s">
        <v>274</v>
      </c>
      <c r="J260" s="6"/>
      <c r="K260" s="6" t="s">
        <v>60</v>
      </c>
      <c r="L260" s="6" t="s">
        <v>61</v>
      </c>
      <c r="M260" s="6" t="s">
        <v>3024</v>
      </c>
      <c r="N260" s="6" t="s">
        <v>3025</v>
      </c>
      <c r="O260" s="8" t="s">
        <v>3014</v>
      </c>
      <c r="P260" s="6" t="n">
        <f aca="false">IF(O260="","",VALUE(LEFT(O260,4)))</f>
        <v>1816</v>
      </c>
      <c r="Q260" s="6" t="s">
        <v>3026</v>
      </c>
      <c r="R260" s="6" t="s">
        <v>184</v>
      </c>
      <c r="S260" s="6" t="s">
        <v>185</v>
      </c>
      <c r="T260" s="6" t="s">
        <v>3027</v>
      </c>
      <c r="U260" s="6" t="s">
        <v>69</v>
      </c>
      <c r="V260" s="6" t="s">
        <v>2921</v>
      </c>
      <c r="W260" s="6" t="str">
        <f aca="false">IF(O260="","",INDEX(Lookups!$B$2:$B$260,MATCH(O260,Lookups!$A$2:$A$260,1)))</f>
        <v>Sidmouth</v>
      </c>
      <c r="X260" s="6" t="s">
        <v>206</v>
      </c>
      <c r="Y260" s="6" t="s">
        <v>14</v>
      </c>
      <c r="Z260" s="6" t="s">
        <v>72</v>
      </c>
      <c r="AA260" s="6" t="s">
        <v>3028</v>
      </c>
      <c r="AB260" s="6" t="s">
        <v>55</v>
      </c>
      <c r="AC260" s="6"/>
      <c r="AD260" s="6"/>
      <c r="AE260" s="6"/>
      <c r="AF260" s="6"/>
      <c r="AG260" s="6"/>
      <c r="AH260" s="6"/>
      <c r="AI260" s="6" t="s">
        <v>3029</v>
      </c>
    </row>
    <row r="261" customFormat="false" ht="15" hidden="false" customHeight="true" outlineLevel="0" collapsed="false">
      <c r="A261" s="6" t="s">
        <v>3030</v>
      </c>
      <c r="B261" s="6" t="s">
        <v>3031</v>
      </c>
      <c r="C261" s="7" t="s">
        <v>4</v>
      </c>
      <c r="D261" s="6" t="s">
        <v>88</v>
      </c>
      <c r="E261" s="6" t="s">
        <v>1163</v>
      </c>
      <c r="F261" s="6" t="s">
        <v>2963</v>
      </c>
      <c r="G261" s="6" t="s">
        <v>3032</v>
      </c>
      <c r="H261" s="6" t="s">
        <v>379</v>
      </c>
      <c r="I261" s="6" t="s">
        <v>274</v>
      </c>
      <c r="J261" s="6"/>
      <c r="K261" s="6" t="s">
        <v>60</v>
      </c>
      <c r="L261" s="6" t="s">
        <v>61</v>
      </c>
      <c r="M261" s="6" t="s">
        <v>3033</v>
      </c>
      <c r="N261" s="6" t="s">
        <v>3034</v>
      </c>
      <c r="O261" s="8" t="s">
        <v>3014</v>
      </c>
      <c r="P261" s="6" t="n">
        <f aca="false">IF(O261="","",VALUE(LEFT(O261,4)))</f>
        <v>1816</v>
      </c>
      <c r="Q261" s="6" t="s">
        <v>3035</v>
      </c>
      <c r="R261" s="6" t="s">
        <v>3036</v>
      </c>
      <c r="S261" s="6" t="s">
        <v>304</v>
      </c>
      <c r="T261" s="6" t="s">
        <v>3037</v>
      </c>
      <c r="U261" s="6" t="s">
        <v>217</v>
      </c>
      <c r="V261" s="6" t="s">
        <v>2921</v>
      </c>
      <c r="W261" s="6" t="str">
        <f aca="false">IF(O261="","",INDEX(Lookups!$B$2:$B$261,MATCH(O261,Lookups!$A$2:$A$261,1)))</f>
        <v>Sidmouth</v>
      </c>
      <c r="X261" s="6" t="s">
        <v>103</v>
      </c>
      <c r="Y261" s="6" t="s">
        <v>14</v>
      </c>
      <c r="Z261" s="6" t="s">
        <v>72</v>
      </c>
      <c r="AA261" s="6" t="s">
        <v>3038</v>
      </c>
      <c r="AB261" s="6" t="s">
        <v>72</v>
      </c>
      <c r="AC261" s="6"/>
      <c r="AD261" s="6"/>
      <c r="AE261" s="6"/>
      <c r="AF261" s="6"/>
      <c r="AG261" s="6"/>
      <c r="AH261" s="6"/>
      <c r="AI261" s="6" t="s">
        <v>3039</v>
      </c>
    </row>
    <row r="262" customFormat="false" ht="15" hidden="false" customHeight="true" outlineLevel="0" collapsed="false">
      <c r="A262" s="6" t="s">
        <v>3040</v>
      </c>
      <c r="B262" s="6" t="s">
        <v>1175</v>
      </c>
      <c r="C262" s="7" t="s">
        <v>4</v>
      </c>
      <c r="D262" s="6" t="s">
        <v>88</v>
      </c>
      <c r="E262" s="6" t="s">
        <v>2937</v>
      </c>
      <c r="F262" s="6" t="s">
        <v>2938</v>
      </c>
      <c r="G262" s="6" t="s">
        <v>3041</v>
      </c>
      <c r="H262" s="6" t="s">
        <v>3042</v>
      </c>
      <c r="I262" s="6" t="s">
        <v>274</v>
      </c>
      <c r="J262" s="6"/>
      <c r="K262" s="6" t="s">
        <v>60</v>
      </c>
      <c r="L262" s="6" t="s">
        <v>61</v>
      </c>
      <c r="M262" s="6" t="s">
        <v>3043</v>
      </c>
      <c r="N262" s="6" t="s">
        <v>3044</v>
      </c>
      <c r="O262" s="8" t="s">
        <v>3014</v>
      </c>
      <c r="P262" s="6" t="n">
        <f aca="false">IF(O262="","",VALUE(LEFT(O262,4)))</f>
        <v>1816</v>
      </c>
      <c r="Q262" s="6" t="s">
        <v>3045</v>
      </c>
      <c r="R262" s="6" t="s">
        <v>1182</v>
      </c>
      <c r="S262" s="6" t="s">
        <v>304</v>
      </c>
      <c r="T262" s="6" t="s">
        <v>3046</v>
      </c>
      <c r="U262" s="6" t="s">
        <v>69</v>
      </c>
      <c r="V262" s="6" t="s">
        <v>3047</v>
      </c>
      <c r="W262" s="6" t="str">
        <f aca="false">IF(O262="","",INDEX(Lookups!$B$2:$B$262,MATCH(O262,Lookups!$A$2:$A$262,1)))</f>
        <v>Sidmouth</v>
      </c>
      <c r="X262" s="6" t="s">
        <v>103</v>
      </c>
      <c r="Y262" s="6" t="s">
        <v>13</v>
      </c>
      <c r="Z262" s="6" t="s">
        <v>88</v>
      </c>
      <c r="AA262" s="6" t="s">
        <v>3048</v>
      </c>
      <c r="AB262" s="6" t="s">
        <v>88</v>
      </c>
      <c r="AC262" s="6" t="s">
        <v>3049</v>
      </c>
      <c r="AD262" s="6" t="s">
        <v>1518</v>
      </c>
      <c r="AE262" s="6" t="s">
        <v>3014</v>
      </c>
      <c r="AF262" s="6"/>
      <c r="AG262" s="6" t="s">
        <v>3050</v>
      </c>
      <c r="AH262" s="6"/>
      <c r="AI262" s="6" t="s">
        <v>3051</v>
      </c>
    </row>
    <row r="263" customFormat="false" ht="15" hidden="false" customHeight="true" outlineLevel="0" collapsed="false">
      <c r="A263" s="6" t="s">
        <v>3052</v>
      </c>
      <c r="B263" s="6" t="s">
        <v>3053</v>
      </c>
      <c r="C263" s="7" t="s">
        <v>4</v>
      </c>
      <c r="D263" s="6" t="s">
        <v>88</v>
      </c>
      <c r="E263" s="6" t="s">
        <v>1163</v>
      </c>
      <c r="F263" s="6" t="s">
        <v>2954</v>
      </c>
      <c r="G263" s="6" t="s">
        <v>3054</v>
      </c>
      <c r="H263" s="6" t="s">
        <v>3055</v>
      </c>
      <c r="I263" s="6" t="s">
        <v>274</v>
      </c>
      <c r="J263" s="6"/>
      <c r="K263" s="6" t="s">
        <v>60</v>
      </c>
      <c r="L263" s="6" t="s">
        <v>61</v>
      </c>
      <c r="M263" s="6" t="s">
        <v>3056</v>
      </c>
      <c r="N263" s="6" t="s">
        <v>3057</v>
      </c>
      <c r="O263" s="8" t="s">
        <v>3058</v>
      </c>
      <c r="P263" s="6" t="n">
        <f aca="false">IF(O263="","",VALUE(LEFT(O263,4)))</f>
        <v>1816</v>
      </c>
      <c r="Q263" s="6" t="s">
        <v>3059</v>
      </c>
      <c r="R263" s="6" t="s">
        <v>3060</v>
      </c>
      <c r="S263" s="6" t="s">
        <v>3061</v>
      </c>
      <c r="T263" s="6" t="s">
        <v>3062</v>
      </c>
      <c r="U263" s="6" t="s">
        <v>69</v>
      </c>
      <c r="V263" s="6" t="s">
        <v>3063</v>
      </c>
      <c r="W263" s="6" t="str">
        <f aca="false">IF(O263="","",INDEX(Lookups!$B$2:$B$263,MATCH(O263,Lookups!$A$2:$A$263,1)))</f>
        <v>Sidmouth</v>
      </c>
      <c r="X263" s="6" t="s">
        <v>103</v>
      </c>
      <c r="Y263" s="6" t="s">
        <v>13</v>
      </c>
      <c r="Z263" s="6" t="s">
        <v>88</v>
      </c>
      <c r="AA263" s="6" t="s">
        <v>3064</v>
      </c>
      <c r="AB263" s="6" t="s">
        <v>141</v>
      </c>
      <c r="AC263" s="6"/>
      <c r="AD263" s="6"/>
      <c r="AE263" s="6"/>
      <c r="AF263" s="6"/>
      <c r="AG263" s="6"/>
      <c r="AH263" s="6"/>
      <c r="AI263" s="6" t="s">
        <v>3065</v>
      </c>
    </row>
    <row r="264" customFormat="false" ht="15" hidden="false" customHeight="true" outlineLevel="0" collapsed="false">
      <c r="A264" s="6" t="s">
        <v>3066</v>
      </c>
      <c r="B264" s="6" t="s">
        <v>3067</v>
      </c>
      <c r="C264" s="7" t="s">
        <v>4</v>
      </c>
      <c r="D264" s="6" t="s">
        <v>88</v>
      </c>
      <c r="E264" s="6" t="s">
        <v>1163</v>
      </c>
      <c r="F264" s="6" t="s">
        <v>2981</v>
      </c>
      <c r="G264" s="6" t="s">
        <v>3068</v>
      </c>
      <c r="H264" s="6" t="s">
        <v>3069</v>
      </c>
      <c r="I264" s="6" t="s">
        <v>274</v>
      </c>
      <c r="J264" s="6"/>
      <c r="K264" s="6" t="s">
        <v>60</v>
      </c>
      <c r="L264" s="6" t="s">
        <v>61</v>
      </c>
      <c r="M264" s="6" t="s">
        <v>3070</v>
      </c>
      <c r="N264" s="6" t="s">
        <v>3071</v>
      </c>
      <c r="O264" s="8" t="s">
        <v>3072</v>
      </c>
      <c r="P264" s="6" t="n">
        <f aca="false">IF(O264="","",VALUE(LEFT(O264,4)))</f>
        <v>1816</v>
      </c>
      <c r="Q264" s="6" t="s">
        <v>3073</v>
      </c>
      <c r="R264" s="6" t="s">
        <v>3073</v>
      </c>
      <c r="S264" s="6" t="s">
        <v>447</v>
      </c>
      <c r="T264" s="6" t="s">
        <v>3074</v>
      </c>
      <c r="U264" s="6" t="s">
        <v>254</v>
      </c>
      <c r="V264" s="6" t="s">
        <v>2921</v>
      </c>
      <c r="W264" s="6" t="str">
        <f aca="false">IF(O264="","",INDEX(Lookups!$B$2:$B$264,MATCH(O264,Lookups!$A$2:$A$264,1)))</f>
        <v>Sidmouth</v>
      </c>
      <c r="X264" s="6" t="s">
        <v>206</v>
      </c>
      <c r="Y264" s="6" t="s">
        <v>14</v>
      </c>
      <c r="Z264" s="6" t="s">
        <v>88</v>
      </c>
      <c r="AA264" s="6" t="s">
        <v>3075</v>
      </c>
      <c r="AB264" s="6" t="s">
        <v>55</v>
      </c>
      <c r="AC264" s="6"/>
      <c r="AD264" s="6"/>
      <c r="AE264" s="6"/>
      <c r="AF264" s="6"/>
      <c r="AG264" s="6"/>
      <c r="AH264" s="6"/>
      <c r="AI264" s="6" t="s">
        <v>3076</v>
      </c>
    </row>
    <row r="265" customFormat="false" ht="15" hidden="false" customHeight="true" outlineLevel="0" collapsed="false">
      <c r="A265" s="6" t="s">
        <v>3077</v>
      </c>
      <c r="B265" s="6" t="s">
        <v>3078</v>
      </c>
      <c r="C265" s="7" t="s">
        <v>4</v>
      </c>
      <c r="D265" s="6" t="s">
        <v>88</v>
      </c>
      <c r="E265" s="6" t="s">
        <v>1163</v>
      </c>
      <c r="F265" s="6" t="s">
        <v>2954</v>
      </c>
      <c r="G265" s="6" t="s">
        <v>3079</v>
      </c>
      <c r="H265" s="6" t="s">
        <v>3080</v>
      </c>
      <c r="I265" s="6" t="s">
        <v>274</v>
      </c>
      <c r="J265" s="6"/>
      <c r="K265" s="6" t="s">
        <v>60</v>
      </c>
      <c r="L265" s="6" t="s">
        <v>61</v>
      </c>
      <c r="M265" s="6" t="s">
        <v>3081</v>
      </c>
      <c r="N265" s="6" t="s">
        <v>3082</v>
      </c>
      <c r="O265" s="8" t="s">
        <v>3083</v>
      </c>
      <c r="P265" s="6" t="n">
        <f aca="false">IF(O265="","",VALUE(LEFT(O265,4)))</f>
        <v>1816</v>
      </c>
      <c r="Q265" s="6" t="s">
        <v>3084</v>
      </c>
      <c r="R265" s="6" t="s">
        <v>3085</v>
      </c>
      <c r="S265" s="6" t="s">
        <v>705</v>
      </c>
      <c r="T265" s="6" t="s">
        <v>3086</v>
      </c>
      <c r="U265" s="6" t="s">
        <v>69</v>
      </c>
      <c r="V265" s="6" t="s">
        <v>2921</v>
      </c>
      <c r="W265" s="6" t="str">
        <f aca="false">IF(O265="","",INDEX(Lookups!$B$2:$B$265,MATCH(O265,Lookups!$A$2:$A$265,1)))</f>
        <v>Sidmouth</v>
      </c>
      <c r="X265" s="6" t="s">
        <v>103</v>
      </c>
      <c r="Y265" s="6" t="s">
        <v>13</v>
      </c>
      <c r="Z265" s="6" t="s">
        <v>88</v>
      </c>
      <c r="AA265" s="6" t="s">
        <v>3087</v>
      </c>
      <c r="AB265" s="6" t="s">
        <v>55</v>
      </c>
      <c r="AC265" s="6"/>
      <c r="AD265" s="6"/>
      <c r="AE265" s="6"/>
      <c r="AF265" s="6"/>
      <c r="AG265" s="6"/>
      <c r="AH265" s="6"/>
      <c r="AI265" s="6" t="s">
        <v>3088</v>
      </c>
    </row>
    <row r="266" customFormat="false" ht="15" hidden="false" customHeight="true" outlineLevel="0" collapsed="false">
      <c r="A266" s="6" t="s">
        <v>3089</v>
      </c>
      <c r="B266" s="6" t="s">
        <v>3090</v>
      </c>
      <c r="C266" s="7" t="s">
        <v>4</v>
      </c>
      <c r="D266" s="6" t="s">
        <v>88</v>
      </c>
      <c r="E266" s="6" t="s">
        <v>1163</v>
      </c>
      <c r="F266" s="6" t="s">
        <v>2981</v>
      </c>
      <c r="G266" s="6" t="s">
        <v>727</v>
      </c>
      <c r="H266" s="6" t="s">
        <v>3091</v>
      </c>
      <c r="I266" s="6" t="s">
        <v>274</v>
      </c>
      <c r="J266" s="6"/>
      <c r="K266" s="6" t="s">
        <v>60</v>
      </c>
      <c r="L266" s="6" t="s">
        <v>61</v>
      </c>
      <c r="M266" s="6" t="s">
        <v>3092</v>
      </c>
      <c r="N266" s="6" t="s">
        <v>3093</v>
      </c>
      <c r="O266" s="8" t="s">
        <v>3083</v>
      </c>
      <c r="P266" s="6" t="n">
        <f aca="false">IF(O266="","",VALUE(LEFT(O266,4)))</f>
        <v>1816</v>
      </c>
      <c r="Q266" s="6" t="s">
        <v>3094</v>
      </c>
      <c r="R266" s="6" t="s">
        <v>3095</v>
      </c>
      <c r="S266" s="6" t="s">
        <v>3096</v>
      </c>
      <c r="T266" s="6" t="s">
        <v>3097</v>
      </c>
      <c r="U266" s="6" t="s">
        <v>69</v>
      </c>
      <c r="V266" s="6" t="s">
        <v>3098</v>
      </c>
      <c r="W266" s="6" t="str">
        <f aca="false">IF(O266="","",INDEX(Lookups!$B$2:$B$266,MATCH(O266,Lookups!$A$2:$A$266,1)))</f>
        <v>Sidmouth</v>
      </c>
      <c r="X266" s="6" t="s">
        <v>103</v>
      </c>
      <c r="Y266" s="6" t="s">
        <v>13</v>
      </c>
      <c r="Z266" s="6" t="s">
        <v>88</v>
      </c>
      <c r="AA266" s="6" t="s">
        <v>3099</v>
      </c>
      <c r="AB266" s="6" t="s">
        <v>72</v>
      </c>
      <c r="AC266" s="6"/>
      <c r="AD266" s="6"/>
      <c r="AE266" s="6"/>
      <c r="AF266" s="6"/>
      <c r="AG266" s="6"/>
      <c r="AH266" s="6"/>
      <c r="AI266" s="6" t="s">
        <v>3100</v>
      </c>
    </row>
    <row r="267" customFormat="false" ht="15" hidden="false" customHeight="true" outlineLevel="0" collapsed="false">
      <c r="A267" s="6" t="s">
        <v>3101</v>
      </c>
      <c r="B267" s="6" t="s">
        <v>3102</v>
      </c>
      <c r="C267" s="7" t="s">
        <v>4</v>
      </c>
      <c r="D267" s="6" t="s">
        <v>88</v>
      </c>
      <c r="E267" s="6" t="s">
        <v>1163</v>
      </c>
      <c r="F267" s="6" t="s">
        <v>2981</v>
      </c>
      <c r="G267" s="6" t="s">
        <v>3103</v>
      </c>
      <c r="H267" s="6" t="s">
        <v>3104</v>
      </c>
      <c r="I267" s="6" t="s">
        <v>274</v>
      </c>
      <c r="J267" s="6"/>
      <c r="K267" s="6" t="s">
        <v>60</v>
      </c>
      <c r="L267" s="6" t="s">
        <v>61</v>
      </c>
      <c r="M267" s="6" t="s">
        <v>3105</v>
      </c>
      <c r="N267" s="6" t="s">
        <v>3106</v>
      </c>
      <c r="O267" s="8" t="s">
        <v>3083</v>
      </c>
      <c r="P267" s="6" t="n">
        <f aca="false">IF(O267="","",VALUE(LEFT(O267,4)))</f>
        <v>1816</v>
      </c>
      <c r="Q267" s="6" t="s">
        <v>837</v>
      </c>
      <c r="R267" s="6" t="s">
        <v>837</v>
      </c>
      <c r="S267" s="6" t="s">
        <v>3096</v>
      </c>
      <c r="T267" s="6" t="s">
        <v>3107</v>
      </c>
      <c r="U267" s="6" t="s">
        <v>69</v>
      </c>
      <c r="V267" s="6" t="s">
        <v>3108</v>
      </c>
      <c r="W267" s="6" t="str">
        <f aca="false">IF(O267="","",INDEX(Lookups!$B$2:$B$267,MATCH(O267,Lookups!$A$2:$A$267,1)))</f>
        <v>Sidmouth</v>
      </c>
      <c r="X267" s="6" t="s">
        <v>103</v>
      </c>
      <c r="Y267" s="6" t="s">
        <v>14</v>
      </c>
      <c r="Z267" s="6" t="s">
        <v>88</v>
      </c>
      <c r="AA267" s="6" t="s">
        <v>3109</v>
      </c>
      <c r="AB267" s="6" t="s">
        <v>55</v>
      </c>
      <c r="AC267" s="6"/>
      <c r="AD267" s="6"/>
      <c r="AE267" s="6"/>
      <c r="AF267" s="6"/>
      <c r="AG267" s="6"/>
      <c r="AH267" s="6"/>
      <c r="AI267" s="6" t="s">
        <v>3110</v>
      </c>
    </row>
    <row r="268" customFormat="false" ht="15" hidden="false" customHeight="true" outlineLevel="0" collapsed="false">
      <c r="A268" s="6" t="s">
        <v>3111</v>
      </c>
      <c r="B268" s="6" t="s">
        <v>3090</v>
      </c>
      <c r="C268" s="12" t="s">
        <v>9</v>
      </c>
      <c r="D268" s="6" t="s">
        <v>88</v>
      </c>
      <c r="E268" s="6" t="s">
        <v>1163</v>
      </c>
      <c r="F268" s="6" t="s">
        <v>2915</v>
      </c>
      <c r="G268" s="6" t="s">
        <v>3112</v>
      </c>
      <c r="H268" s="6" t="s">
        <v>3113</v>
      </c>
      <c r="I268" s="6" t="s">
        <v>274</v>
      </c>
      <c r="J268" s="6"/>
      <c r="K268" s="6" t="s">
        <v>60</v>
      </c>
      <c r="L268" s="6" t="s">
        <v>61</v>
      </c>
      <c r="M268" s="6" t="s">
        <v>3114</v>
      </c>
      <c r="N268" s="6" t="s">
        <v>3115</v>
      </c>
      <c r="O268" s="8" t="s">
        <v>3083</v>
      </c>
      <c r="P268" s="6" t="n">
        <f aca="false">IF(O268="","",VALUE(LEFT(O268,4)))</f>
        <v>1816</v>
      </c>
      <c r="Q268" s="6" t="s">
        <v>3116</v>
      </c>
      <c r="R268" s="6" t="s">
        <v>3117</v>
      </c>
      <c r="S268" s="6" t="s">
        <v>3096</v>
      </c>
      <c r="T268" s="6" t="s">
        <v>3118</v>
      </c>
      <c r="U268" s="6" t="s">
        <v>217</v>
      </c>
      <c r="V268" s="6" t="s">
        <v>3119</v>
      </c>
      <c r="W268" s="6" t="str">
        <f aca="false">IF(O268="","",INDEX(Lookups!$B$2:$B$268,MATCH(O268,Lookups!$A$2:$A$268,1)))</f>
        <v>Sidmouth</v>
      </c>
      <c r="X268" s="6" t="s">
        <v>103</v>
      </c>
      <c r="Y268" s="6" t="s">
        <v>16</v>
      </c>
      <c r="Z268" s="6" t="s">
        <v>88</v>
      </c>
      <c r="AA268" s="6" t="s">
        <v>3120</v>
      </c>
      <c r="AB268" s="6" t="s">
        <v>88</v>
      </c>
      <c r="AC268" s="6"/>
      <c r="AD268" s="6"/>
      <c r="AE268" s="6"/>
      <c r="AF268" s="6"/>
      <c r="AG268" s="6"/>
      <c r="AH268" s="6"/>
      <c r="AI268" s="6" t="s">
        <v>3121</v>
      </c>
    </row>
    <row r="269" customFormat="false" ht="15" hidden="false" customHeight="true" outlineLevel="0" collapsed="false">
      <c r="A269" s="6" t="s">
        <v>3122</v>
      </c>
      <c r="B269" s="6" t="s">
        <v>2936</v>
      </c>
      <c r="C269" s="7" t="s">
        <v>4</v>
      </c>
      <c r="D269" s="6" t="s">
        <v>88</v>
      </c>
      <c r="E269" s="6" t="s">
        <v>1163</v>
      </c>
      <c r="F269" s="6" t="s">
        <v>2954</v>
      </c>
      <c r="G269" s="6" t="s">
        <v>3123</v>
      </c>
      <c r="H269" s="6" t="s">
        <v>3124</v>
      </c>
      <c r="I269" s="6" t="s">
        <v>274</v>
      </c>
      <c r="J269" s="6"/>
      <c r="K269" s="6" t="s">
        <v>60</v>
      </c>
      <c r="L269" s="6" t="s">
        <v>61</v>
      </c>
      <c r="M269" s="6" t="s">
        <v>3125</v>
      </c>
      <c r="N269" s="6" t="s">
        <v>3126</v>
      </c>
      <c r="O269" s="8" t="s">
        <v>3127</v>
      </c>
      <c r="P269" s="6" t="n">
        <f aca="false">IF(O269="","",VALUE(LEFT(O269,4)))</f>
        <v>1816</v>
      </c>
      <c r="Q269" s="6" t="s">
        <v>2944</v>
      </c>
      <c r="R269" s="6" t="s">
        <v>2944</v>
      </c>
      <c r="S269" s="6" t="s">
        <v>705</v>
      </c>
      <c r="T269" s="6" t="s">
        <v>3128</v>
      </c>
      <c r="U269" s="6" t="s">
        <v>69</v>
      </c>
      <c r="V269" s="6" t="s">
        <v>3129</v>
      </c>
      <c r="W269" s="6" t="str">
        <f aca="false">IF(O269="","",INDEX(Lookups!$B$2:$B$269,MATCH(O269,Lookups!$A$2:$A$269,1)))</f>
        <v>Sidmouth</v>
      </c>
      <c r="X269" s="6" t="s">
        <v>103</v>
      </c>
      <c r="Y269" s="6" t="s">
        <v>13</v>
      </c>
      <c r="Z269" s="6" t="s">
        <v>88</v>
      </c>
      <c r="AA269" s="6" t="s">
        <v>3130</v>
      </c>
      <c r="AB269" s="6" t="s">
        <v>88</v>
      </c>
      <c r="AC269" s="6"/>
      <c r="AD269" s="6"/>
      <c r="AE269" s="6"/>
      <c r="AF269" s="6"/>
      <c r="AG269" s="6"/>
      <c r="AH269" s="6"/>
      <c r="AI269" s="6" t="s">
        <v>3131</v>
      </c>
    </row>
    <row r="270" customFormat="false" ht="15" hidden="false" customHeight="true" outlineLevel="0" collapsed="false">
      <c r="A270" s="6" t="s">
        <v>3132</v>
      </c>
      <c r="B270" s="6" t="s">
        <v>3133</v>
      </c>
      <c r="C270" s="7" t="s">
        <v>4</v>
      </c>
      <c r="D270" s="6" t="s">
        <v>88</v>
      </c>
      <c r="E270" s="6" t="s">
        <v>1163</v>
      </c>
      <c r="F270" s="6" t="s">
        <v>2981</v>
      </c>
      <c r="G270" s="6" t="s">
        <v>326</v>
      </c>
      <c r="H270" s="6" t="s">
        <v>3134</v>
      </c>
      <c r="I270" s="6" t="s">
        <v>274</v>
      </c>
      <c r="J270" s="6"/>
      <c r="K270" s="6" t="s">
        <v>60</v>
      </c>
      <c r="L270" s="6" t="s">
        <v>61</v>
      </c>
      <c r="M270" s="6" t="s">
        <v>3135</v>
      </c>
      <c r="N270" s="6" t="s">
        <v>3136</v>
      </c>
      <c r="O270" s="8" t="s">
        <v>3127</v>
      </c>
      <c r="P270" s="6" t="n">
        <f aca="false">IF(O270="","",VALUE(LEFT(O270,4)))</f>
        <v>1816</v>
      </c>
      <c r="Q270" s="6" t="s">
        <v>3137</v>
      </c>
      <c r="R270" s="6" t="s">
        <v>3137</v>
      </c>
      <c r="S270" s="6" t="s">
        <v>1782</v>
      </c>
      <c r="T270" s="6" t="s">
        <v>3138</v>
      </c>
      <c r="U270" s="6" t="s">
        <v>69</v>
      </c>
      <c r="V270" s="6" t="s">
        <v>2921</v>
      </c>
      <c r="W270" s="6" t="str">
        <f aca="false">IF(O270="","",INDEX(Lookups!$B$2:$B$270,MATCH(O270,Lookups!$A$2:$A$270,1)))</f>
        <v>Sidmouth</v>
      </c>
      <c r="X270" s="6" t="s">
        <v>206</v>
      </c>
      <c r="Y270" s="6" t="s">
        <v>14</v>
      </c>
      <c r="Z270" s="6" t="s">
        <v>72</v>
      </c>
      <c r="AA270" s="6" t="s">
        <v>3139</v>
      </c>
      <c r="AB270" s="6" t="s">
        <v>72</v>
      </c>
      <c r="AC270" s="6"/>
      <c r="AD270" s="6"/>
      <c r="AE270" s="6"/>
      <c r="AF270" s="6"/>
      <c r="AG270" s="6"/>
      <c r="AH270" s="6"/>
      <c r="AI270" s="6" t="s">
        <v>3140</v>
      </c>
    </row>
    <row r="271" customFormat="false" ht="15" hidden="false" customHeight="true" outlineLevel="0" collapsed="false">
      <c r="A271" s="6" t="s">
        <v>3141</v>
      </c>
      <c r="B271" s="6" t="s">
        <v>1175</v>
      </c>
      <c r="C271" s="7" t="s">
        <v>4</v>
      </c>
      <c r="D271" s="6" t="s">
        <v>88</v>
      </c>
      <c r="E271" s="6" t="s">
        <v>2937</v>
      </c>
      <c r="F271" s="6" t="s">
        <v>2938</v>
      </c>
      <c r="G271" s="6" t="s">
        <v>3142</v>
      </c>
      <c r="H271" s="6" t="s">
        <v>3143</v>
      </c>
      <c r="I271" s="6" t="s">
        <v>274</v>
      </c>
      <c r="J271" s="6"/>
      <c r="K271" s="6" t="s">
        <v>60</v>
      </c>
      <c r="L271" s="6" t="s">
        <v>61</v>
      </c>
      <c r="M271" s="6" t="s">
        <v>3144</v>
      </c>
      <c r="N271" s="6" t="s">
        <v>3145</v>
      </c>
      <c r="O271" s="8" t="s">
        <v>3127</v>
      </c>
      <c r="P271" s="6" t="n">
        <f aca="false">IF(O271="","",VALUE(LEFT(O271,4)))</f>
        <v>1816</v>
      </c>
      <c r="Q271" s="6" t="s">
        <v>3146</v>
      </c>
      <c r="R271" s="6" t="s">
        <v>3147</v>
      </c>
      <c r="S271" s="6" t="s">
        <v>304</v>
      </c>
      <c r="T271" s="6" t="s">
        <v>3148</v>
      </c>
      <c r="U271" s="6" t="s">
        <v>69</v>
      </c>
      <c r="V271" s="6" t="s">
        <v>3149</v>
      </c>
      <c r="W271" s="6" t="str">
        <f aca="false">IF(O271="","",INDEX(Lookups!$B$2:$B$271,MATCH(O271,Lookups!$A$2:$A$271,1)))</f>
        <v>Sidmouth</v>
      </c>
      <c r="X271" s="6" t="s">
        <v>103</v>
      </c>
      <c r="Y271" s="6" t="s">
        <v>14</v>
      </c>
      <c r="Z271" s="6" t="s">
        <v>72</v>
      </c>
      <c r="AA271" s="6" t="s">
        <v>3150</v>
      </c>
      <c r="AB271" s="6" t="s">
        <v>141</v>
      </c>
      <c r="AC271" s="6" t="s">
        <v>3151</v>
      </c>
      <c r="AD271" s="6" t="s">
        <v>106</v>
      </c>
      <c r="AE271" s="6" t="s">
        <v>3127</v>
      </c>
      <c r="AF271" s="6"/>
      <c r="AG271" s="6" t="s">
        <v>3152</v>
      </c>
      <c r="AH271" s="6"/>
      <c r="AI271" s="6" t="s">
        <v>3153</v>
      </c>
    </row>
    <row r="272" customFormat="false" ht="15" hidden="false" customHeight="true" outlineLevel="0" collapsed="false">
      <c r="A272" s="6" t="s">
        <v>3154</v>
      </c>
      <c r="B272" s="6" t="s">
        <v>3155</v>
      </c>
      <c r="C272" s="7" t="s">
        <v>4</v>
      </c>
      <c r="D272" s="6" t="s">
        <v>88</v>
      </c>
      <c r="E272" s="6" t="s">
        <v>1163</v>
      </c>
      <c r="F272" s="6" t="s">
        <v>2954</v>
      </c>
      <c r="G272" s="6" t="s">
        <v>1522</v>
      </c>
      <c r="H272" s="6" t="s">
        <v>3156</v>
      </c>
      <c r="I272" s="6" t="s">
        <v>274</v>
      </c>
      <c r="J272" s="6"/>
      <c r="K272" s="6" t="s">
        <v>60</v>
      </c>
      <c r="L272" s="6" t="s">
        <v>61</v>
      </c>
      <c r="M272" s="6" t="s">
        <v>3157</v>
      </c>
      <c r="N272" s="6" t="s">
        <v>3158</v>
      </c>
      <c r="O272" s="8" t="s">
        <v>3159</v>
      </c>
      <c r="P272" s="6" t="n">
        <f aca="false">IF(O272="","",VALUE(LEFT(O272,4)))</f>
        <v>1816</v>
      </c>
      <c r="Q272" s="6" t="s">
        <v>3160</v>
      </c>
      <c r="R272" s="6" t="s">
        <v>3161</v>
      </c>
      <c r="S272" s="6" t="s">
        <v>705</v>
      </c>
      <c r="T272" s="6" t="s">
        <v>3162</v>
      </c>
      <c r="U272" s="6" t="s">
        <v>815</v>
      </c>
      <c r="V272" s="6" t="s">
        <v>3006</v>
      </c>
      <c r="W272" s="6" t="str">
        <f aca="false">IF(O272="","",INDEX(Lookups!$B$2:$B$272,MATCH(O272,Lookups!$A$2:$A$272,1)))</f>
        <v>Sidmouth</v>
      </c>
      <c r="X272" s="6" t="s">
        <v>103</v>
      </c>
      <c r="Y272" s="6" t="s">
        <v>14</v>
      </c>
      <c r="Z272" s="6" t="s">
        <v>72</v>
      </c>
      <c r="AA272" s="6" t="s">
        <v>3163</v>
      </c>
      <c r="AB272" s="6" t="s">
        <v>88</v>
      </c>
      <c r="AC272" s="6"/>
      <c r="AD272" s="6"/>
      <c r="AE272" s="6"/>
      <c r="AF272" s="6"/>
      <c r="AG272" s="6"/>
      <c r="AH272" s="6"/>
      <c r="AI272" s="6" t="s">
        <v>3164</v>
      </c>
    </row>
    <row r="273" customFormat="false" ht="15" hidden="false" customHeight="true" outlineLevel="0" collapsed="false">
      <c r="A273" s="6" t="s">
        <v>3165</v>
      </c>
      <c r="B273" s="6" t="s">
        <v>3102</v>
      </c>
      <c r="C273" s="7" t="s">
        <v>4</v>
      </c>
      <c r="D273" s="6" t="s">
        <v>88</v>
      </c>
      <c r="E273" s="6" t="s">
        <v>1163</v>
      </c>
      <c r="F273" s="6" t="s">
        <v>2954</v>
      </c>
      <c r="G273" s="6" t="s">
        <v>2790</v>
      </c>
      <c r="H273" s="6" t="s">
        <v>3166</v>
      </c>
      <c r="I273" s="6" t="s">
        <v>274</v>
      </c>
      <c r="J273" s="6"/>
      <c r="K273" s="6" t="s">
        <v>60</v>
      </c>
      <c r="L273" s="6" t="s">
        <v>61</v>
      </c>
      <c r="M273" s="6" t="s">
        <v>3167</v>
      </c>
      <c r="N273" s="6" t="s">
        <v>3168</v>
      </c>
      <c r="O273" s="8" t="s">
        <v>3169</v>
      </c>
      <c r="P273" s="6" t="n">
        <f aca="false">IF(O273="","",VALUE(LEFT(O273,4)))</f>
        <v>1816</v>
      </c>
      <c r="Q273" s="6" t="s">
        <v>837</v>
      </c>
      <c r="R273" s="6" t="s">
        <v>837</v>
      </c>
      <c r="S273" s="6" t="s">
        <v>3096</v>
      </c>
      <c r="T273" s="6" t="s">
        <v>3170</v>
      </c>
      <c r="U273" s="6" t="s">
        <v>69</v>
      </c>
      <c r="V273" s="6" t="s">
        <v>2921</v>
      </c>
      <c r="W273" s="6" t="str">
        <f aca="false">IF(O273="","",INDEX(Lookups!$B$2:$B$273,MATCH(O273,Lookups!$A$2:$A$273,1)))</f>
        <v>Sidmouth</v>
      </c>
      <c r="X273" s="6" t="s">
        <v>103</v>
      </c>
      <c r="Y273" s="6" t="s">
        <v>13</v>
      </c>
      <c r="Z273" s="6" t="s">
        <v>72</v>
      </c>
      <c r="AA273" s="6" t="s">
        <v>3171</v>
      </c>
      <c r="AB273" s="6" t="s">
        <v>141</v>
      </c>
      <c r="AC273" s="6"/>
      <c r="AD273" s="6"/>
      <c r="AE273" s="6"/>
      <c r="AF273" s="6"/>
      <c r="AG273" s="6"/>
      <c r="AH273" s="6"/>
      <c r="AI273" s="6" t="s">
        <v>3172</v>
      </c>
    </row>
    <row r="274" customFormat="false" ht="15" hidden="false" customHeight="true" outlineLevel="0" collapsed="false">
      <c r="A274" s="6" t="s">
        <v>3173</v>
      </c>
      <c r="B274" s="6" t="s">
        <v>2936</v>
      </c>
      <c r="C274" s="9" t="s">
        <v>6</v>
      </c>
      <c r="D274" s="6" t="s">
        <v>88</v>
      </c>
      <c r="E274" s="6" t="s">
        <v>1163</v>
      </c>
      <c r="F274" s="6" t="s">
        <v>2954</v>
      </c>
      <c r="G274" s="6" t="s">
        <v>3174</v>
      </c>
      <c r="H274" s="6" t="s">
        <v>3175</v>
      </c>
      <c r="I274" s="6" t="s">
        <v>274</v>
      </c>
      <c r="J274" s="6"/>
      <c r="K274" s="6" t="s">
        <v>60</v>
      </c>
      <c r="L274" s="6" t="s">
        <v>61</v>
      </c>
      <c r="M274" s="6" t="s">
        <v>3176</v>
      </c>
      <c r="N274" s="6" t="s">
        <v>3177</v>
      </c>
      <c r="O274" s="8" t="s">
        <v>1180</v>
      </c>
      <c r="P274" s="6" t="n">
        <f aca="false">IF(O274="","",VALUE(LEFT(O274,4)))</f>
        <v>1816</v>
      </c>
      <c r="Q274" s="6" t="s">
        <v>3178</v>
      </c>
      <c r="R274" s="6" t="s">
        <v>3179</v>
      </c>
      <c r="S274" s="6" t="s">
        <v>705</v>
      </c>
      <c r="T274" s="6" t="s">
        <v>3180</v>
      </c>
      <c r="U274" s="6" t="s">
        <v>69</v>
      </c>
      <c r="V274" s="6" t="s">
        <v>2921</v>
      </c>
      <c r="W274" s="6" t="str">
        <f aca="false">IF(O274="","",INDEX(Lookups!$B$2:$B$274,MATCH(O274,Lookups!$A$2:$A$274,1)))</f>
        <v>Sidmouth</v>
      </c>
      <c r="X274" s="6" t="s">
        <v>103</v>
      </c>
      <c r="Y274" s="6" t="s">
        <v>14</v>
      </c>
      <c r="Z274" s="6" t="s">
        <v>88</v>
      </c>
      <c r="AA274" s="6" t="s">
        <v>3181</v>
      </c>
      <c r="AB274" s="6" t="s">
        <v>88</v>
      </c>
      <c r="AC274" s="6"/>
      <c r="AD274" s="6"/>
      <c r="AE274" s="6"/>
      <c r="AF274" s="6"/>
      <c r="AG274" s="6"/>
      <c r="AH274" s="6"/>
      <c r="AI274" s="6" t="s">
        <v>3182</v>
      </c>
    </row>
    <row r="275" customFormat="false" ht="15" hidden="false" customHeight="true" outlineLevel="0" collapsed="false">
      <c r="A275" s="6" t="s">
        <v>3183</v>
      </c>
      <c r="B275" s="6" t="s">
        <v>3184</v>
      </c>
      <c r="C275" s="12" t="s">
        <v>9</v>
      </c>
      <c r="D275" s="6" t="s">
        <v>88</v>
      </c>
      <c r="E275" s="6" t="s">
        <v>1163</v>
      </c>
      <c r="F275" s="6" t="s">
        <v>2954</v>
      </c>
      <c r="G275" s="6" t="s">
        <v>1243</v>
      </c>
      <c r="H275" s="6" t="s">
        <v>3185</v>
      </c>
      <c r="I275" s="6" t="s">
        <v>274</v>
      </c>
      <c r="J275" s="6"/>
      <c r="K275" s="6" t="s">
        <v>60</v>
      </c>
      <c r="L275" s="6" t="s">
        <v>61</v>
      </c>
      <c r="M275" s="6" t="s">
        <v>3186</v>
      </c>
      <c r="N275" s="6" t="s">
        <v>3187</v>
      </c>
      <c r="O275" s="8" t="s">
        <v>1192</v>
      </c>
      <c r="P275" s="6" t="n">
        <f aca="false">IF(O275="","",VALUE(LEFT(O275,4)))</f>
        <v>1816</v>
      </c>
      <c r="Q275" s="6" t="s">
        <v>3188</v>
      </c>
      <c r="R275" s="6" t="s">
        <v>3189</v>
      </c>
      <c r="S275" s="6" t="s">
        <v>304</v>
      </c>
      <c r="T275" s="6" t="s">
        <v>3190</v>
      </c>
      <c r="U275" s="6" t="s">
        <v>254</v>
      </c>
      <c r="V275" s="6" t="s">
        <v>2921</v>
      </c>
      <c r="W275" s="6" t="str">
        <f aca="false">IF(O275="","",INDEX(Lookups!$B$2:$B$275,MATCH(O275,Lookups!$A$2:$A$275,1)))</f>
        <v>Sidmouth</v>
      </c>
      <c r="X275" s="6" t="s">
        <v>103</v>
      </c>
      <c r="Y275" s="6" t="s">
        <v>16</v>
      </c>
      <c r="Z275" s="6" t="s">
        <v>72</v>
      </c>
      <c r="AA275" s="6" t="s">
        <v>3191</v>
      </c>
      <c r="AB275" s="6" t="s">
        <v>55</v>
      </c>
      <c r="AC275" s="6"/>
      <c r="AD275" s="6"/>
      <c r="AE275" s="6"/>
      <c r="AF275" s="6"/>
      <c r="AG275" s="6"/>
      <c r="AH275" s="6"/>
      <c r="AI275" s="6" t="s">
        <v>3192</v>
      </c>
    </row>
    <row r="276" customFormat="false" ht="15" hidden="false" customHeight="true" outlineLevel="0" collapsed="false">
      <c r="A276" s="6" t="s">
        <v>3193</v>
      </c>
      <c r="B276" s="6" t="s">
        <v>3090</v>
      </c>
      <c r="C276" s="7" t="s">
        <v>4</v>
      </c>
      <c r="D276" s="6" t="s">
        <v>88</v>
      </c>
      <c r="E276" s="6" t="s">
        <v>1163</v>
      </c>
      <c r="F276" s="6" t="s">
        <v>2954</v>
      </c>
      <c r="G276" s="6" t="s">
        <v>2017</v>
      </c>
      <c r="H276" s="6" t="s">
        <v>3194</v>
      </c>
      <c r="I276" s="6" t="s">
        <v>274</v>
      </c>
      <c r="J276" s="6"/>
      <c r="K276" s="6" t="s">
        <v>60</v>
      </c>
      <c r="L276" s="6" t="s">
        <v>61</v>
      </c>
      <c r="M276" s="6" t="s">
        <v>3195</v>
      </c>
      <c r="N276" s="6" t="s">
        <v>3196</v>
      </c>
      <c r="O276" s="8" t="s">
        <v>1192</v>
      </c>
      <c r="P276" s="6" t="n">
        <f aca="false">IF(O276="","",VALUE(LEFT(O276,4)))</f>
        <v>1816</v>
      </c>
      <c r="Q276" s="6" t="s">
        <v>901</v>
      </c>
      <c r="R276" s="6" t="s">
        <v>3117</v>
      </c>
      <c r="S276" s="6" t="s">
        <v>3096</v>
      </c>
      <c r="T276" s="6" t="s">
        <v>3197</v>
      </c>
      <c r="U276" s="6" t="s">
        <v>69</v>
      </c>
      <c r="V276" s="6" t="s">
        <v>2921</v>
      </c>
      <c r="W276" s="6" t="str">
        <f aca="false">IF(O276="","",INDEX(Lookups!$B$2:$B$276,MATCH(O276,Lookups!$A$2:$A$276,1)))</f>
        <v>Sidmouth</v>
      </c>
      <c r="X276" s="6" t="s">
        <v>103</v>
      </c>
      <c r="Y276" s="6" t="s">
        <v>16</v>
      </c>
      <c r="Z276" s="6" t="s">
        <v>72</v>
      </c>
      <c r="AA276" s="6" t="s">
        <v>3198</v>
      </c>
      <c r="AB276" s="6" t="s">
        <v>88</v>
      </c>
      <c r="AC276" s="6"/>
      <c r="AD276" s="6"/>
      <c r="AE276" s="6"/>
      <c r="AF276" s="6"/>
      <c r="AG276" s="6"/>
      <c r="AH276" s="6"/>
      <c r="AI276" s="6" t="s">
        <v>3199</v>
      </c>
    </row>
    <row r="277" customFormat="false" ht="15" hidden="false" customHeight="true" outlineLevel="0" collapsed="false">
      <c r="A277" s="6" t="s">
        <v>3200</v>
      </c>
      <c r="B277" s="6" t="s">
        <v>3021</v>
      </c>
      <c r="C277" s="7" t="s">
        <v>4</v>
      </c>
      <c r="D277" s="6" t="s">
        <v>88</v>
      </c>
      <c r="E277" s="6" t="s">
        <v>1163</v>
      </c>
      <c r="F277" s="6" t="s">
        <v>3201</v>
      </c>
      <c r="G277" s="6" t="s">
        <v>3142</v>
      </c>
      <c r="H277" s="6" t="s">
        <v>3202</v>
      </c>
      <c r="I277" s="6" t="s">
        <v>274</v>
      </c>
      <c r="J277" s="6"/>
      <c r="K277" s="6" t="s">
        <v>60</v>
      </c>
      <c r="L277" s="6" t="s">
        <v>61</v>
      </c>
      <c r="M277" s="6" t="s">
        <v>3203</v>
      </c>
      <c r="N277" s="6" t="s">
        <v>3187</v>
      </c>
      <c r="O277" s="8" t="s">
        <v>1192</v>
      </c>
      <c r="P277" s="6" t="n">
        <f aca="false">IF(O277="","",VALUE(LEFT(O277,4)))</f>
        <v>1816</v>
      </c>
      <c r="Q277" s="6" t="s">
        <v>184</v>
      </c>
      <c r="R277" s="6" t="s">
        <v>184</v>
      </c>
      <c r="S277" s="6" t="s">
        <v>185</v>
      </c>
      <c r="T277" s="6" t="s">
        <v>3204</v>
      </c>
      <c r="U277" s="6" t="s">
        <v>217</v>
      </c>
      <c r="V277" s="6" t="s">
        <v>2921</v>
      </c>
      <c r="W277" s="6" t="str">
        <f aca="false">IF(O277="","",INDEX(Lookups!$B$2:$B$277,MATCH(O277,Lookups!$A$2:$A$277,1)))</f>
        <v>Sidmouth</v>
      </c>
      <c r="X277" s="6" t="s">
        <v>206</v>
      </c>
      <c r="Y277" s="6" t="s">
        <v>14</v>
      </c>
      <c r="Z277" s="6" t="s">
        <v>72</v>
      </c>
      <c r="AA277" s="6" t="s">
        <v>3205</v>
      </c>
      <c r="AB277" s="6" t="s">
        <v>55</v>
      </c>
      <c r="AC277" s="6"/>
      <c r="AD277" s="6"/>
      <c r="AE277" s="6"/>
      <c r="AF277" s="6"/>
      <c r="AG277" s="6"/>
      <c r="AH277" s="6"/>
      <c r="AI277" s="6" t="s">
        <v>3206</v>
      </c>
    </row>
    <row r="278" customFormat="false" ht="15" hidden="false" customHeight="true" outlineLevel="0" collapsed="false">
      <c r="A278" s="6" t="s">
        <v>3207</v>
      </c>
      <c r="B278" s="6" t="s">
        <v>3208</v>
      </c>
      <c r="C278" s="7" t="s">
        <v>4</v>
      </c>
      <c r="D278" s="6" t="s">
        <v>88</v>
      </c>
      <c r="E278" s="6" t="s">
        <v>1163</v>
      </c>
      <c r="F278" s="6" t="s">
        <v>3201</v>
      </c>
      <c r="G278" s="6" t="s">
        <v>3209</v>
      </c>
      <c r="H278" s="6" t="s">
        <v>3210</v>
      </c>
      <c r="I278" s="6" t="s">
        <v>274</v>
      </c>
      <c r="J278" s="6"/>
      <c r="K278" s="6" t="s">
        <v>60</v>
      </c>
      <c r="L278" s="6" t="s">
        <v>61</v>
      </c>
      <c r="M278" s="6" t="s">
        <v>3211</v>
      </c>
      <c r="N278" s="6" t="s">
        <v>3212</v>
      </c>
      <c r="O278" s="8" t="s">
        <v>3213</v>
      </c>
      <c r="P278" s="6" t="n">
        <f aca="false">IF(O278="","",VALUE(LEFT(O278,4)))</f>
        <v>1816</v>
      </c>
      <c r="Q278" s="6" t="s">
        <v>382</v>
      </c>
      <c r="R278" s="6" t="s">
        <v>382</v>
      </c>
      <c r="S278" s="6" t="s">
        <v>383</v>
      </c>
      <c r="T278" s="6" t="s">
        <v>3214</v>
      </c>
      <c r="U278" s="6" t="s">
        <v>85</v>
      </c>
      <c r="V278" s="6" t="s">
        <v>2921</v>
      </c>
      <c r="W278" s="6" t="str">
        <f aca="false">IF(O278="","",INDEX(Lookups!$B$2:$B$278,MATCH(O278,Lookups!$A$2:$A$278,1)))</f>
        <v>Sidmouth</v>
      </c>
      <c r="X278" s="6" t="s">
        <v>206</v>
      </c>
      <c r="Y278" s="6" t="s">
        <v>14</v>
      </c>
      <c r="Z278" s="6" t="s">
        <v>55</v>
      </c>
      <c r="AA278" s="6" t="s">
        <v>3215</v>
      </c>
      <c r="AB278" s="6" t="s">
        <v>55</v>
      </c>
      <c r="AC278" s="6"/>
      <c r="AD278" s="6"/>
      <c r="AE278" s="6"/>
      <c r="AF278" s="6"/>
      <c r="AG278" s="6"/>
      <c r="AH278" s="6"/>
      <c r="AI278" s="6" t="s">
        <v>3216</v>
      </c>
    </row>
    <row r="279" customFormat="false" ht="15" hidden="false" customHeight="true" outlineLevel="0" collapsed="false">
      <c r="A279" s="6" t="s">
        <v>3217</v>
      </c>
      <c r="B279" s="6" t="s">
        <v>1187</v>
      </c>
      <c r="C279" s="7" t="s">
        <v>4</v>
      </c>
      <c r="D279" s="6" t="s">
        <v>88</v>
      </c>
      <c r="E279" s="6" t="s">
        <v>1163</v>
      </c>
      <c r="F279" s="6" t="s">
        <v>3201</v>
      </c>
      <c r="G279" s="6" t="s">
        <v>2138</v>
      </c>
      <c r="H279" s="6" t="s">
        <v>1450</v>
      </c>
      <c r="I279" s="6" t="s">
        <v>274</v>
      </c>
      <c r="J279" s="6"/>
      <c r="K279" s="6" t="s">
        <v>60</v>
      </c>
      <c r="L279" s="6" t="s">
        <v>61</v>
      </c>
      <c r="M279" s="6" t="s">
        <v>3218</v>
      </c>
      <c r="N279" s="6" t="s">
        <v>3219</v>
      </c>
      <c r="O279" s="8" t="s">
        <v>3213</v>
      </c>
      <c r="P279" s="6" t="n">
        <f aca="false">IF(O279="","",VALUE(LEFT(O279,4)))</f>
        <v>1816</v>
      </c>
      <c r="Q279" s="6" t="s">
        <v>3220</v>
      </c>
      <c r="R279" s="6" t="s">
        <v>3221</v>
      </c>
      <c r="S279" s="6" t="s">
        <v>813</v>
      </c>
      <c r="T279" s="6" t="s">
        <v>3222</v>
      </c>
      <c r="U279" s="6" t="s">
        <v>69</v>
      </c>
      <c r="V279" s="6" t="s">
        <v>2921</v>
      </c>
      <c r="W279" s="6" t="str">
        <f aca="false">IF(O279="","",INDEX(Lookups!$B$2:$B$279,MATCH(O279,Lookups!$A$2:$A$279,1)))</f>
        <v>Sidmouth</v>
      </c>
      <c r="X279" s="6" t="s">
        <v>70</v>
      </c>
      <c r="Y279" s="6" t="s">
        <v>13</v>
      </c>
      <c r="Z279" s="6" t="s">
        <v>72</v>
      </c>
      <c r="AA279" s="6" t="s">
        <v>3223</v>
      </c>
      <c r="AB279" s="6" t="s">
        <v>88</v>
      </c>
      <c r="AC279" s="6"/>
      <c r="AD279" s="6"/>
      <c r="AE279" s="6"/>
      <c r="AF279" s="6"/>
      <c r="AG279" s="6"/>
      <c r="AH279" s="6"/>
      <c r="AI279" s="6" t="s">
        <v>3224</v>
      </c>
    </row>
    <row r="280" customFormat="false" ht="15" hidden="false" customHeight="true" outlineLevel="0" collapsed="false">
      <c r="A280" s="6" t="s">
        <v>3225</v>
      </c>
      <c r="B280" s="6" t="s">
        <v>1175</v>
      </c>
      <c r="C280" s="7" t="s">
        <v>4</v>
      </c>
      <c r="D280" s="6" t="s">
        <v>88</v>
      </c>
      <c r="E280" s="6" t="s">
        <v>1163</v>
      </c>
      <c r="F280" s="6" t="s">
        <v>3201</v>
      </c>
      <c r="G280" s="6" t="s">
        <v>1048</v>
      </c>
      <c r="H280" s="6" t="s">
        <v>3226</v>
      </c>
      <c r="I280" s="6" t="s">
        <v>274</v>
      </c>
      <c r="J280" s="6"/>
      <c r="K280" s="6" t="s">
        <v>60</v>
      </c>
      <c r="L280" s="6" t="s">
        <v>61</v>
      </c>
      <c r="M280" s="6" t="s">
        <v>3227</v>
      </c>
      <c r="N280" s="6" t="s">
        <v>3228</v>
      </c>
      <c r="O280" s="8" t="s">
        <v>3229</v>
      </c>
      <c r="P280" s="6" t="n">
        <f aca="false">IF(O280="","",VALUE(LEFT(O280,4)))</f>
        <v>1816</v>
      </c>
      <c r="Q280" s="6" t="s">
        <v>3230</v>
      </c>
      <c r="R280" s="6" t="s">
        <v>3231</v>
      </c>
      <c r="S280" s="6" t="s">
        <v>304</v>
      </c>
      <c r="T280" s="6" t="s">
        <v>3232</v>
      </c>
      <c r="U280" s="6" t="s">
        <v>815</v>
      </c>
      <c r="V280" s="6" t="s">
        <v>2921</v>
      </c>
      <c r="W280" s="6" t="str">
        <f aca="false">IF(O280="","",INDEX(Lookups!$B$2:$B$280,MATCH(O280,Lookups!$A$2:$A$280,1)))</f>
        <v>Sidmouth</v>
      </c>
      <c r="X280" s="6" t="s">
        <v>103</v>
      </c>
      <c r="Y280" s="6" t="s">
        <v>13</v>
      </c>
      <c r="Z280" s="6" t="s">
        <v>72</v>
      </c>
      <c r="AA280" s="6" t="s">
        <v>3233</v>
      </c>
      <c r="AB280" s="6" t="s">
        <v>88</v>
      </c>
      <c r="AC280" s="6"/>
      <c r="AD280" s="6"/>
      <c r="AE280" s="6"/>
      <c r="AF280" s="6"/>
      <c r="AG280" s="6"/>
      <c r="AH280" s="6"/>
      <c r="AI280" s="6" t="s">
        <v>3234</v>
      </c>
    </row>
    <row r="281" customFormat="false" ht="15" hidden="false" customHeight="true" outlineLevel="0" collapsed="false">
      <c r="A281" s="6" t="s">
        <v>3235</v>
      </c>
      <c r="B281" s="6" t="s">
        <v>1187</v>
      </c>
      <c r="C281" s="7" t="s">
        <v>4</v>
      </c>
      <c r="D281" s="6" t="s">
        <v>88</v>
      </c>
      <c r="E281" s="6" t="s">
        <v>1163</v>
      </c>
      <c r="F281" s="6" t="s">
        <v>3201</v>
      </c>
      <c r="G281" s="6" t="s">
        <v>3236</v>
      </c>
      <c r="H281" s="6" t="s">
        <v>3237</v>
      </c>
      <c r="I281" s="6" t="s">
        <v>274</v>
      </c>
      <c r="J281" s="6"/>
      <c r="K281" s="6" t="s">
        <v>60</v>
      </c>
      <c r="L281" s="6" t="s">
        <v>61</v>
      </c>
      <c r="M281" s="6" t="s">
        <v>3238</v>
      </c>
      <c r="N281" s="6" t="s">
        <v>3239</v>
      </c>
      <c r="O281" s="8" t="s">
        <v>3240</v>
      </c>
      <c r="P281" s="6" t="n">
        <f aca="false">IF(O281="","",VALUE(LEFT(O281,4)))</f>
        <v>1816</v>
      </c>
      <c r="Q281" s="6" t="s">
        <v>3241</v>
      </c>
      <c r="R281" s="6" t="s">
        <v>3242</v>
      </c>
      <c r="S281" s="6" t="s">
        <v>813</v>
      </c>
      <c r="T281" s="6" t="s">
        <v>3222</v>
      </c>
      <c r="U281" s="6" t="s">
        <v>69</v>
      </c>
      <c r="V281" s="6" t="s">
        <v>2921</v>
      </c>
      <c r="W281" s="6" t="str">
        <f aca="false">IF(O281="","",INDEX(Lookups!$B$2:$B$281,MATCH(O281,Lookups!$A$2:$A$281,1)))</f>
        <v>Sidmouth</v>
      </c>
      <c r="X281" s="6" t="s">
        <v>70</v>
      </c>
      <c r="Y281" s="6" t="s">
        <v>13</v>
      </c>
      <c r="Z281" s="6" t="s">
        <v>88</v>
      </c>
      <c r="AA281" s="6" t="s">
        <v>3243</v>
      </c>
      <c r="AB281" s="6" t="s">
        <v>141</v>
      </c>
      <c r="AC281" s="6"/>
      <c r="AD281" s="6"/>
      <c r="AE281" s="6"/>
      <c r="AF281" s="6"/>
      <c r="AG281" s="6"/>
      <c r="AH281" s="6"/>
      <c r="AI281" s="6" t="s">
        <v>3244</v>
      </c>
    </row>
    <row r="282" customFormat="false" ht="15" hidden="false" customHeight="true" outlineLevel="0" collapsed="false">
      <c r="A282" s="6" t="s">
        <v>3245</v>
      </c>
      <c r="B282" s="6" t="s">
        <v>3246</v>
      </c>
      <c r="C282" s="7" t="s">
        <v>4</v>
      </c>
      <c r="D282" s="6" t="s">
        <v>88</v>
      </c>
      <c r="E282" s="6" t="s">
        <v>2937</v>
      </c>
      <c r="F282" s="6" t="s">
        <v>3247</v>
      </c>
      <c r="G282" s="6" t="s">
        <v>3248</v>
      </c>
      <c r="H282" s="6" t="s">
        <v>3249</v>
      </c>
      <c r="I282" s="6" t="s">
        <v>274</v>
      </c>
      <c r="J282" s="6"/>
      <c r="K282" s="6" t="s">
        <v>60</v>
      </c>
      <c r="L282" s="6" t="s">
        <v>61</v>
      </c>
      <c r="M282" s="6" t="s">
        <v>3250</v>
      </c>
      <c r="N282" s="6" t="s">
        <v>3251</v>
      </c>
      <c r="O282" s="8" t="s">
        <v>3252</v>
      </c>
      <c r="P282" s="6" t="n">
        <f aca="false">IF(O282="","",VALUE(LEFT(O282,4)))</f>
        <v>1816</v>
      </c>
      <c r="Q282" s="6" t="s">
        <v>3253</v>
      </c>
      <c r="R282" s="6" t="s">
        <v>1068</v>
      </c>
      <c r="S282" s="6" t="s">
        <v>447</v>
      </c>
      <c r="T282" s="6" t="s">
        <v>3254</v>
      </c>
      <c r="U282" s="6" t="s">
        <v>69</v>
      </c>
      <c r="V282" s="6" t="s">
        <v>3255</v>
      </c>
      <c r="W282" s="6" t="str">
        <f aca="false">IF(O282="","",INDEX(Lookups!$B$2:$B$282,MATCH(O282,Lookups!$A$2:$A$282,1)))</f>
        <v>Sidmouth</v>
      </c>
      <c r="X282" s="6" t="s">
        <v>206</v>
      </c>
      <c r="Y282" s="6" t="s">
        <v>14</v>
      </c>
      <c r="Z282" s="6" t="s">
        <v>72</v>
      </c>
      <c r="AA282" s="6" t="s">
        <v>3256</v>
      </c>
      <c r="AB282" s="6" t="s">
        <v>55</v>
      </c>
      <c r="AC282" s="6" t="s">
        <v>3257</v>
      </c>
      <c r="AD282" s="6" t="s">
        <v>106</v>
      </c>
      <c r="AE282" s="6" t="s">
        <v>3258</v>
      </c>
      <c r="AF282" s="6"/>
      <c r="AG282" s="6" t="s">
        <v>3259</v>
      </c>
      <c r="AH282" s="6"/>
      <c r="AI282" s="6" t="s">
        <v>3260</v>
      </c>
    </row>
    <row r="283" customFormat="false" ht="15" hidden="false" customHeight="true" outlineLevel="0" collapsed="false">
      <c r="A283" s="6" t="s">
        <v>3261</v>
      </c>
      <c r="B283" s="6" t="s">
        <v>1187</v>
      </c>
      <c r="C283" s="7" t="s">
        <v>4</v>
      </c>
      <c r="D283" s="6" t="s">
        <v>88</v>
      </c>
      <c r="E283" s="6" t="s">
        <v>2937</v>
      </c>
      <c r="F283" s="6" t="s">
        <v>3262</v>
      </c>
      <c r="G283" s="6" t="s">
        <v>414</v>
      </c>
      <c r="H283" s="6" t="s">
        <v>1752</v>
      </c>
      <c r="I283" s="6" t="s">
        <v>274</v>
      </c>
      <c r="J283" s="6"/>
      <c r="K283" s="6" t="s">
        <v>60</v>
      </c>
      <c r="L283" s="6" t="s">
        <v>61</v>
      </c>
      <c r="M283" s="6" t="s">
        <v>3263</v>
      </c>
      <c r="N283" s="6" t="s">
        <v>3264</v>
      </c>
      <c r="O283" s="8" t="s">
        <v>3252</v>
      </c>
      <c r="P283" s="6" t="n">
        <f aca="false">IF(O283="","",VALUE(LEFT(O283,4)))</f>
        <v>1816</v>
      </c>
      <c r="Q283" s="6" t="s">
        <v>3265</v>
      </c>
      <c r="R283" s="6" t="s">
        <v>3266</v>
      </c>
      <c r="S283" s="6" t="s">
        <v>813</v>
      </c>
      <c r="T283" s="6" t="s">
        <v>3267</v>
      </c>
      <c r="U283" s="6" t="s">
        <v>69</v>
      </c>
      <c r="V283" s="6" t="s">
        <v>2921</v>
      </c>
      <c r="W283" s="6" t="str">
        <f aca="false">IF(O283="","",INDEX(Lookups!$B$2:$B$283,MATCH(O283,Lookups!$A$2:$A$283,1)))</f>
        <v>Sidmouth</v>
      </c>
      <c r="X283" s="6" t="s">
        <v>103</v>
      </c>
      <c r="Y283" s="6" t="s">
        <v>14</v>
      </c>
      <c r="Z283" s="6" t="s">
        <v>88</v>
      </c>
      <c r="AA283" s="6" t="s">
        <v>3268</v>
      </c>
      <c r="AB283" s="6" t="s">
        <v>88</v>
      </c>
      <c r="AC283" s="6"/>
      <c r="AD283" s="6" t="s">
        <v>73</v>
      </c>
      <c r="AE283" s="6" t="s">
        <v>3269</v>
      </c>
      <c r="AF283" s="6"/>
      <c r="AG283" s="6" t="s">
        <v>3270</v>
      </c>
      <c r="AH283" s="6"/>
      <c r="AI283" s="6" t="s">
        <v>3271</v>
      </c>
    </row>
    <row r="284" customFormat="false" ht="15" hidden="false" customHeight="true" outlineLevel="0" collapsed="false">
      <c r="A284" s="6" t="s">
        <v>3272</v>
      </c>
      <c r="B284" s="6" t="s">
        <v>3273</v>
      </c>
      <c r="C284" s="7" t="s">
        <v>4</v>
      </c>
      <c r="D284" s="6" t="s">
        <v>88</v>
      </c>
      <c r="E284" s="6" t="s">
        <v>2937</v>
      </c>
      <c r="F284" s="6" t="s">
        <v>3262</v>
      </c>
      <c r="G284" s="6" t="s">
        <v>3274</v>
      </c>
      <c r="H284" s="6" t="s">
        <v>3275</v>
      </c>
      <c r="I284" s="6" t="s">
        <v>274</v>
      </c>
      <c r="J284" s="6"/>
      <c r="K284" s="6" t="s">
        <v>60</v>
      </c>
      <c r="L284" s="6" t="s">
        <v>61</v>
      </c>
      <c r="M284" s="6" t="s">
        <v>3276</v>
      </c>
      <c r="N284" s="6" t="s">
        <v>3277</v>
      </c>
      <c r="O284" s="8" t="s">
        <v>3252</v>
      </c>
      <c r="P284" s="6" t="n">
        <f aca="false">IF(O284="","",VALUE(LEFT(O284,4)))</f>
        <v>1816</v>
      </c>
      <c r="Q284" s="6" t="s">
        <v>3278</v>
      </c>
      <c r="R284" s="6" t="s">
        <v>3278</v>
      </c>
      <c r="S284" s="6" t="s">
        <v>3279</v>
      </c>
      <c r="T284" s="6" t="s">
        <v>3280</v>
      </c>
      <c r="U284" s="6" t="s">
        <v>217</v>
      </c>
      <c r="V284" s="6" t="s">
        <v>2921</v>
      </c>
      <c r="W284" s="6" t="str">
        <f aca="false">IF(O284="","",INDEX(Lookups!$B$2:$B$284,MATCH(O284,Lookups!$A$2:$A$284,1)))</f>
        <v>Sidmouth</v>
      </c>
      <c r="X284" s="6" t="s">
        <v>124</v>
      </c>
      <c r="Y284" s="6" t="s">
        <v>14</v>
      </c>
      <c r="Z284" s="6" t="s">
        <v>72</v>
      </c>
      <c r="AA284" s="6" t="s">
        <v>3281</v>
      </c>
      <c r="AB284" s="6" t="s">
        <v>55</v>
      </c>
      <c r="AC284" s="6"/>
      <c r="AD284" s="6" t="s">
        <v>736</v>
      </c>
      <c r="AE284" s="6"/>
      <c r="AF284" s="6"/>
      <c r="AG284" s="6"/>
      <c r="AH284" s="6"/>
      <c r="AI284" s="6" t="s">
        <v>3282</v>
      </c>
    </row>
    <row r="285" customFormat="false" ht="15" hidden="false" customHeight="true" outlineLevel="0" collapsed="false">
      <c r="A285" s="6" t="s">
        <v>3283</v>
      </c>
      <c r="B285" s="6" t="s">
        <v>3284</v>
      </c>
      <c r="C285" s="12" t="s">
        <v>9</v>
      </c>
      <c r="D285" s="6" t="s">
        <v>88</v>
      </c>
      <c r="E285" s="6" t="s">
        <v>2937</v>
      </c>
      <c r="F285" s="6" t="s">
        <v>3262</v>
      </c>
      <c r="G285" s="6" t="s">
        <v>1751</v>
      </c>
      <c r="H285" s="6" t="s">
        <v>3285</v>
      </c>
      <c r="I285" s="6" t="s">
        <v>274</v>
      </c>
      <c r="J285" s="6"/>
      <c r="K285" s="6" t="s">
        <v>60</v>
      </c>
      <c r="L285" s="6" t="s">
        <v>61</v>
      </c>
      <c r="M285" s="6" t="s">
        <v>3286</v>
      </c>
      <c r="N285" s="6" t="s">
        <v>3287</v>
      </c>
      <c r="O285" s="8" t="s">
        <v>3258</v>
      </c>
      <c r="P285" s="6" t="n">
        <f aca="false">IF(O285="","",VALUE(LEFT(O285,4)))</f>
        <v>1816</v>
      </c>
      <c r="Q285" s="6" t="s">
        <v>3288</v>
      </c>
      <c r="R285" s="6" t="s">
        <v>3289</v>
      </c>
      <c r="S285" s="6" t="s">
        <v>705</v>
      </c>
      <c r="T285" s="6" t="s">
        <v>3290</v>
      </c>
      <c r="U285" s="6" t="s">
        <v>69</v>
      </c>
      <c r="V285" s="6" t="s">
        <v>2921</v>
      </c>
      <c r="W285" s="6" t="str">
        <f aca="false">IF(O285="","",INDEX(Lookups!$B$2:$B$285,MATCH(O285,Lookups!$A$2:$A$285,1)))</f>
        <v>Sidmouth</v>
      </c>
      <c r="X285" s="6" t="s">
        <v>124</v>
      </c>
      <c r="Y285" s="6" t="s">
        <v>14</v>
      </c>
      <c r="Z285" s="6" t="s">
        <v>55</v>
      </c>
      <c r="AA285" s="6" t="s">
        <v>3291</v>
      </c>
      <c r="AB285" s="6" t="s">
        <v>72</v>
      </c>
      <c r="AC285" s="6"/>
      <c r="AD285" s="6" t="s">
        <v>736</v>
      </c>
      <c r="AE285" s="6"/>
      <c r="AF285" s="6"/>
      <c r="AG285" s="6"/>
      <c r="AH285" s="6"/>
      <c r="AI285" s="6" t="s">
        <v>3292</v>
      </c>
    </row>
    <row r="286" customFormat="false" ht="15" hidden="false" customHeight="true" outlineLevel="0" collapsed="false">
      <c r="A286" s="6" t="s">
        <v>3293</v>
      </c>
      <c r="B286" s="6" t="s">
        <v>1175</v>
      </c>
      <c r="C286" s="7" t="s">
        <v>4</v>
      </c>
      <c r="D286" s="6" t="s">
        <v>88</v>
      </c>
      <c r="E286" s="6" t="s">
        <v>2937</v>
      </c>
      <c r="F286" s="6" t="s">
        <v>3247</v>
      </c>
      <c r="G286" s="6" t="s">
        <v>882</v>
      </c>
      <c r="H286" s="6" t="s">
        <v>3294</v>
      </c>
      <c r="I286" s="6" t="s">
        <v>274</v>
      </c>
      <c r="J286" s="6"/>
      <c r="K286" s="6" t="s">
        <v>60</v>
      </c>
      <c r="L286" s="6" t="s">
        <v>61</v>
      </c>
      <c r="M286" s="6" t="s">
        <v>3295</v>
      </c>
      <c r="N286" s="6" t="s">
        <v>3296</v>
      </c>
      <c r="O286" s="8" t="s">
        <v>3297</v>
      </c>
      <c r="P286" s="6" t="n">
        <f aca="false">IF(O286="","",VALUE(LEFT(O286,4)))</f>
        <v>1816</v>
      </c>
      <c r="Q286" s="6" t="s">
        <v>3298</v>
      </c>
      <c r="R286" s="6" t="s">
        <v>1182</v>
      </c>
      <c r="S286" s="6" t="s">
        <v>304</v>
      </c>
      <c r="T286" s="6" t="s">
        <v>3299</v>
      </c>
      <c r="U286" s="6" t="s">
        <v>69</v>
      </c>
      <c r="V286" s="6" t="s">
        <v>3300</v>
      </c>
      <c r="W286" s="6" t="str">
        <f aca="false">IF(O286="","",INDEX(Lookups!$B$2:$B$286,MATCH(O286,Lookups!$A$2:$A$286,1)))</f>
        <v>Sidmouth</v>
      </c>
      <c r="X286" s="6" t="s">
        <v>103</v>
      </c>
      <c r="Y286" s="6" t="s">
        <v>14</v>
      </c>
      <c r="Z286" s="6" t="s">
        <v>88</v>
      </c>
      <c r="AA286" s="6" t="s">
        <v>3301</v>
      </c>
      <c r="AB286" s="6" t="s">
        <v>88</v>
      </c>
      <c r="AC286" s="6"/>
      <c r="AD286" s="6" t="s">
        <v>736</v>
      </c>
      <c r="AE286" s="6"/>
      <c r="AF286" s="6"/>
      <c r="AG286" s="6"/>
      <c r="AH286" s="6"/>
      <c r="AI286" s="6" t="s">
        <v>3302</v>
      </c>
    </row>
    <row r="287" customFormat="false" ht="15" hidden="false" customHeight="true" outlineLevel="0" collapsed="false">
      <c r="A287" s="6" t="s">
        <v>3303</v>
      </c>
      <c r="B287" s="6" t="s">
        <v>3304</v>
      </c>
      <c r="C287" s="7" t="s">
        <v>4</v>
      </c>
      <c r="D287" s="6" t="s">
        <v>88</v>
      </c>
      <c r="E287" s="6" t="s">
        <v>2937</v>
      </c>
      <c r="F287" s="6" t="s">
        <v>3262</v>
      </c>
      <c r="G287" s="6" t="s">
        <v>3305</v>
      </c>
      <c r="H287" s="6" t="s">
        <v>3306</v>
      </c>
      <c r="I287" s="6" t="s">
        <v>274</v>
      </c>
      <c r="J287" s="6"/>
      <c r="K287" s="6" t="s">
        <v>60</v>
      </c>
      <c r="L287" s="6" t="s">
        <v>61</v>
      </c>
      <c r="M287" s="6" t="s">
        <v>3307</v>
      </c>
      <c r="N287" s="6" t="s">
        <v>3308</v>
      </c>
      <c r="O287" s="8" t="s">
        <v>3309</v>
      </c>
      <c r="P287" s="6" t="n">
        <f aca="false">IF(O287="","",VALUE(LEFT(O287,4)))</f>
        <v>1816</v>
      </c>
      <c r="Q287" s="6" t="s">
        <v>3310</v>
      </c>
      <c r="R287" s="6" t="s">
        <v>3311</v>
      </c>
      <c r="S287" s="6" t="s">
        <v>674</v>
      </c>
      <c r="T287" s="6" t="s">
        <v>3312</v>
      </c>
      <c r="U287" s="6" t="s">
        <v>69</v>
      </c>
      <c r="V287" s="6" t="s">
        <v>2921</v>
      </c>
      <c r="W287" s="6" t="str">
        <f aca="false">IF(O287="","",INDEX(Lookups!$B$2:$B$287,MATCH(O287,Lookups!$A$2:$A$287,1)))</f>
        <v>Sidmouth</v>
      </c>
      <c r="X287" s="6" t="s">
        <v>206</v>
      </c>
      <c r="Y287" s="6" t="s">
        <v>16</v>
      </c>
      <c r="Z287" s="6" t="s">
        <v>72</v>
      </c>
      <c r="AA287" s="6" t="s">
        <v>3313</v>
      </c>
      <c r="AB287" s="6" t="s">
        <v>88</v>
      </c>
      <c r="AC287" s="6" t="s">
        <v>3314</v>
      </c>
      <c r="AD287" s="6" t="s">
        <v>106</v>
      </c>
      <c r="AE287" s="6"/>
      <c r="AF287" s="6"/>
      <c r="AG287" s="6"/>
      <c r="AH287" s="6"/>
      <c r="AI287" s="6" t="s">
        <v>3315</v>
      </c>
    </row>
    <row r="288" customFormat="false" ht="15" hidden="false" customHeight="true" outlineLevel="0" collapsed="false">
      <c r="A288" s="6" t="s">
        <v>3316</v>
      </c>
      <c r="B288" s="6" t="s">
        <v>3317</v>
      </c>
      <c r="C288" s="7" t="s">
        <v>4</v>
      </c>
      <c r="D288" s="6" t="s">
        <v>88</v>
      </c>
      <c r="E288" s="6" t="s">
        <v>2937</v>
      </c>
      <c r="F288" s="6" t="s">
        <v>3262</v>
      </c>
      <c r="G288" s="6" t="s">
        <v>3032</v>
      </c>
      <c r="H288" s="6" t="s">
        <v>3318</v>
      </c>
      <c r="I288" s="6" t="s">
        <v>274</v>
      </c>
      <c r="J288" s="6"/>
      <c r="K288" s="6" t="s">
        <v>60</v>
      </c>
      <c r="L288" s="6" t="s">
        <v>61</v>
      </c>
      <c r="M288" s="6" t="s">
        <v>3319</v>
      </c>
      <c r="N288" s="6" t="s">
        <v>3320</v>
      </c>
      <c r="O288" s="8" t="s">
        <v>3309</v>
      </c>
      <c r="P288" s="6" t="n">
        <f aca="false">IF(O288="","",VALUE(LEFT(O288,4)))</f>
        <v>1816</v>
      </c>
      <c r="Q288" s="6" t="s">
        <v>3321</v>
      </c>
      <c r="R288" s="6" t="s">
        <v>3322</v>
      </c>
      <c r="S288" s="6" t="s">
        <v>3323</v>
      </c>
      <c r="T288" s="6" t="s">
        <v>3324</v>
      </c>
      <c r="U288" s="6" t="s">
        <v>217</v>
      </c>
      <c r="V288" s="6" t="s">
        <v>2921</v>
      </c>
      <c r="W288" s="6" t="str">
        <f aca="false">IF(O288="","",INDEX(Lookups!$B$2:$B$288,MATCH(O288,Lookups!$A$2:$A$288,1)))</f>
        <v>Sidmouth</v>
      </c>
      <c r="X288" s="6" t="s">
        <v>124</v>
      </c>
      <c r="Y288" s="6" t="s">
        <v>14</v>
      </c>
      <c r="Z288" s="6" t="s">
        <v>55</v>
      </c>
      <c r="AA288" s="6" t="s">
        <v>3325</v>
      </c>
      <c r="AB288" s="6" t="s">
        <v>72</v>
      </c>
      <c r="AC288" s="6" t="s">
        <v>3326</v>
      </c>
      <c r="AD288" s="6" t="s">
        <v>736</v>
      </c>
      <c r="AE288" s="6" t="s">
        <v>3327</v>
      </c>
      <c r="AF288" s="6"/>
      <c r="AG288" s="6" t="s">
        <v>707</v>
      </c>
      <c r="AH288" s="6"/>
      <c r="AI288" s="6" t="s">
        <v>3328</v>
      </c>
    </row>
    <row r="289" customFormat="false" ht="15" hidden="false" customHeight="true" outlineLevel="0" collapsed="false">
      <c r="A289" s="6" t="s">
        <v>3329</v>
      </c>
      <c r="B289" s="6" t="s">
        <v>3078</v>
      </c>
      <c r="C289" s="7" t="s">
        <v>4</v>
      </c>
      <c r="D289" s="6" t="s">
        <v>88</v>
      </c>
      <c r="E289" s="6" t="s">
        <v>2937</v>
      </c>
      <c r="F289" s="6" t="s">
        <v>3262</v>
      </c>
      <c r="G289" s="6" t="s">
        <v>1763</v>
      </c>
      <c r="H289" s="6" t="s">
        <v>3330</v>
      </c>
      <c r="I289" s="6" t="s">
        <v>274</v>
      </c>
      <c r="J289" s="6"/>
      <c r="K289" s="6" t="s">
        <v>60</v>
      </c>
      <c r="L289" s="6" t="s">
        <v>61</v>
      </c>
      <c r="M289" s="6" t="s">
        <v>3331</v>
      </c>
      <c r="N289" s="6" t="s">
        <v>3332</v>
      </c>
      <c r="O289" s="8" t="s">
        <v>3269</v>
      </c>
      <c r="P289" s="6" t="n">
        <f aca="false">IF(O289="","",VALUE(LEFT(O289,4)))</f>
        <v>1816</v>
      </c>
      <c r="Q289" s="6" t="s">
        <v>3333</v>
      </c>
      <c r="R289" s="6" t="s">
        <v>1414</v>
      </c>
      <c r="S289" s="6" t="s">
        <v>705</v>
      </c>
      <c r="T289" s="6" t="s">
        <v>3334</v>
      </c>
      <c r="U289" s="6" t="s">
        <v>69</v>
      </c>
      <c r="V289" s="6" t="s">
        <v>3335</v>
      </c>
      <c r="W289" s="6" t="str">
        <f aca="false">IF(O289="","",INDEX(Lookups!$B$2:$B$289,MATCH(O289,Lookups!$A$2:$A$289,1)))</f>
        <v>Sidmouth</v>
      </c>
      <c r="X289" s="6" t="s">
        <v>103</v>
      </c>
      <c r="Y289" s="6" t="s">
        <v>14</v>
      </c>
      <c r="Z289" s="6" t="s">
        <v>88</v>
      </c>
      <c r="AA289" s="6" t="s">
        <v>3336</v>
      </c>
      <c r="AB289" s="6" t="s">
        <v>88</v>
      </c>
      <c r="AC289" s="6" t="s">
        <v>3337</v>
      </c>
      <c r="AD289" s="6" t="s">
        <v>434</v>
      </c>
      <c r="AE289" s="6" t="s">
        <v>3269</v>
      </c>
      <c r="AF289" s="6"/>
      <c r="AG289" s="6" t="s">
        <v>3338</v>
      </c>
      <c r="AH289" s="6"/>
      <c r="AI289" s="6" t="s">
        <v>3339</v>
      </c>
    </row>
    <row r="290" customFormat="false" ht="15" hidden="false" customHeight="true" outlineLevel="0" collapsed="false">
      <c r="A290" s="6" t="s">
        <v>3340</v>
      </c>
      <c r="B290" s="6" t="s">
        <v>3090</v>
      </c>
      <c r="C290" s="7" t="s">
        <v>4</v>
      </c>
      <c r="D290" s="6" t="s">
        <v>88</v>
      </c>
      <c r="E290" s="6" t="s">
        <v>2937</v>
      </c>
      <c r="F290" s="6" t="s">
        <v>3262</v>
      </c>
      <c r="G290" s="6" t="s">
        <v>286</v>
      </c>
      <c r="H290" s="6" t="s">
        <v>3341</v>
      </c>
      <c r="I290" s="6" t="s">
        <v>274</v>
      </c>
      <c r="J290" s="6"/>
      <c r="K290" s="6" t="s">
        <v>60</v>
      </c>
      <c r="L290" s="6" t="s">
        <v>61</v>
      </c>
      <c r="M290" s="6" t="s">
        <v>3342</v>
      </c>
      <c r="N290" s="6" t="s">
        <v>3343</v>
      </c>
      <c r="O290" s="8" t="s">
        <v>3344</v>
      </c>
      <c r="P290" s="6" t="n">
        <f aca="false">IF(O290="","",VALUE(LEFT(O290,4)))</f>
        <v>1816</v>
      </c>
      <c r="Q290" s="6" t="s">
        <v>901</v>
      </c>
      <c r="R290" s="6" t="s">
        <v>901</v>
      </c>
      <c r="S290" s="6" t="s">
        <v>3096</v>
      </c>
      <c r="T290" s="6" t="s">
        <v>3345</v>
      </c>
      <c r="U290" s="6" t="s">
        <v>69</v>
      </c>
      <c r="V290" s="6" t="s">
        <v>2921</v>
      </c>
      <c r="W290" s="6" t="str">
        <f aca="false">IF(O290="","",INDEX(Lookups!$B$2:$B$290,MATCH(O290,Lookups!$A$2:$A$290,1)))</f>
        <v>Sidmouth</v>
      </c>
      <c r="X290" s="6" t="s">
        <v>103</v>
      </c>
      <c r="Y290" s="6" t="s">
        <v>14</v>
      </c>
      <c r="Z290" s="6" t="s">
        <v>72</v>
      </c>
      <c r="AA290" s="6" t="s">
        <v>3346</v>
      </c>
      <c r="AB290" s="6" t="s">
        <v>88</v>
      </c>
      <c r="AC290" s="6" t="s">
        <v>3347</v>
      </c>
      <c r="AD290" s="6" t="s">
        <v>1518</v>
      </c>
      <c r="AE290" s="6" t="s">
        <v>3348</v>
      </c>
      <c r="AF290" s="6"/>
      <c r="AG290" s="6" t="s">
        <v>3338</v>
      </c>
      <c r="AH290" s="6"/>
      <c r="AI290" s="6" t="s">
        <v>3349</v>
      </c>
    </row>
    <row r="291" customFormat="false" ht="15" hidden="false" customHeight="true" outlineLevel="0" collapsed="false">
      <c r="A291" s="6" t="s">
        <v>3350</v>
      </c>
      <c r="B291" s="6" t="s">
        <v>1175</v>
      </c>
      <c r="C291" s="7" t="s">
        <v>4</v>
      </c>
      <c r="D291" s="6" t="s">
        <v>88</v>
      </c>
      <c r="E291" s="6" t="s">
        <v>2937</v>
      </c>
      <c r="F291" s="6" t="s">
        <v>2938</v>
      </c>
      <c r="G291" s="6" t="s">
        <v>3351</v>
      </c>
      <c r="H291" s="6" t="s">
        <v>1523</v>
      </c>
      <c r="I291" s="6" t="s">
        <v>274</v>
      </c>
      <c r="J291" s="6"/>
      <c r="K291" s="6" t="s">
        <v>60</v>
      </c>
      <c r="L291" s="6" t="s">
        <v>61</v>
      </c>
      <c r="M291" s="6" t="s">
        <v>3352</v>
      </c>
      <c r="N291" s="6" t="s">
        <v>3353</v>
      </c>
      <c r="O291" s="8" t="s">
        <v>3327</v>
      </c>
      <c r="P291" s="6" t="n">
        <f aca="false">IF(O291="","",VALUE(LEFT(O291,4)))</f>
        <v>1816</v>
      </c>
      <c r="Q291" s="6" t="s">
        <v>3354</v>
      </c>
      <c r="R291" s="6" t="s">
        <v>1182</v>
      </c>
      <c r="S291" s="6" t="s">
        <v>304</v>
      </c>
      <c r="T291" s="6" t="s">
        <v>3355</v>
      </c>
      <c r="U291" s="6" t="s">
        <v>279</v>
      </c>
      <c r="V291" s="6" t="s">
        <v>3356</v>
      </c>
      <c r="W291" s="6" t="str">
        <f aca="false">IF(O291="","",INDEX(Lookups!$B$2:$B$291,MATCH(O291,Lookups!$A$2:$A$291,1)))</f>
        <v>Sidmouth</v>
      </c>
      <c r="X291" s="6" t="s">
        <v>103</v>
      </c>
      <c r="Y291" s="6" t="s">
        <v>14</v>
      </c>
      <c r="Z291" s="6" t="s">
        <v>72</v>
      </c>
      <c r="AA291" s="6" t="s">
        <v>3357</v>
      </c>
      <c r="AB291" s="6" t="s">
        <v>88</v>
      </c>
      <c r="AC291" s="6"/>
      <c r="AD291" s="6" t="s">
        <v>736</v>
      </c>
      <c r="AE291" s="6" t="s">
        <v>3358</v>
      </c>
      <c r="AF291" s="6"/>
      <c r="AG291" s="6" t="s">
        <v>3359</v>
      </c>
      <c r="AH291" s="6"/>
      <c r="AI291" s="6" t="s">
        <v>3360</v>
      </c>
    </row>
    <row r="292" customFormat="false" ht="15" hidden="false" customHeight="true" outlineLevel="0" collapsed="false">
      <c r="A292" s="6" t="s">
        <v>3361</v>
      </c>
      <c r="B292" s="6" t="s">
        <v>3362</v>
      </c>
      <c r="C292" s="7" t="s">
        <v>4</v>
      </c>
      <c r="D292" s="6" t="s">
        <v>88</v>
      </c>
      <c r="E292" s="6" t="s">
        <v>2937</v>
      </c>
      <c r="F292" s="6" t="s">
        <v>3363</v>
      </c>
      <c r="G292" s="6" t="s">
        <v>3364</v>
      </c>
      <c r="H292" s="6" t="s">
        <v>3365</v>
      </c>
      <c r="I292" s="6" t="s">
        <v>274</v>
      </c>
      <c r="J292" s="6"/>
      <c r="K292" s="6" t="s">
        <v>60</v>
      </c>
      <c r="L292" s="6" t="s">
        <v>61</v>
      </c>
      <c r="M292" s="6" t="s">
        <v>3366</v>
      </c>
      <c r="N292" s="6" t="s">
        <v>3367</v>
      </c>
      <c r="O292" s="8" t="s">
        <v>3327</v>
      </c>
      <c r="P292" s="6" t="n">
        <f aca="false">IF(O292="","",VALUE(LEFT(O292,4)))</f>
        <v>1816</v>
      </c>
      <c r="Q292" s="6" t="s">
        <v>3368</v>
      </c>
      <c r="R292" s="6" t="s">
        <v>3369</v>
      </c>
      <c r="S292" s="6" t="s">
        <v>304</v>
      </c>
      <c r="T292" s="6" t="s">
        <v>3370</v>
      </c>
      <c r="U292" s="6" t="s">
        <v>69</v>
      </c>
      <c r="V292" s="6" t="s">
        <v>3371</v>
      </c>
      <c r="W292" s="6" t="str">
        <f aca="false">IF(O292="","",INDEX(Lookups!$B$2:$B$292,MATCH(O292,Lookups!$A$2:$A$292,1)))</f>
        <v>Sidmouth</v>
      </c>
      <c r="X292" s="6" t="s">
        <v>103</v>
      </c>
      <c r="Y292" s="6" t="s">
        <v>14</v>
      </c>
      <c r="Z292" s="6" t="s">
        <v>88</v>
      </c>
      <c r="AA292" s="6" t="s">
        <v>3372</v>
      </c>
      <c r="AB292" s="6" t="s">
        <v>55</v>
      </c>
      <c r="AC292" s="6" t="s">
        <v>3373</v>
      </c>
      <c r="AD292" s="6" t="s">
        <v>106</v>
      </c>
      <c r="AE292" s="6" t="s">
        <v>3327</v>
      </c>
      <c r="AF292" s="6"/>
      <c r="AG292" s="6" t="s">
        <v>3374</v>
      </c>
      <c r="AH292" s="6"/>
      <c r="AI292" s="6" t="s">
        <v>3375</v>
      </c>
    </row>
    <row r="293" customFormat="false" ht="15" hidden="false" customHeight="true" outlineLevel="0" collapsed="false">
      <c r="A293" s="6" t="s">
        <v>3376</v>
      </c>
      <c r="B293" s="6" t="s">
        <v>3377</v>
      </c>
      <c r="C293" s="7" t="s">
        <v>4</v>
      </c>
      <c r="D293" s="6" t="s">
        <v>88</v>
      </c>
      <c r="E293" s="6" t="s">
        <v>2937</v>
      </c>
      <c r="F293" s="6" t="s">
        <v>3378</v>
      </c>
      <c r="G293" s="6" t="s">
        <v>1688</v>
      </c>
      <c r="H293" s="6" t="s">
        <v>1127</v>
      </c>
      <c r="I293" s="6" t="s">
        <v>274</v>
      </c>
      <c r="J293" s="6"/>
      <c r="K293" s="6" t="s">
        <v>60</v>
      </c>
      <c r="L293" s="6" t="s">
        <v>61</v>
      </c>
      <c r="M293" s="6" t="s">
        <v>3379</v>
      </c>
      <c r="N293" s="6" t="s">
        <v>3380</v>
      </c>
      <c r="O293" s="8" t="s">
        <v>3381</v>
      </c>
      <c r="P293" s="6" t="n">
        <f aca="false">IF(O293="","",VALUE(LEFT(O293,4)))</f>
        <v>1816</v>
      </c>
      <c r="Q293" s="6" t="s">
        <v>3382</v>
      </c>
      <c r="R293" s="6" t="s">
        <v>552</v>
      </c>
      <c r="S293" s="6" t="s">
        <v>553</v>
      </c>
      <c r="T293" s="6" t="s">
        <v>3383</v>
      </c>
      <c r="U293" s="6" t="s">
        <v>85</v>
      </c>
      <c r="V293" s="6" t="s">
        <v>3384</v>
      </c>
      <c r="W293" s="6" t="str">
        <f aca="false">IF(O293="","",INDEX(Lookups!$B$2:$B$293,MATCH(O293,Lookups!$A$2:$A$293,1)))</f>
        <v>Sidmouth</v>
      </c>
      <c r="X293" s="6" t="s">
        <v>70</v>
      </c>
      <c r="Y293" s="6" t="s">
        <v>14</v>
      </c>
      <c r="Z293" s="6" t="s">
        <v>72</v>
      </c>
      <c r="AA293" s="6" t="s">
        <v>3385</v>
      </c>
      <c r="AB293" s="6" t="s">
        <v>88</v>
      </c>
      <c r="AC293" s="6"/>
      <c r="AD293" s="6" t="s">
        <v>736</v>
      </c>
      <c r="AE293" s="6"/>
      <c r="AF293" s="6"/>
      <c r="AG293" s="6"/>
      <c r="AH293" s="6"/>
      <c r="AI293" s="6" t="s">
        <v>3386</v>
      </c>
    </row>
    <row r="294" customFormat="false" ht="15" hidden="false" customHeight="true" outlineLevel="0" collapsed="false">
      <c r="A294" s="6" t="s">
        <v>3387</v>
      </c>
      <c r="B294" s="6" t="s">
        <v>3090</v>
      </c>
      <c r="C294" s="7" t="s">
        <v>4</v>
      </c>
      <c r="D294" s="6" t="s">
        <v>88</v>
      </c>
      <c r="E294" s="6" t="s">
        <v>2937</v>
      </c>
      <c r="F294" s="6" t="s">
        <v>3247</v>
      </c>
      <c r="G294" s="6" t="s">
        <v>3388</v>
      </c>
      <c r="H294" s="6" t="s">
        <v>3389</v>
      </c>
      <c r="I294" s="6" t="s">
        <v>274</v>
      </c>
      <c r="J294" s="6"/>
      <c r="K294" s="6" t="s">
        <v>60</v>
      </c>
      <c r="L294" s="6" t="s">
        <v>61</v>
      </c>
      <c r="M294" s="6" t="s">
        <v>3390</v>
      </c>
      <c r="N294" s="6" t="s">
        <v>3391</v>
      </c>
      <c r="O294" s="8" t="s">
        <v>3358</v>
      </c>
      <c r="P294" s="6" t="n">
        <f aca="false">IF(O294="","",VALUE(LEFT(O294,4)))</f>
        <v>1816</v>
      </c>
      <c r="Q294" s="6" t="s">
        <v>3117</v>
      </c>
      <c r="R294" s="6" t="s">
        <v>901</v>
      </c>
      <c r="S294" s="6" t="s">
        <v>3096</v>
      </c>
      <c r="T294" s="6" t="s">
        <v>3392</v>
      </c>
      <c r="U294" s="6" t="s">
        <v>69</v>
      </c>
      <c r="V294" s="6" t="s">
        <v>2921</v>
      </c>
      <c r="W294" s="6" t="str">
        <f aca="false">IF(O294="","",INDEX(Lookups!$B$2:$B$294,MATCH(O294,Lookups!$A$2:$A$294,1)))</f>
        <v>Sidmouth</v>
      </c>
      <c r="X294" s="6" t="s">
        <v>103</v>
      </c>
      <c r="Y294" s="6" t="s">
        <v>15</v>
      </c>
      <c r="Z294" s="6" t="s">
        <v>55</v>
      </c>
      <c r="AA294" s="6" t="s">
        <v>3393</v>
      </c>
      <c r="AB294" s="6" t="s">
        <v>88</v>
      </c>
      <c r="AC294" s="6"/>
      <c r="AD294" s="6" t="s">
        <v>736</v>
      </c>
      <c r="AE294" s="6"/>
      <c r="AF294" s="6"/>
      <c r="AG294" s="6"/>
      <c r="AH294" s="6"/>
      <c r="AI294" s="6" t="s">
        <v>3394</v>
      </c>
    </row>
    <row r="295" customFormat="false" ht="15" hidden="false" customHeight="true" outlineLevel="0" collapsed="false">
      <c r="A295" s="6" t="s">
        <v>3395</v>
      </c>
      <c r="B295" s="6" t="s">
        <v>1175</v>
      </c>
      <c r="C295" s="9" t="s">
        <v>5</v>
      </c>
      <c r="D295" s="6" t="s">
        <v>88</v>
      </c>
      <c r="E295" s="6" t="s">
        <v>2937</v>
      </c>
      <c r="F295" s="6" t="s">
        <v>3378</v>
      </c>
      <c r="G295" s="6" t="s">
        <v>2092</v>
      </c>
      <c r="H295" s="6" t="s">
        <v>3396</v>
      </c>
      <c r="I295" s="6" t="s">
        <v>274</v>
      </c>
      <c r="J295" s="6"/>
      <c r="K295" s="6" t="s">
        <v>60</v>
      </c>
      <c r="L295" s="6" t="s">
        <v>61</v>
      </c>
      <c r="M295" s="6" t="s">
        <v>3397</v>
      </c>
      <c r="N295" s="6" t="s">
        <v>3398</v>
      </c>
      <c r="O295" s="8" t="s">
        <v>3399</v>
      </c>
      <c r="P295" s="6" t="n">
        <f aca="false">IF(O295="","",VALUE(LEFT(O295,4)))</f>
        <v>1816</v>
      </c>
      <c r="Q295" s="6" t="s">
        <v>3400</v>
      </c>
      <c r="R295" s="6" t="s">
        <v>1182</v>
      </c>
      <c r="S295" s="6" t="s">
        <v>304</v>
      </c>
      <c r="T295" s="6" t="s">
        <v>3401</v>
      </c>
      <c r="U295" s="6" t="s">
        <v>69</v>
      </c>
      <c r="V295" s="6" t="s">
        <v>3402</v>
      </c>
      <c r="W295" s="6" t="str">
        <f aca="false">IF(O295="","",INDEX(Lookups!$B$2:$B$295,MATCH(O295,Lookups!$A$2:$A$295,1)))</f>
        <v>Sidmouth</v>
      </c>
      <c r="X295" s="6" t="s">
        <v>103</v>
      </c>
      <c r="Y295" s="6" t="s">
        <v>14</v>
      </c>
      <c r="Z295" s="6" t="s">
        <v>72</v>
      </c>
      <c r="AA295" s="6" t="s">
        <v>3403</v>
      </c>
      <c r="AB295" s="6" t="s">
        <v>88</v>
      </c>
      <c r="AC295" s="6"/>
      <c r="AD295" s="6" t="s">
        <v>736</v>
      </c>
      <c r="AE295" s="6"/>
      <c r="AF295" s="6"/>
      <c r="AG295" s="6"/>
      <c r="AH295" s="6"/>
      <c r="AI295" s="6" t="s">
        <v>3404</v>
      </c>
    </row>
    <row r="296" customFormat="false" ht="15" hidden="false" customHeight="true" outlineLevel="0" collapsed="false">
      <c r="A296" s="6" t="s">
        <v>3405</v>
      </c>
      <c r="B296" s="6" t="s">
        <v>3406</v>
      </c>
      <c r="C296" s="7" t="s">
        <v>4</v>
      </c>
      <c r="D296" s="6" t="s">
        <v>88</v>
      </c>
      <c r="E296" s="6" t="s">
        <v>2937</v>
      </c>
      <c r="F296" s="6" t="s">
        <v>3378</v>
      </c>
      <c r="G296" s="6" t="s">
        <v>2625</v>
      </c>
      <c r="H296" s="6" t="s">
        <v>3407</v>
      </c>
      <c r="I296" s="6" t="s">
        <v>274</v>
      </c>
      <c r="J296" s="6"/>
      <c r="K296" s="6" t="s">
        <v>60</v>
      </c>
      <c r="L296" s="6" t="s">
        <v>61</v>
      </c>
      <c r="M296" s="6" t="s">
        <v>3408</v>
      </c>
      <c r="N296" s="6" t="s">
        <v>3409</v>
      </c>
      <c r="O296" s="8" t="s">
        <v>3410</v>
      </c>
      <c r="P296" s="6" t="n">
        <f aca="false">IF(O296="","",VALUE(LEFT(O296,4)))</f>
        <v>1816</v>
      </c>
      <c r="Q296" s="6" t="s">
        <v>505</v>
      </c>
      <c r="R296" s="6" t="s">
        <v>505</v>
      </c>
      <c r="S296" s="6" t="s">
        <v>196</v>
      </c>
      <c r="T296" s="6" t="s">
        <v>3411</v>
      </c>
      <c r="U296" s="6" t="s">
        <v>85</v>
      </c>
      <c r="V296" s="6" t="s">
        <v>2921</v>
      </c>
      <c r="W296" s="6" t="str">
        <f aca="false">IF(O296="","",INDEX(Lookups!$B$2:$B$296,MATCH(O296,Lookups!$A$2:$A$296,1)))</f>
        <v>Sidmouth</v>
      </c>
      <c r="X296" s="6" t="s">
        <v>140</v>
      </c>
      <c r="Y296" s="6" t="s">
        <v>13</v>
      </c>
      <c r="Z296" s="6" t="s">
        <v>88</v>
      </c>
      <c r="AA296" s="6" t="s">
        <v>3412</v>
      </c>
      <c r="AB296" s="6" t="s">
        <v>55</v>
      </c>
      <c r="AC296" s="6" t="s">
        <v>3413</v>
      </c>
      <c r="AD296" s="6" t="s">
        <v>90</v>
      </c>
      <c r="AE296" s="6"/>
      <c r="AF296" s="6"/>
      <c r="AG296" s="6" t="s">
        <v>707</v>
      </c>
      <c r="AH296" s="6"/>
      <c r="AI296" s="6" t="s">
        <v>3414</v>
      </c>
    </row>
    <row r="297" customFormat="false" ht="15" hidden="false" customHeight="true" outlineLevel="0" collapsed="false">
      <c r="A297" s="6" t="s">
        <v>3415</v>
      </c>
      <c r="B297" s="6" t="s">
        <v>3416</v>
      </c>
      <c r="C297" s="7" t="s">
        <v>4</v>
      </c>
      <c r="D297" s="6" t="s">
        <v>88</v>
      </c>
      <c r="E297" s="6" t="s">
        <v>2937</v>
      </c>
      <c r="F297" s="6" t="s">
        <v>3363</v>
      </c>
      <c r="G297" s="6" t="s">
        <v>3417</v>
      </c>
      <c r="H297" s="6" t="s">
        <v>3418</v>
      </c>
      <c r="I297" s="6" t="s">
        <v>274</v>
      </c>
      <c r="J297" s="6"/>
      <c r="K297" s="6" t="s">
        <v>60</v>
      </c>
      <c r="L297" s="6" t="s">
        <v>61</v>
      </c>
      <c r="M297" s="6" t="s">
        <v>3419</v>
      </c>
      <c r="N297" s="6" t="s">
        <v>3420</v>
      </c>
      <c r="O297" s="8" t="s">
        <v>3410</v>
      </c>
      <c r="P297" s="6" t="n">
        <f aca="false">IF(O297="","",VALUE(LEFT(O297,4)))</f>
        <v>1816</v>
      </c>
      <c r="Q297" s="6" t="s">
        <v>3421</v>
      </c>
      <c r="R297" s="6" t="s">
        <v>3422</v>
      </c>
      <c r="S297" s="6" t="s">
        <v>3279</v>
      </c>
      <c r="T297" s="6" t="s">
        <v>3423</v>
      </c>
      <c r="U297" s="6" t="s">
        <v>217</v>
      </c>
      <c r="V297" s="6" t="s">
        <v>2921</v>
      </c>
      <c r="W297" s="6" t="str">
        <f aca="false">IF(O297="","",INDEX(Lookups!$B$2:$B$297,MATCH(O297,Lookups!$A$2:$A$297,1)))</f>
        <v>Sidmouth</v>
      </c>
      <c r="X297" s="6" t="s">
        <v>206</v>
      </c>
      <c r="Y297" s="6" t="s">
        <v>14</v>
      </c>
      <c r="Z297" s="6" t="s">
        <v>72</v>
      </c>
      <c r="AA297" s="6" t="s">
        <v>3424</v>
      </c>
      <c r="AB297" s="6" t="s">
        <v>88</v>
      </c>
      <c r="AC297" s="6" t="s">
        <v>3425</v>
      </c>
      <c r="AD297" s="6" t="s">
        <v>90</v>
      </c>
      <c r="AE297" s="6"/>
      <c r="AF297" s="6"/>
      <c r="AG297" s="6" t="s">
        <v>707</v>
      </c>
      <c r="AH297" s="6"/>
      <c r="AI297" s="6" t="s">
        <v>3426</v>
      </c>
    </row>
    <row r="298" customFormat="false" ht="15" hidden="false" customHeight="true" outlineLevel="0" collapsed="false">
      <c r="A298" s="6" t="s">
        <v>3427</v>
      </c>
      <c r="B298" s="6" t="s">
        <v>3428</v>
      </c>
      <c r="C298" s="7" t="s">
        <v>4</v>
      </c>
      <c r="D298" s="6" t="s">
        <v>88</v>
      </c>
      <c r="E298" s="6" t="s">
        <v>2937</v>
      </c>
      <c r="F298" s="6" t="s">
        <v>3429</v>
      </c>
      <c r="G298" s="6" t="s">
        <v>2138</v>
      </c>
      <c r="H298" s="6" t="s">
        <v>3430</v>
      </c>
      <c r="I298" s="6" t="s">
        <v>274</v>
      </c>
      <c r="J298" s="6"/>
      <c r="K298" s="6" t="s">
        <v>60</v>
      </c>
      <c r="L298" s="6" t="s">
        <v>61</v>
      </c>
      <c r="M298" s="6" t="s">
        <v>3431</v>
      </c>
      <c r="N298" s="6" t="s">
        <v>3432</v>
      </c>
      <c r="O298" s="8" t="s">
        <v>3433</v>
      </c>
      <c r="P298" s="6" t="n">
        <f aca="false">IF(O298="","",VALUE(LEFT(O298,4)))</f>
        <v>1816</v>
      </c>
      <c r="Q298" s="6" t="s">
        <v>3434</v>
      </c>
      <c r="R298" s="6" t="s">
        <v>3435</v>
      </c>
      <c r="S298" s="6" t="s">
        <v>3436</v>
      </c>
      <c r="T298" s="6" t="s">
        <v>3437</v>
      </c>
      <c r="U298" s="6" t="s">
        <v>69</v>
      </c>
      <c r="V298" s="6" t="s">
        <v>2921</v>
      </c>
      <c r="W298" s="6" t="str">
        <f aca="false">IF(O298="","",INDEX(Lookups!$B$2:$B$298,MATCH(O298,Lookups!$A$2:$A$298,1)))</f>
        <v>Sidmouth</v>
      </c>
      <c r="X298" s="6" t="s">
        <v>70</v>
      </c>
      <c r="Y298" s="6" t="s">
        <v>13</v>
      </c>
      <c r="Z298" s="6" t="s">
        <v>88</v>
      </c>
      <c r="AA298" s="6" t="s">
        <v>3438</v>
      </c>
      <c r="AB298" s="6" t="s">
        <v>55</v>
      </c>
      <c r="AC298" s="6"/>
      <c r="AD298" s="6" t="s">
        <v>736</v>
      </c>
      <c r="AE298" s="6"/>
      <c r="AF298" s="6"/>
      <c r="AG298" s="6"/>
      <c r="AH298" s="6"/>
      <c r="AI298" s="6" t="s">
        <v>3439</v>
      </c>
    </row>
    <row r="299" customFormat="false" ht="15" hidden="false" customHeight="true" outlineLevel="0" collapsed="false">
      <c r="A299" s="6" t="s">
        <v>3440</v>
      </c>
      <c r="B299" s="6" t="s">
        <v>3428</v>
      </c>
      <c r="C299" s="10" t="s">
        <v>7</v>
      </c>
      <c r="D299" s="6" t="s">
        <v>88</v>
      </c>
      <c r="E299" s="6" t="s">
        <v>2937</v>
      </c>
      <c r="F299" s="6" t="s">
        <v>3429</v>
      </c>
      <c r="G299" s="6" t="s">
        <v>2138</v>
      </c>
      <c r="H299" s="6" t="s">
        <v>3430</v>
      </c>
      <c r="I299" s="6" t="s">
        <v>274</v>
      </c>
      <c r="J299" s="6"/>
      <c r="K299" s="6" t="s">
        <v>60</v>
      </c>
      <c r="L299" s="6" t="s">
        <v>61</v>
      </c>
      <c r="M299" s="6" t="s">
        <v>3441</v>
      </c>
      <c r="N299" s="6" t="s">
        <v>3432</v>
      </c>
      <c r="O299" s="8" t="s">
        <v>3433</v>
      </c>
      <c r="P299" s="6" t="n">
        <f aca="false">IF(O299="","",VALUE(LEFT(O299,4)))</f>
        <v>1816</v>
      </c>
      <c r="Q299" s="6" t="s">
        <v>3435</v>
      </c>
      <c r="R299" s="6" t="s">
        <v>3435</v>
      </c>
      <c r="S299" s="6" t="s">
        <v>3436</v>
      </c>
      <c r="T299" s="6" t="s">
        <v>3442</v>
      </c>
      <c r="U299" s="6" t="s">
        <v>69</v>
      </c>
      <c r="V299" s="6" t="s">
        <v>2921</v>
      </c>
      <c r="W299" s="6" t="str">
        <f aca="false">IF(O299="","",INDEX(Lookups!$B$2:$B$299,MATCH(O299,Lookups!$A$2:$A$299,1)))</f>
        <v>Sidmouth</v>
      </c>
      <c r="X299" s="6" t="s">
        <v>70</v>
      </c>
      <c r="Y299" s="6" t="s">
        <v>14</v>
      </c>
      <c r="Z299" s="6" t="s">
        <v>88</v>
      </c>
      <c r="AA299" s="6" t="s">
        <v>3443</v>
      </c>
      <c r="AB299" s="6" t="s">
        <v>55</v>
      </c>
      <c r="AC299" s="6"/>
      <c r="AD299" s="6" t="s">
        <v>736</v>
      </c>
      <c r="AE299" s="6"/>
      <c r="AF299" s="6"/>
      <c r="AG299" s="6"/>
      <c r="AH299" s="6"/>
      <c r="AI299" s="6" t="s">
        <v>3444</v>
      </c>
    </row>
    <row r="300" customFormat="false" ht="15" hidden="false" customHeight="true" outlineLevel="0" collapsed="false">
      <c r="A300" s="6" t="s">
        <v>3445</v>
      </c>
      <c r="B300" s="6" t="s">
        <v>3446</v>
      </c>
      <c r="C300" s="7" t="s">
        <v>4</v>
      </c>
      <c r="D300" s="6" t="s">
        <v>88</v>
      </c>
      <c r="E300" s="6" t="s">
        <v>2937</v>
      </c>
      <c r="F300" s="6" t="s">
        <v>3429</v>
      </c>
      <c r="G300" s="6" t="s">
        <v>3447</v>
      </c>
      <c r="H300" s="6" t="s">
        <v>3448</v>
      </c>
      <c r="I300" s="6" t="s">
        <v>274</v>
      </c>
      <c r="J300" s="6"/>
      <c r="K300" s="6" t="s">
        <v>60</v>
      </c>
      <c r="L300" s="6" t="s">
        <v>61</v>
      </c>
      <c r="M300" s="6" t="s">
        <v>3449</v>
      </c>
      <c r="N300" s="6" t="s">
        <v>3450</v>
      </c>
      <c r="O300" s="8" t="s">
        <v>3451</v>
      </c>
      <c r="P300" s="6" t="n">
        <f aca="false">IF(O300="","",VALUE(LEFT(O300,4)))</f>
        <v>1816</v>
      </c>
      <c r="Q300" s="6" t="s">
        <v>3452</v>
      </c>
      <c r="R300" s="6" t="s">
        <v>2861</v>
      </c>
      <c r="S300" s="6" t="s">
        <v>383</v>
      </c>
      <c r="T300" s="6" t="s">
        <v>3453</v>
      </c>
      <c r="U300" s="6" t="s">
        <v>217</v>
      </c>
      <c r="V300" s="6" t="s">
        <v>3454</v>
      </c>
      <c r="W300" s="6" t="str">
        <f aca="false">IF(O300="","",INDEX(Lookups!$B$2:$B$300,MATCH(O300,Lookups!$A$2:$A$300,1)))</f>
        <v>Sidmouth</v>
      </c>
      <c r="X300" s="6" t="s">
        <v>70</v>
      </c>
      <c r="Y300" s="6" t="s">
        <v>14</v>
      </c>
      <c r="Z300" s="6" t="s">
        <v>55</v>
      </c>
      <c r="AA300" s="6" t="s">
        <v>3455</v>
      </c>
      <c r="AB300" s="6" t="s">
        <v>72</v>
      </c>
      <c r="AC300" s="6"/>
      <c r="AD300" s="6" t="s">
        <v>736</v>
      </c>
      <c r="AE300" s="6"/>
      <c r="AF300" s="6"/>
      <c r="AG300" s="6"/>
      <c r="AH300" s="6"/>
      <c r="AI300" s="6" t="s">
        <v>3456</v>
      </c>
    </row>
    <row r="301" customFormat="false" ht="15" hidden="false" customHeight="true" outlineLevel="0" collapsed="false">
      <c r="A301" s="6" t="s">
        <v>3457</v>
      </c>
      <c r="B301" s="6" t="s">
        <v>3446</v>
      </c>
      <c r="C301" s="7" t="s">
        <v>4</v>
      </c>
      <c r="D301" s="6" t="s">
        <v>88</v>
      </c>
      <c r="E301" s="6" t="s">
        <v>2937</v>
      </c>
      <c r="F301" s="6" t="s">
        <v>3363</v>
      </c>
      <c r="G301" s="6" t="s">
        <v>3458</v>
      </c>
      <c r="H301" s="6" t="s">
        <v>3459</v>
      </c>
      <c r="I301" s="6" t="s">
        <v>274</v>
      </c>
      <c r="J301" s="6"/>
      <c r="K301" s="6" t="s">
        <v>60</v>
      </c>
      <c r="L301" s="6" t="s">
        <v>61</v>
      </c>
      <c r="M301" s="6" t="s">
        <v>3460</v>
      </c>
      <c r="N301" s="6" t="s">
        <v>3461</v>
      </c>
      <c r="O301" s="8" t="s">
        <v>3462</v>
      </c>
      <c r="P301" s="6" t="n">
        <f aca="false">IF(O301="","",VALUE(LEFT(O301,4)))</f>
        <v>1816</v>
      </c>
      <c r="Q301" s="6" t="s">
        <v>2828</v>
      </c>
      <c r="R301" s="6" t="s">
        <v>2828</v>
      </c>
      <c r="S301" s="6" t="s">
        <v>383</v>
      </c>
      <c r="T301" s="6" t="s">
        <v>3463</v>
      </c>
      <c r="U301" s="6" t="s">
        <v>69</v>
      </c>
      <c r="V301" s="6" t="s">
        <v>2921</v>
      </c>
      <c r="W301" s="6" t="str">
        <f aca="false">IF(O301="","",INDEX(Lookups!$B$2:$B$301,MATCH(O301,Lookups!$A$2:$A$301,1)))</f>
        <v>Sidmouth</v>
      </c>
      <c r="X301" s="6" t="s">
        <v>70</v>
      </c>
      <c r="Y301" s="6" t="s">
        <v>13</v>
      </c>
      <c r="Z301" s="6" t="s">
        <v>72</v>
      </c>
      <c r="AA301" s="6" t="s">
        <v>3464</v>
      </c>
      <c r="AB301" s="6" t="s">
        <v>88</v>
      </c>
      <c r="AC301" s="6"/>
      <c r="AD301" s="6" t="s">
        <v>736</v>
      </c>
      <c r="AE301" s="6"/>
      <c r="AF301" s="6"/>
      <c r="AG301" s="6"/>
      <c r="AH301" s="6"/>
      <c r="AI301" s="6" t="s">
        <v>3465</v>
      </c>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30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3466</v>
      </c>
      <c r="B1" s="5" t="s">
        <v>2</v>
      </c>
      <c r="C1" s="5" t="s">
        <v>3467</v>
      </c>
      <c r="D1" s="5" t="s">
        <v>37</v>
      </c>
      <c r="E1" s="5" t="s">
        <v>34</v>
      </c>
      <c r="F1" s="5" t="s">
        <v>3468</v>
      </c>
      <c r="G1" s="5" t="s">
        <v>3469</v>
      </c>
      <c r="H1" s="5" t="s">
        <v>3470</v>
      </c>
      <c r="I1" s="5" t="s">
        <v>3471</v>
      </c>
      <c r="J1" s="5" t="s">
        <v>3472</v>
      </c>
      <c r="K1" s="5" t="s">
        <v>3473</v>
      </c>
    </row>
    <row r="2" customFormat="false" ht="57" hidden="false" customHeight="true" outlineLevel="0" collapsed="false">
      <c r="A2" s="6" t="s">
        <v>3474</v>
      </c>
      <c r="B2" s="6" t="s">
        <v>4</v>
      </c>
      <c r="C2" s="6" t="s">
        <v>1238</v>
      </c>
      <c r="D2" s="6" t="s">
        <v>866</v>
      </c>
      <c r="E2" s="8" t="s">
        <v>3475</v>
      </c>
      <c r="F2" s="6" t="s">
        <v>3476</v>
      </c>
      <c r="G2" s="6" t="s">
        <v>3477</v>
      </c>
      <c r="H2" s="6" t="s">
        <v>3478</v>
      </c>
      <c r="I2" s="6" t="s">
        <v>55</v>
      </c>
      <c r="J2" s="6" t="s">
        <v>3479</v>
      </c>
      <c r="K2" s="6" t="s">
        <v>3480</v>
      </c>
    </row>
    <row r="3" customFormat="false" ht="23.25" hidden="false" customHeight="true" outlineLevel="0" collapsed="false">
      <c r="A3" s="6" t="s">
        <v>3481</v>
      </c>
      <c r="B3" s="6" t="s">
        <v>4</v>
      </c>
      <c r="C3" s="6" t="s">
        <v>1270</v>
      </c>
      <c r="D3" s="6" t="s">
        <v>866</v>
      </c>
      <c r="E3" s="8" t="s">
        <v>3482</v>
      </c>
      <c r="F3" s="6" t="s">
        <v>3483</v>
      </c>
      <c r="G3" s="6" t="s">
        <v>3484</v>
      </c>
      <c r="H3" s="6" t="s">
        <v>3485</v>
      </c>
      <c r="I3" s="6" t="s">
        <v>3486</v>
      </c>
      <c r="J3" s="6" t="s">
        <v>3479</v>
      </c>
      <c r="K3" s="6" t="s">
        <v>3487</v>
      </c>
    </row>
    <row r="4" customFormat="false" ht="23.25" hidden="false" customHeight="true" outlineLevel="0" collapsed="false">
      <c r="A4" s="6" t="s">
        <v>3488</v>
      </c>
      <c r="B4" s="6" t="s">
        <v>4</v>
      </c>
      <c r="C4" s="6" t="s">
        <v>184</v>
      </c>
      <c r="D4" s="6" t="s">
        <v>185</v>
      </c>
      <c r="E4" s="8" t="s">
        <v>3489</v>
      </c>
      <c r="F4" s="6" t="s">
        <v>3490</v>
      </c>
      <c r="G4" s="6" t="s">
        <v>3491</v>
      </c>
      <c r="H4" s="6" t="s">
        <v>3492</v>
      </c>
      <c r="I4" s="6" t="s">
        <v>55</v>
      </c>
      <c r="J4" s="6" t="s">
        <v>3493</v>
      </c>
      <c r="K4" s="6" t="s">
        <v>3494</v>
      </c>
    </row>
    <row r="5" customFormat="false" ht="34.5" hidden="false" customHeight="true" outlineLevel="0" collapsed="false">
      <c r="A5" s="6" t="s">
        <v>3495</v>
      </c>
      <c r="B5" s="6" t="s">
        <v>9</v>
      </c>
      <c r="C5" s="6" t="s">
        <v>1054</v>
      </c>
      <c r="D5" s="6" t="s">
        <v>1026</v>
      </c>
      <c r="E5" s="8" t="s">
        <v>1292</v>
      </c>
      <c r="F5" s="6" t="s">
        <v>3496</v>
      </c>
      <c r="G5" s="6" t="s">
        <v>3497</v>
      </c>
      <c r="H5" s="6" t="s">
        <v>3492</v>
      </c>
      <c r="I5" s="6" t="s">
        <v>55</v>
      </c>
      <c r="J5" s="6" t="s">
        <v>3498</v>
      </c>
      <c r="K5" s="6" t="s">
        <v>3499</v>
      </c>
    </row>
    <row r="6" customFormat="false" ht="23.25" hidden="false" customHeight="true" outlineLevel="0" collapsed="false">
      <c r="A6" s="6" t="s">
        <v>3500</v>
      </c>
      <c r="B6" s="6" t="s">
        <v>6</v>
      </c>
      <c r="C6" s="6" t="s">
        <v>3501</v>
      </c>
      <c r="D6" s="6" t="s">
        <v>866</v>
      </c>
      <c r="E6" s="8" t="s">
        <v>3482</v>
      </c>
      <c r="F6" s="6" t="s">
        <v>3502</v>
      </c>
      <c r="G6" s="6" t="s">
        <v>3503</v>
      </c>
      <c r="H6" s="6" t="s">
        <v>3485</v>
      </c>
      <c r="I6" s="6" t="s">
        <v>55</v>
      </c>
      <c r="J6" s="6" t="s">
        <v>3493</v>
      </c>
      <c r="K6" s="6"/>
    </row>
    <row r="7" customFormat="false" ht="34.5" hidden="false" customHeight="true" outlineLevel="0" collapsed="false">
      <c r="A7" s="6" t="s">
        <v>3504</v>
      </c>
      <c r="B7" s="6" t="s">
        <v>6</v>
      </c>
      <c r="C7" s="6" t="s">
        <v>3505</v>
      </c>
      <c r="D7" s="6" t="s">
        <v>252</v>
      </c>
      <c r="E7" s="8" t="s">
        <v>3506</v>
      </c>
      <c r="F7" s="6" t="s">
        <v>3507</v>
      </c>
      <c r="G7" s="6" t="s">
        <v>3508</v>
      </c>
      <c r="H7" s="6" t="s">
        <v>3485</v>
      </c>
      <c r="I7" s="6" t="s">
        <v>55</v>
      </c>
      <c r="J7" s="6" t="s">
        <v>3493</v>
      </c>
      <c r="K7" s="6" t="s">
        <v>3509</v>
      </c>
    </row>
    <row r="8" customFormat="false" ht="23.25" hidden="false" customHeight="true" outlineLevel="0" collapsed="false">
      <c r="A8" s="6" t="s">
        <v>3510</v>
      </c>
      <c r="B8" s="6" t="s">
        <v>4</v>
      </c>
      <c r="C8" s="6" t="s">
        <v>3511</v>
      </c>
      <c r="D8" s="6" t="s">
        <v>1366</v>
      </c>
      <c r="E8" s="8" t="s">
        <v>3512</v>
      </c>
      <c r="F8" s="6" t="s">
        <v>3513</v>
      </c>
      <c r="G8" s="6" t="s">
        <v>3514</v>
      </c>
      <c r="H8" s="6" t="s">
        <v>3485</v>
      </c>
      <c r="I8" s="6" t="s">
        <v>55</v>
      </c>
      <c r="J8" s="6" t="s">
        <v>3479</v>
      </c>
      <c r="K8" s="6" t="s">
        <v>3515</v>
      </c>
    </row>
    <row r="9" customFormat="false" ht="23.25" hidden="false" customHeight="true" outlineLevel="0" collapsed="false">
      <c r="A9" s="6" t="s">
        <v>3516</v>
      </c>
      <c r="B9" s="6" t="s">
        <v>4</v>
      </c>
      <c r="C9" s="6" t="s">
        <v>3517</v>
      </c>
      <c r="D9" s="6" t="s">
        <v>172</v>
      </c>
      <c r="E9" s="8" t="s">
        <v>2173</v>
      </c>
      <c r="F9" s="6" t="s">
        <v>3518</v>
      </c>
      <c r="G9" s="6" t="s">
        <v>3519</v>
      </c>
      <c r="H9" s="6" t="s">
        <v>3485</v>
      </c>
      <c r="I9" s="6" t="s">
        <v>55</v>
      </c>
      <c r="J9" s="6" t="s">
        <v>3479</v>
      </c>
      <c r="K9" s="6"/>
    </row>
    <row r="10" customFormat="false" ht="23.25" hidden="false" customHeight="true" outlineLevel="0" collapsed="false">
      <c r="A10" s="6" t="s">
        <v>3520</v>
      </c>
      <c r="B10" s="6" t="s">
        <v>9</v>
      </c>
      <c r="C10" s="6" t="s">
        <v>195</v>
      </c>
      <c r="D10" s="6" t="s">
        <v>196</v>
      </c>
      <c r="E10" s="8" t="s">
        <v>3521</v>
      </c>
      <c r="F10" s="6" t="s">
        <v>3522</v>
      </c>
      <c r="G10" s="6" t="s">
        <v>3523</v>
      </c>
      <c r="H10" s="6" t="s">
        <v>3485</v>
      </c>
      <c r="I10" s="6" t="s">
        <v>55</v>
      </c>
      <c r="J10" s="6" t="s">
        <v>3493</v>
      </c>
      <c r="K10" s="6" t="s">
        <v>3524</v>
      </c>
    </row>
    <row r="11" customFormat="false" ht="34.5" hidden="false" customHeight="true" outlineLevel="0" collapsed="false">
      <c r="A11" s="6" t="s">
        <v>3525</v>
      </c>
      <c r="B11" s="6" t="s">
        <v>5</v>
      </c>
      <c r="C11" s="6" t="s">
        <v>3526</v>
      </c>
      <c r="D11" s="6" t="s">
        <v>3527</v>
      </c>
      <c r="E11" s="8" t="s">
        <v>1602</v>
      </c>
      <c r="F11" s="6" t="s">
        <v>3528</v>
      </c>
      <c r="G11" s="6" t="s">
        <v>3529</v>
      </c>
      <c r="H11" s="6" t="s">
        <v>3485</v>
      </c>
      <c r="I11" s="6" t="s">
        <v>55</v>
      </c>
      <c r="J11" s="6" t="s">
        <v>3493</v>
      </c>
      <c r="K11" s="6" t="s">
        <v>3530</v>
      </c>
    </row>
    <row r="12" customFormat="false" ht="23.25" hidden="false" customHeight="true" outlineLevel="0" collapsed="false">
      <c r="A12" s="6" t="s">
        <v>3531</v>
      </c>
      <c r="B12" s="6" t="s">
        <v>5</v>
      </c>
      <c r="C12" s="6" t="s">
        <v>3532</v>
      </c>
      <c r="D12" s="6" t="s">
        <v>252</v>
      </c>
      <c r="E12" s="8" t="s">
        <v>3533</v>
      </c>
      <c r="F12" s="6" t="s">
        <v>3534</v>
      </c>
      <c r="G12" s="6" t="s">
        <v>3535</v>
      </c>
      <c r="H12" s="6" t="s">
        <v>3485</v>
      </c>
      <c r="I12" s="6" t="s">
        <v>55</v>
      </c>
      <c r="J12" s="6" t="s">
        <v>3493</v>
      </c>
      <c r="K12" s="6" t="s">
        <v>3536</v>
      </c>
    </row>
    <row r="13" customFormat="false" ht="23.25" hidden="false" customHeight="true" outlineLevel="0" collapsed="false">
      <c r="A13" s="6" t="s">
        <v>3537</v>
      </c>
      <c r="B13" s="6" t="s">
        <v>6</v>
      </c>
      <c r="C13" s="6" t="s">
        <v>3538</v>
      </c>
      <c r="D13" s="6" t="s">
        <v>1388</v>
      </c>
      <c r="E13" s="8" t="s">
        <v>3539</v>
      </c>
      <c r="F13" s="6" t="s">
        <v>3540</v>
      </c>
      <c r="G13" s="6" t="s">
        <v>3541</v>
      </c>
      <c r="H13" s="6" t="s">
        <v>3485</v>
      </c>
      <c r="I13" s="6" t="s">
        <v>55</v>
      </c>
      <c r="J13" s="6" t="s">
        <v>3498</v>
      </c>
      <c r="K13" s="6" t="s">
        <v>3542</v>
      </c>
    </row>
    <row r="14" customFormat="false" ht="23.25" hidden="false" customHeight="true" outlineLevel="0" collapsed="false">
      <c r="A14" s="6" t="s">
        <v>3543</v>
      </c>
      <c r="B14" s="6" t="s">
        <v>6</v>
      </c>
      <c r="C14" s="6" t="s">
        <v>3544</v>
      </c>
      <c r="D14" s="6" t="s">
        <v>185</v>
      </c>
      <c r="E14" s="8" t="s">
        <v>3545</v>
      </c>
      <c r="F14" s="6" t="s">
        <v>3546</v>
      </c>
      <c r="G14" s="6" t="s">
        <v>3547</v>
      </c>
      <c r="H14" s="6" t="s">
        <v>3485</v>
      </c>
      <c r="I14" s="6" t="s">
        <v>55</v>
      </c>
      <c r="J14" s="6" t="s">
        <v>3498</v>
      </c>
      <c r="K14" s="6" t="s">
        <v>3548</v>
      </c>
    </row>
    <row r="15" customFormat="false" ht="34.5" hidden="false" customHeight="true" outlineLevel="0" collapsed="false">
      <c r="A15" s="6" t="s">
        <v>3549</v>
      </c>
      <c r="B15" s="6" t="s">
        <v>9</v>
      </c>
      <c r="C15" s="6" t="s">
        <v>3550</v>
      </c>
      <c r="D15" s="6" t="s">
        <v>3551</v>
      </c>
      <c r="E15" s="8" t="s">
        <v>3552</v>
      </c>
      <c r="F15" s="6" t="s">
        <v>3553</v>
      </c>
      <c r="G15" s="6" t="s">
        <v>3554</v>
      </c>
      <c r="H15" s="6" t="s">
        <v>3485</v>
      </c>
      <c r="I15" s="6" t="s">
        <v>55</v>
      </c>
      <c r="J15" s="6" t="s">
        <v>3493</v>
      </c>
      <c r="K15" s="6" t="s">
        <v>3555</v>
      </c>
    </row>
    <row r="16" customFormat="false" ht="34.5" hidden="false" customHeight="true" outlineLevel="0" collapsed="false">
      <c r="A16" s="6" t="s">
        <v>3556</v>
      </c>
      <c r="B16" s="6" t="s">
        <v>9</v>
      </c>
      <c r="C16" s="6" t="s">
        <v>3550</v>
      </c>
      <c r="D16" s="6" t="s">
        <v>3551</v>
      </c>
      <c r="E16" s="8" t="s">
        <v>3557</v>
      </c>
      <c r="F16" s="6" t="s">
        <v>3558</v>
      </c>
      <c r="G16" s="6" t="s">
        <v>3559</v>
      </c>
      <c r="H16" s="6" t="s">
        <v>3485</v>
      </c>
      <c r="I16" s="6" t="s">
        <v>55</v>
      </c>
      <c r="J16" s="6" t="s">
        <v>3493</v>
      </c>
      <c r="K16" s="6" t="s">
        <v>3560</v>
      </c>
    </row>
    <row r="17" customFormat="false" ht="34.5" hidden="false" customHeight="true" outlineLevel="0" collapsed="false">
      <c r="A17" s="6" t="s">
        <v>3561</v>
      </c>
      <c r="B17" s="6" t="s">
        <v>4</v>
      </c>
      <c r="C17" s="6" t="s">
        <v>227</v>
      </c>
      <c r="D17" s="6" t="s">
        <v>228</v>
      </c>
      <c r="E17" s="8" t="s">
        <v>3562</v>
      </c>
      <c r="F17" s="6" t="s">
        <v>3563</v>
      </c>
      <c r="G17" s="6" t="s">
        <v>3564</v>
      </c>
      <c r="H17" s="6" t="s">
        <v>3485</v>
      </c>
      <c r="I17" s="6" t="s">
        <v>55</v>
      </c>
      <c r="J17" s="6" t="s">
        <v>3479</v>
      </c>
      <c r="K17" s="6" t="s">
        <v>3565</v>
      </c>
    </row>
    <row r="18" customFormat="false" ht="45.75" hidden="false" customHeight="true" outlineLevel="0" collapsed="false">
      <c r="A18" s="6" t="s">
        <v>3566</v>
      </c>
      <c r="B18" s="6" t="s">
        <v>4</v>
      </c>
      <c r="C18" s="6" t="s">
        <v>227</v>
      </c>
      <c r="D18" s="6" t="s">
        <v>241</v>
      </c>
      <c r="E18" s="8" t="s">
        <v>3567</v>
      </c>
      <c r="F18" s="6" t="s">
        <v>3568</v>
      </c>
      <c r="G18" s="6" t="s">
        <v>3569</v>
      </c>
      <c r="H18" s="6" t="s">
        <v>3485</v>
      </c>
      <c r="I18" s="6" t="s">
        <v>55</v>
      </c>
      <c r="J18" s="6" t="s">
        <v>3493</v>
      </c>
      <c r="K18" s="6" t="s">
        <v>3570</v>
      </c>
    </row>
    <row r="19" customFormat="false" ht="23.25" hidden="false" customHeight="true" outlineLevel="0" collapsed="false">
      <c r="A19" s="6" t="s">
        <v>3571</v>
      </c>
      <c r="B19" s="6" t="s">
        <v>9</v>
      </c>
      <c r="C19" s="6" t="s">
        <v>3572</v>
      </c>
      <c r="D19" s="6" t="s">
        <v>3551</v>
      </c>
      <c r="E19" s="8" t="s">
        <v>3573</v>
      </c>
      <c r="F19" s="6" t="s">
        <v>3574</v>
      </c>
      <c r="G19" s="6" t="s">
        <v>3575</v>
      </c>
      <c r="H19" s="6" t="s">
        <v>3485</v>
      </c>
      <c r="I19" s="6" t="s">
        <v>55</v>
      </c>
      <c r="J19" s="6" t="s">
        <v>3479</v>
      </c>
      <c r="K19" s="6" t="s">
        <v>3576</v>
      </c>
    </row>
    <row r="20" customFormat="false" ht="34.5" hidden="false" customHeight="true" outlineLevel="0" collapsed="false">
      <c r="A20" s="6" t="s">
        <v>3577</v>
      </c>
      <c r="B20" s="6" t="s">
        <v>9</v>
      </c>
      <c r="C20" s="6" t="s">
        <v>3517</v>
      </c>
      <c r="D20" s="6" t="s">
        <v>172</v>
      </c>
      <c r="E20" s="8" t="s">
        <v>3578</v>
      </c>
      <c r="F20" s="6" t="s">
        <v>3579</v>
      </c>
      <c r="G20" s="6" t="s">
        <v>3580</v>
      </c>
      <c r="H20" s="6" t="s">
        <v>3581</v>
      </c>
      <c r="I20" s="6" t="s">
        <v>3486</v>
      </c>
      <c r="J20" s="6" t="s">
        <v>3493</v>
      </c>
      <c r="K20" s="6" t="s">
        <v>3582</v>
      </c>
    </row>
    <row r="21" customFormat="false" ht="45.75" hidden="false" customHeight="true" outlineLevel="0" collapsed="false">
      <c r="A21" s="6" t="s">
        <v>3583</v>
      </c>
      <c r="B21" s="6" t="s">
        <v>9</v>
      </c>
      <c r="C21" s="6" t="s">
        <v>3584</v>
      </c>
      <c r="D21" s="6" t="s">
        <v>2143</v>
      </c>
      <c r="E21" s="8" t="s">
        <v>3585</v>
      </c>
      <c r="F21" s="6" t="s">
        <v>3586</v>
      </c>
      <c r="G21" s="6" t="s">
        <v>3587</v>
      </c>
      <c r="H21" s="6" t="s">
        <v>3581</v>
      </c>
      <c r="I21" s="6" t="s">
        <v>88</v>
      </c>
      <c r="J21" s="6" t="s">
        <v>3498</v>
      </c>
      <c r="K21" s="6" t="s">
        <v>3588</v>
      </c>
    </row>
    <row r="22" customFormat="false" ht="34.5" hidden="false" customHeight="true" outlineLevel="0" collapsed="false">
      <c r="A22" s="6" t="s">
        <v>3589</v>
      </c>
      <c r="B22" s="6" t="s">
        <v>9</v>
      </c>
      <c r="C22" s="6" t="s">
        <v>3590</v>
      </c>
      <c r="D22" s="6" t="s">
        <v>196</v>
      </c>
      <c r="E22" s="8" t="s">
        <v>3591</v>
      </c>
      <c r="F22" s="6" t="s">
        <v>3592</v>
      </c>
      <c r="G22" s="6" t="s">
        <v>3593</v>
      </c>
      <c r="H22" s="6" t="s">
        <v>3594</v>
      </c>
      <c r="I22" s="6" t="s">
        <v>88</v>
      </c>
      <c r="J22" s="6" t="s">
        <v>3498</v>
      </c>
      <c r="K22" s="6" t="s">
        <v>3595</v>
      </c>
    </row>
    <row r="23" customFormat="false" ht="34.5" hidden="false" customHeight="true" outlineLevel="0" collapsed="false">
      <c r="A23" s="6" t="s">
        <v>3596</v>
      </c>
      <c r="B23" s="6" t="s">
        <v>9</v>
      </c>
      <c r="C23" s="6" t="s">
        <v>3597</v>
      </c>
      <c r="D23" s="6" t="s">
        <v>2143</v>
      </c>
      <c r="E23" s="8" t="s">
        <v>3598</v>
      </c>
      <c r="F23" s="6" t="s">
        <v>3599</v>
      </c>
      <c r="G23" s="6" t="s">
        <v>3600</v>
      </c>
      <c r="H23" s="6" t="s">
        <v>3594</v>
      </c>
      <c r="I23" s="6" t="s">
        <v>88</v>
      </c>
      <c r="J23" s="6" t="s">
        <v>3498</v>
      </c>
      <c r="K23" s="6" t="s">
        <v>3601</v>
      </c>
    </row>
    <row r="24" customFormat="false" ht="79.5" hidden="false" customHeight="true" outlineLevel="0" collapsed="false">
      <c r="A24" s="6" t="s">
        <v>3602</v>
      </c>
      <c r="B24" s="6" t="s">
        <v>4</v>
      </c>
      <c r="C24" s="6" t="s">
        <v>184</v>
      </c>
      <c r="D24" s="6" t="s">
        <v>185</v>
      </c>
      <c r="E24" s="8" t="s">
        <v>3603</v>
      </c>
      <c r="F24" s="6" t="s">
        <v>3604</v>
      </c>
      <c r="G24" s="6" t="s">
        <v>3605</v>
      </c>
      <c r="H24" s="6" t="s">
        <v>3594</v>
      </c>
      <c r="I24" s="6" t="s">
        <v>3486</v>
      </c>
      <c r="J24" s="6" t="s">
        <v>3493</v>
      </c>
      <c r="K24" s="6" t="s">
        <v>3606</v>
      </c>
    </row>
    <row r="25" customFormat="false" ht="34.5" hidden="false" customHeight="true" outlineLevel="0" collapsed="false">
      <c r="A25" s="6" t="s">
        <v>3607</v>
      </c>
      <c r="B25" s="6" t="s">
        <v>9</v>
      </c>
      <c r="C25" s="6" t="s">
        <v>227</v>
      </c>
      <c r="D25" s="6" t="s">
        <v>241</v>
      </c>
      <c r="E25" s="8" t="s">
        <v>3608</v>
      </c>
      <c r="F25" s="6" t="s">
        <v>3609</v>
      </c>
      <c r="G25" s="6" t="s">
        <v>3610</v>
      </c>
      <c r="H25" s="6" t="s">
        <v>3594</v>
      </c>
      <c r="I25" s="6" t="s">
        <v>88</v>
      </c>
      <c r="J25" s="6" t="s">
        <v>3498</v>
      </c>
      <c r="K25" s="6" t="s">
        <v>3611</v>
      </c>
    </row>
    <row r="26" customFormat="false" ht="45.75" hidden="false" customHeight="true" outlineLevel="0" collapsed="false">
      <c r="A26" s="6" t="s">
        <v>3612</v>
      </c>
      <c r="B26" s="6" t="s">
        <v>9</v>
      </c>
      <c r="C26" s="6" t="s">
        <v>3613</v>
      </c>
      <c r="D26" s="6" t="s">
        <v>121</v>
      </c>
      <c r="E26" s="8" t="s">
        <v>3614</v>
      </c>
      <c r="F26" s="6" t="s">
        <v>3615</v>
      </c>
      <c r="G26" s="6" t="s">
        <v>3616</v>
      </c>
      <c r="H26" s="6" t="s">
        <v>3594</v>
      </c>
      <c r="I26" s="6" t="s">
        <v>88</v>
      </c>
      <c r="J26" s="6" t="s">
        <v>3493</v>
      </c>
      <c r="K26" s="6" t="s">
        <v>3617</v>
      </c>
    </row>
    <row r="27" customFormat="false" ht="68.25" hidden="false" customHeight="true" outlineLevel="0" collapsed="false">
      <c r="A27" s="6" t="s">
        <v>3618</v>
      </c>
      <c r="B27" s="6" t="s">
        <v>9</v>
      </c>
      <c r="C27" s="6" t="s">
        <v>542</v>
      </c>
      <c r="D27" s="6" t="s">
        <v>447</v>
      </c>
      <c r="E27" s="8" t="s">
        <v>3619</v>
      </c>
      <c r="F27" s="6" t="s">
        <v>3620</v>
      </c>
      <c r="G27" s="6" t="s">
        <v>3621</v>
      </c>
      <c r="H27" s="6" t="s">
        <v>3594</v>
      </c>
      <c r="I27" s="6" t="s">
        <v>3486</v>
      </c>
      <c r="J27" s="6" t="s">
        <v>3493</v>
      </c>
      <c r="K27" s="6" t="s">
        <v>3622</v>
      </c>
    </row>
    <row r="28" customFormat="false" ht="57" hidden="false" customHeight="true" outlineLevel="0" collapsed="false">
      <c r="A28" s="6" t="s">
        <v>3623</v>
      </c>
      <c r="B28" s="6" t="s">
        <v>9</v>
      </c>
      <c r="C28" s="6" t="s">
        <v>3624</v>
      </c>
      <c r="D28" s="6" t="s">
        <v>634</v>
      </c>
      <c r="E28" s="8" t="s">
        <v>3625</v>
      </c>
      <c r="F28" s="6" t="s">
        <v>3626</v>
      </c>
      <c r="G28" s="6" t="s">
        <v>3627</v>
      </c>
      <c r="H28" s="6" t="s">
        <v>3628</v>
      </c>
      <c r="I28" s="6" t="s">
        <v>88</v>
      </c>
      <c r="J28" s="6" t="s">
        <v>3493</v>
      </c>
      <c r="K28" s="6" t="s">
        <v>3629</v>
      </c>
    </row>
    <row r="29" customFormat="false" ht="68.25" hidden="false" customHeight="true" outlineLevel="0" collapsed="false">
      <c r="A29" s="6" t="s">
        <v>3630</v>
      </c>
      <c r="B29" s="6" t="s">
        <v>9</v>
      </c>
      <c r="C29" s="6" t="s">
        <v>3631</v>
      </c>
      <c r="D29" s="6" t="s">
        <v>1628</v>
      </c>
      <c r="E29" s="8" t="s">
        <v>3632</v>
      </c>
      <c r="F29" s="6" t="s">
        <v>3633</v>
      </c>
      <c r="G29" s="6" t="s">
        <v>3634</v>
      </c>
      <c r="H29" s="6" t="s">
        <v>3628</v>
      </c>
      <c r="I29" s="6" t="s">
        <v>88</v>
      </c>
      <c r="J29" s="6" t="s">
        <v>3493</v>
      </c>
      <c r="K29" s="6" t="s">
        <v>3635</v>
      </c>
    </row>
    <row r="30" customFormat="false" ht="68.25" hidden="false" customHeight="true" outlineLevel="0" collapsed="false">
      <c r="A30" s="6" t="s">
        <v>3636</v>
      </c>
      <c r="B30" s="6" t="s">
        <v>9</v>
      </c>
      <c r="C30" s="6" t="s">
        <v>3637</v>
      </c>
      <c r="D30" s="6" t="s">
        <v>1628</v>
      </c>
      <c r="E30" s="8" t="s">
        <v>3638</v>
      </c>
      <c r="F30" s="6" t="s">
        <v>3639</v>
      </c>
      <c r="G30" s="6" t="s">
        <v>3640</v>
      </c>
      <c r="H30" s="6" t="s">
        <v>3641</v>
      </c>
      <c r="I30" s="6" t="s">
        <v>3486</v>
      </c>
      <c r="J30" s="6" t="s">
        <v>3493</v>
      </c>
      <c r="K30" s="6" t="s">
        <v>3642</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3643</v>
      </c>
      <c r="B1" s="15"/>
    </row>
    <row r="2" customFormat="false" ht="15" hidden="false" customHeight="true" outlineLevel="0" collapsed="false">
      <c r="A2" s="16"/>
      <c r="B2" s="15"/>
    </row>
    <row r="3" customFormat="false" ht="15" hidden="false" customHeight="true" outlineLevel="0" collapsed="false">
      <c r="A3" s="16" t="s">
        <v>3644</v>
      </c>
      <c r="B3" s="15" t="s">
        <v>3645</v>
      </c>
    </row>
    <row r="4" customFormat="false" ht="23.25" hidden="false" customHeight="true" outlineLevel="0" collapsed="false">
      <c r="A4" s="16" t="s">
        <v>3472</v>
      </c>
      <c r="B4" s="15" t="s">
        <v>3646</v>
      </c>
    </row>
    <row r="5" customFormat="false" ht="23.25" hidden="false" customHeight="true" outlineLevel="0" collapsed="false">
      <c r="A5" s="16" t="s">
        <v>3647</v>
      </c>
      <c r="B5" s="15" t="s">
        <v>3648</v>
      </c>
    </row>
    <row r="6" customFormat="false" ht="15" hidden="false" customHeight="true" outlineLevel="0" collapsed="false">
      <c r="A6" s="16" t="s">
        <v>3649</v>
      </c>
      <c r="B6" s="15" t="s">
        <v>3650</v>
      </c>
    </row>
    <row r="7" customFormat="false" ht="15" hidden="false" customHeight="true" outlineLevel="0" collapsed="false">
      <c r="A7" s="16"/>
      <c r="B7" s="15"/>
    </row>
    <row r="8" customFormat="false" ht="15" hidden="false" customHeight="true" outlineLevel="0" collapsed="false">
      <c r="A8" s="16" t="s">
        <v>3651</v>
      </c>
      <c r="B8" s="15"/>
    </row>
    <row r="9" customFormat="false" ht="15" hidden="false" customHeight="true" outlineLevel="0" collapsed="false">
      <c r="A9" s="16" t="s">
        <v>4</v>
      </c>
      <c r="B9" s="15" t="s">
        <v>3652</v>
      </c>
    </row>
    <row r="10" customFormat="false" ht="15" hidden="false" customHeight="true" outlineLevel="0" collapsed="false">
      <c r="A10" s="16" t="s">
        <v>5</v>
      </c>
      <c r="B10" s="15" t="s">
        <v>3653</v>
      </c>
    </row>
    <row r="11" customFormat="false" ht="15" hidden="false" customHeight="true" outlineLevel="0" collapsed="false">
      <c r="A11" s="16" t="s">
        <v>6</v>
      </c>
      <c r="B11" s="15" t="s">
        <v>3654</v>
      </c>
    </row>
    <row r="12" customFormat="false" ht="15" hidden="false" customHeight="true" outlineLevel="0" collapsed="false">
      <c r="A12" s="16" t="s">
        <v>7</v>
      </c>
      <c r="B12" s="15" t="s">
        <v>3655</v>
      </c>
    </row>
    <row r="13" customFormat="false" ht="15" hidden="false" customHeight="true" outlineLevel="0" collapsed="false">
      <c r="A13" s="16" t="s">
        <v>8</v>
      </c>
      <c r="B13" s="15" t="s">
        <v>3656</v>
      </c>
    </row>
    <row r="14" customFormat="false" ht="15" hidden="false" customHeight="true" outlineLevel="0" collapsed="false">
      <c r="A14" s="16"/>
      <c r="B14" s="15"/>
    </row>
    <row r="15" customFormat="false" ht="15" hidden="false" customHeight="true" outlineLevel="0" collapsed="false">
      <c r="A15" s="16" t="s">
        <v>3657</v>
      </c>
      <c r="B15" s="15"/>
    </row>
    <row r="16" customFormat="false" ht="15" hidden="false" customHeight="true" outlineLevel="0" collapsed="false">
      <c r="A16" s="16" t="s">
        <v>3658</v>
      </c>
      <c r="B16" s="15" t="s">
        <v>3659</v>
      </c>
    </row>
    <row r="17" customFormat="false" ht="15" hidden="false" customHeight="true" outlineLevel="0" collapsed="false">
      <c r="A17" s="16" t="s">
        <v>3660</v>
      </c>
      <c r="B17" s="15" t="s">
        <v>3661</v>
      </c>
    </row>
    <row r="18" customFormat="false" ht="15" hidden="false" customHeight="true" outlineLevel="0" collapsed="false">
      <c r="A18" s="16" t="s">
        <v>3662</v>
      </c>
      <c r="B18" s="15" t="s">
        <v>3663</v>
      </c>
    </row>
    <row r="19" customFormat="false" ht="15" hidden="false" customHeight="true" outlineLevel="0" collapsed="false">
      <c r="A19" s="16" t="s">
        <v>3664</v>
      </c>
      <c r="B19" s="15" t="s">
        <v>3665</v>
      </c>
    </row>
    <row r="20" customFormat="false" ht="15" hidden="false" customHeight="true" outlineLevel="0" collapsed="false">
      <c r="A20" s="16" t="s">
        <v>3666</v>
      </c>
      <c r="B20" s="15" t="s">
        <v>3667</v>
      </c>
    </row>
    <row r="21" customFormat="false" ht="15" hidden="false" customHeight="true" outlineLevel="0" collapsed="false">
      <c r="A21" s="16" t="s">
        <v>3668</v>
      </c>
      <c r="B21" s="15" t="s">
        <v>3669</v>
      </c>
    </row>
    <row r="22" customFormat="false" ht="15" hidden="false" customHeight="true" outlineLevel="0" collapsed="false">
      <c r="A22" s="16" t="s">
        <v>3670</v>
      </c>
      <c r="B22" s="15" t="s">
        <v>3671</v>
      </c>
    </row>
    <row r="23" customFormat="false" ht="15" hidden="false" customHeight="true" outlineLevel="0" collapsed="false">
      <c r="A23" s="16"/>
      <c r="B23" s="15"/>
    </row>
    <row r="24" customFormat="false" ht="15" hidden="false" customHeight="true" outlineLevel="0" collapsed="false">
      <c r="A24" s="16" t="s">
        <v>3672</v>
      </c>
      <c r="B24" s="15" t="s">
        <v>3673</v>
      </c>
    </row>
    <row r="25" customFormat="false" ht="23.25" hidden="false" customHeight="true" outlineLevel="0" collapsed="false">
      <c r="A25" s="16" t="s">
        <v>3674</v>
      </c>
      <c r="B25" s="15" t="s">
        <v>3675</v>
      </c>
    </row>
    <row r="26" customFormat="false" ht="15" hidden="false" customHeight="true" outlineLevel="0" collapsed="false">
      <c r="A26" s="16" t="s">
        <v>3676</v>
      </c>
      <c r="B26" s="15" t="s">
        <v>3677</v>
      </c>
    </row>
    <row r="27" customFormat="false" ht="23.25" hidden="false" customHeight="true" outlineLevel="0" collapsed="false">
      <c r="A27" s="16" t="s">
        <v>3678</v>
      </c>
      <c r="B27" s="15" t="s">
        <v>3679</v>
      </c>
    </row>
    <row r="28" customFormat="false" ht="23.25" hidden="false" customHeight="true" outlineLevel="0" collapsed="false">
      <c r="A28" s="16" t="s">
        <v>3680</v>
      </c>
      <c r="B28" s="15" t="s">
        <v>3681</v>
      </c>
    </row>
    <row r="29" customFormat="false" ht="15" hidden="false" customHeight="true" outlineLevel="0" collapsed="false">
      <c r="A29" s="16"/>
      <c r="B29" s="15"/>
    </row>
    <row r="30" customFormat="false" ht="15" hidden="false" customHeight="true" outlineLevel="0" collapsed="false">
      <c r="A30" s="16" t="s">
        <v>3682</v>
      </c>
      <c r="B30" s="15"/>
    </row>
    <row r="31" customFormat="false" ht="15" hidden="false" customHeight="true" outlineLevel="0" collapsed="false">
      <c r="A31" s="16" t="s">
        <v>3683</v>
      </c>
      <c r="B31" s="15" t="s">
        <v>3684</v>
      </c>
    </row>
    <row r="32" customFormat="false" ht="34.5" hidden="false" customHeight="true" outlineLevel="0" collapsed="false">
      <c r="A32" s="16" t="s">
        <v>3685</v>
      </c>
      <c r="B32" s="15" t="s">
        <v>3686</v>
      </c>
    </row>
    <row r="34" customFormat="false" ht="23.25" hidden="false" customHeight="true" outlineLevel="0" collapsed="false">
      <c r="A34" s="3" t="s">
        <v>3687</v>
      </c>
      <c r="B34" s="15" t="s">
        <v>3688</v>
      </c>
    </row>
    <row r="36" customFormat="false" ht="45.75" hidden="false" customHeight="true" outlineLevel="0" collapsed="false">
      <c r="A36" s="17" t="s">
        <v>3689</v>
      </c>
      <c r="B36" s="15" t="s">
        <v>3690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3691</v>
      </c>
      <c r="B1" s="3" t="s">
        <v>3692</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3693</v>
      </c>
      <c r="B2" s="4" t="s">
        <v>3694</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3695</v>
      </c>
      <c r="B3" s="4" t="s">
        <v>3696</v>
      </c>
      <c r="C3" s="4"/>
      <c r="D3" s="4" t="s">
        <v>5</v>
      </c>
      <c r="E3" s="4" t="s">
        <v>55</v>
      </c>
      <c r="F3" s="4" t="s">
        <v>3697</v>
      </c>
      <c r="G3" s="4" t="s">
        <v>3698</v>
      </c>
      <c r="H3" s="4" t="s">
        <v>116</v>
      </c>
      <c r="I3" s="4" t="s">
        <v>85</v>
      </c>
      <c r="J3" s="4" t="s">
        <v>206</v>
      </c>
      <c r="K3" s="4" t="s">
        <v>14</v>
      </c>
      <c r="L3" s="4" t="s">
        <v>55</v>
      </c>
      <c r="M3" s="4" t="s">
        <v>55</v>
      </c>
      <c r="N3" s="4" t="s">
        <v>434</v>
      </c>
      <c r="O3" s="4" t="s">
        <v>3699</v>
      </c>
    </row>
    <row r="4" customFormat="false" ht="15" hidden="false" customHeight="true" outlineLevel="0" collapsed="false">
      <c r="A4" s="18" t="s">
        <v>3700</v>
      </c>
      <c r="B4" s="4" t="s">
        <v>3701</v>
      </c>
      <c r="C4" s="4"/>
      <c r="D4" s="4" t="s">
        <v>6</v>
      </c>
      <c r="E4" s="4"/>
      <c r="F4" s="4" t="s">
        <v>59</v>
      </c>
      <c r="G4" s="4" t="s">
        <v>3702</v>
      </c>
      <c r="H4" s="4" t="s">
        <v>3703</v>
      </c>
      <c r="I4" s="4" t="s">
        <v>815</v>
      </c>
      <c r="J4" s="4" t="s">
        <v>70</v>
      </c>
      <c r="K4" s="4" t="s">
        <v>15</v>
      </c>
      <c r="L4" s="4" t="s">
        <v>72</v>
      </c>
      <c r="M4" s="4" t="s">
        <v>141</v>
      </c>
      <c r="N4" s="4" t="s">
        <v>1518</v>
      </c>
      <c r="O4" s="4" t="s">
        <v>9</v>
      </c>
    </row>
    <row r="5" customFormat="false" ht="15" hidden="false" customHeight="true" outlineLevel="0" collapsed="false">
      <c r="A5" s="18" t="s">
        <v>3704</v>
      </c>
      <c r="B5" s="4" t="s">
        <v>3705</v>
      </c>
      <c r="C5" s="4"/>
      <c r="D5" s="4" t="s">
        <v>7</v>
      </c>
      <c r="E5" s="4"/>
      <c r="F5" s="4"/>
      <c r="G5" s="4" t="s">
        <v>73</v>
      </c>
      <c r="H5" s="4" t="s">
        <v>3706</v>
      </c>
      <c r="I5" s="4" t="s">
        <v>174</v>
      </c>
      <c r="J5" s="4" t="s">
        <v>87</v>
      </c>
      <c r="K5" s="4" t="s">
        <v>16</v>
      </c>
      <c r="L5" s="4"/>
      <c r="M5" s="4" t="s">
        <v>72</v>
      </c>
      <c r="N5" s="4" t="s">
        <v>90</v>
      </c>
      <c r="O5" s="4" t="s">
        <v>3707</v>
      </c>
    </row>
    <row r="6" customFormat="false" ht="15" hidden="false" customHeight="true" outlineLevel="0" collapsed="false">
      <c r="A6" s="18" t="s">
        <v>3708</v>
      </c>
      <c r="B6" s="4" t="s">
        <v>3709</v>
      </c>
      <c r="C6" s="4"/>
      <c r="D6" s="4" t="s">
        <v>8</v>
      </c>
      <c r="E6" s="4"/>
      <c r="F6" s="4"/>
      <c r="G6" s="4"/>
      <c r="H6" s="4" t="s">
        <v>3710</v>
      </c>
      <c r="I6" s="4" t="s">
        <v>139</v>
      </c>
      <c r="J6" s="4" t="s">
        <v>267</v>
      </c>
      <c r="K6" s="4"/>
      <c r="L6" s="4"/>
      <c r="M6" s="4"/>
      <c r="N6" s="4" t="s">
        <v>73</v>
      </c>
      <c r="O6" s="4"/>
    </row>
    <row r="7" customFormat="false" ht="15" hidden="false" customHeight="true" outlineLevel="0" collapsed="false">
      <c r="A7" s="18" t="s">
        <v>3711</v>
      </c>
      <c r="B7" s="4" t="s">
        <v>3712</v>
      </c>
      <c r="C7" s="4"/>
      <c r="D7" s="4" t="s">
        <v>9</v>
      </c>
      <c r="E7" s="4"/>
      <c r="F7" s="4"/>
      <c r="G7" s="4"/>
      <c r="H7" s="4"/>
      <c r="I7" s="4" t="s">
        <v>187</v>
      </c>
      <c r="J7" s="4" t="s">
        <v>231</v>
      </c>
      <c r="K7" s="4"/>
      <c r="L7" s="4"/>
      <c r="M7" s="4"/>
      <c r="N7" s="4" t="s">
        <v>736</v>
      </c>
      <c r="O7" s="4"/>
    </row>
    <row r="8" customFormat="false" ht="15" hidden="false" customHeight="true" outlineLevel="0" collapsed="false">
      <c r="A8" s="18" t="s">
        <v>3713</v>
      </c>
      <c r="B8" s="4" t="s">
        <v>3714</v>
      </c>
      <c r="C8" s="4"/>
      <c r="D8" s="4"/>
      <c r="E8" s="4"/>
      <c r="F8" s="4"/>
      <c r="G8" s="4"/>
      <c r="H8" s="4"/>
      <c r="I8" s="4" t="s">
        <v>279</v>
      </c>
      <c r="J8" s="4" t="s">
        <v>1028</v>
      </c>
      <c r="K8" s="4"/>
      <c r="L8" s="4"/>
      <c r="M8" s="4"/>
      <c r="N8" s="4"/>
      <c r="O8" s="4"/>
    </row>
    <row r="9" customFormat="false" ht="15" hidden="false" customHeight="true" outlineLevel="0" collapsed="false">
      <c r="A9" s="18" t="s">
        <v>3715</v>
      </c>
      <c r="B9" s="4" t="s">
        <v>3712</v>
      </c>
      <c r="C9" s="4"/>
      <c r="D9" s="4"/>
      <c r="E9" s="4"/>
      <c r="F9" s="4"/>
      <c r="G9" s="4"/>
      <c r="H9" s="4"/>
      <c r="I9" s="4" t="s">
        <v>254</v>
      </c>
      <c r="J9" s="4" t="s">
        <v>124</v>
      </c>
      <c r="K9" s="4"/>
      <c r="L9" s="4"/>
      <c r="M9" s="4"/>
      <c r="N9" s="4"/>
      <c r="O9" s="4"/>
    </row>
    <row r="10" customFormat="false" ht="15" hidden="false" customHeight="true" outlineLevel="0" collapsed="false">
      <c r="A10" s="18" t="s">
        <v>3716</v>
      </c>
      <c r="B10" s="4" t="s">
        <v>2602</v>
      </c>
      <c r="C10" s="4"/>
      <c r="D10" s="4"/>
      <c r="E10" s="4"/>
      <c r="F10" s="4"/>
      <c r="G10" s="4"/>
      <c r="H10" s="4"/>
      <c r="I10" s="4" t="s">
        <v>217</v>
      </c>
      <c r="J10" s="4" t="s">
        <v>395</v>
      </c>
      <c r="K10" s="4"/>
      <c r="L10" s="4"/>
      <c r="M10" s="4"/>
      <c r="N10" s="4"/>
      <c r="O10" s="4"/>
    </row>
    <row r="11" customFormat="false" ht="15" hidden="false" customHeight="true" outlineLevel="0" collapsed="false">
      <c r="A11" s="18" t="s">
        <v>3717</v>
      </c>
      <c r="B11" s="4" t="s">
        <v>3718</v>
      </c>
      <c r="C11" s="4"/>
      <c r="D11" s="4"/>
      <c r="E11" s="4"/>
      <c r="F11" s="4"/>
      <c r="G11" s="4"/>
      <c r="H11" s="4"/>
      <c r="I11" s="4"/>
      <c r="J11" s="4" t="s">
        <v>140</v>
      </c>
      <c r="K11" s="4"/>
      <c r="L11" s="4"/>
      <c r="M11" s="4"/>
      <c r="N11" s="4"/>
      <c r="O11" s="4"/>
    </row>
    <row r="12" customFormat="false" ht="15" hidden="false" customHeight="true" outlineLevel="0" collapsed="false">
      <c r="A12" s="18" t="s">
        <v>3719</v>
      </c>
      <c r="B12" s="4" t="s">
        <v>3720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3721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2026-10-31T11:07:30Z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