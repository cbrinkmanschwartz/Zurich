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Events!$A$1:$AI$21</definedName>
    <definedName function="false" hidden="true" localSheetId="2" name="_xlnm._FilterDatabase" vbProcedure="false">Leads!$A$1:$K$20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<sst xmlns="http://schemas.openxmlformats.org/spreadsheetml/2006/main" count="887" uniqueCount="519">
  <si>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</si>
  <si>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</si>
  <si>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</si>
  <si>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</si>
  <si>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</si>
  <si>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</si>
  <si>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</si>
  <si>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</si>
  <si>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</si>
  <si>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</si>
  <si>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</si>
  <si>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</si>
  <si>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</si>
  <si>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</si>
  <si>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</si>
  <si>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</si>
  <si>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</si>
  <si>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</si>
  <si>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</si>
  <si>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</si>
  <si>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</si>
  <si>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</si>
  <si>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</si>
  <si>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</si>
  <si>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</si>
  <si>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</si>
  <si>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</si>
  <si>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</si>
  <si>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</si>
  <si>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</si>
  <si>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</si>
  <si>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</si>
  <si>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</si>
  <si>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</si>
  <si>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</si>
  <si>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</si>
  <si>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</si>
  <si>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</si>
  <si>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</si>
  <si>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</si>
  <si>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</si>
  <si>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</si>
  <si>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</si>
  <si>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</si>
  <si>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</si>
  <si>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</si>
  <si>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</si>
  <si>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</si>
  <si>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</si>
  <si>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</si>
  <si>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</si>
  <si>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</si>
  <si>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</si>
  <si>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</si>
  <si>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</si>
  <si>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</si>
  <si>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</si>
  <si>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</si>
  <si>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</si>
  <si>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</si>
  <si>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</si>
  <si>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</si>
  <si>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</si>
  <si>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</si>
  <si>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</si>
  <si>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</si>
  <si>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</si>
  <si>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</si>
  <si>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</si>
  <si>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</si>
  <si>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</si>
  <si>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</si>
  <si>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</si>
  <si>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</si>
  <si>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</si>
  <si>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</si>
  <si>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</si>
  <si>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</si>
  <si>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</si>
  <si>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</si>
  <si>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</si>
  <si>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</si>
  <si>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</si>
  <si>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</si>
  <si>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</si>
  <si>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</si>
  <si>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</si>
  <si>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</si>
  <si>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</si>
  <si>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</si>
  <si>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</si>
  <si>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</si>
  <si>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</si>
  <si>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</si>
  <si>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</si>
  <si>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</si>
  <si>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</si>
  <si>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</si>
  <si>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</si>
  <si>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</si>
  <si>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</si>
  <si>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</si>
  <si>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</si>
  <si>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</si>
  <si>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</si>
  <si>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</si>
  <si>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</si>
  <si>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</si>
  <si>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</si>
  <si>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</si>
  <si>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</si>
  <si>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</si>
  <si>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</si>
  <si>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</si>
  <si>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</si>
  <si>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</si>
  <si>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</si>
  <si>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</si>
  <si>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</si>
  <si>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</si>
  <si>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</si>
  <si>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</si>
  <si>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</si>
  <si>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</si>
  <si>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</si>
  <si>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</si>
  <si>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</si>
  <si>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</si>
  <si>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</si>
  <si>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</si>
  <si>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</si>
  <si>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</si>
  <si>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</si>
  <si>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</si>
  <si>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</si>
  <si>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</si>
  <si>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</si>
  <si>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</si>
  <si>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</si>
  <si>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</si>
  <si>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</si>
  <si>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</si>
  <si>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</si>
  <si>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</si>
  <si>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</si>
  <si>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</si>
  <si>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</si>
  <si>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</si>
  <si>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</si>
  <si>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</si>
  <si>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</si>
  <si>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</si>
  <si>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</si>
  <si>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</si>
  <si>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</si>
  <si>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</si>
  <si>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</si>
  <si>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</si>
  <si>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</si>
  <si>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</si>
  <si>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</si>
  <si>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</si>
  <si>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</si>
  <si>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</si>
  <si>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</si>
  <si>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</si>
  <si>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</si>
  <si>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</si>
  <si>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</si>
  <si>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</si>
  <si>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</si>
  <si>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</si>
  <si>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</si>
  <si>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</si>
  <si>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</si>
  <si>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</si>
  <si>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</si>
  <si>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</si>
  <si>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</si>
  <si>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</si>
  <si>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</si>
  <si>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</si>
  <si>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</si>
  <si>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</si>
  <si>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</si>
  <si>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</si>
  <si>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</si>
  <si>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</si>
  <si>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</si>
  <si>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</si>
  <si>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</si>
  <si>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</si>
  <si>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</si>
  <si>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</si>
  <si>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</si>
  <si>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</si>
  <si>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</si>
  <si>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</si>
  <si>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</si>
  <si>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</si>
  <si>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</si>
  <si>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</si>
  <si>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</si>
  <si>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</si>
  <si>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</si>
  <si>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</si>
  <si>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</si>
  <si>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</si>
  <si>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</si>
  <si>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</si>
  <si>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</si>
  <si>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</si>
  <si>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</si>
  <si>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</si>
  <si>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</si>
  <si>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</si>
  <si>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</si>
  <si>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</si>
  <si>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</si>
  <si>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</si>
  <si>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</si>
  <si>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</si>
  <si>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</si>
  <si>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</si>
  <si>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</si>
  <si>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</si>
  <si>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</si>
  <si>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</si>
  <si>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</si>
  <si>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</si>
  <si>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</si>
  <si>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</si>
  <si>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</si>
  <si>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</si>
  <si>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</si>
  <si>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</si>
  <si>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</si>
  <si>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</si>
  <si>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</si>
  <si>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</si>
  <si>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</si>
  <si>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</si>
  <si>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</si>
  <si>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</si>
  <si>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</si>
  <si>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</si>
  <si>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</si>
  <si>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</si>
  <si>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</si>
  <si>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</si>
  <si>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</si>
  <si>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</si>
  <si>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</si>
  <si>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</si>
  <si>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</si>
  <si>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</si>
  <si>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</si>
  <si>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</si>
  <si>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</si>
  <si>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</si>
  <si>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</si>
  <si>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</si>
  <si>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</si>
  <si>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</si>
  <si>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</si>
  <si>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</si>
  <si>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</si>
  <si>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</si>
  <si>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</si>
  <si>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</si>
  <si>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</si>
  <si>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</si>
  <si>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</si>
  <si>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</si>
  <si>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</si>
  <si>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</si>
  <si>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</si>
  <si>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</si>
  <si>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</si>
  <si>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</si>
  <si>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</si>
  <si>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</si>
  <si>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</si>
  <si>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</si>
  <si>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</si>
  <si>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</si>
  <si>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</si>
  <si>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</si>
  <si>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</si>
  <si>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</si>
  <si>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</si>
  <si>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</si>
  <si>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</si>
  <si>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</si>
  <si>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</si>
  <si>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</si>
  <si>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</si>
  <si>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</si>
  <si>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</si>
  <si>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</si>
  <si>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</si>
  <si>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</si>
  <si>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</si>
  <si>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</si>
  <si>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</si>
  <si>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</si>
  <si>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</si>
  <si>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</si>
  <si>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</si>
  <si>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</si>
  <si>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</si>
  <si>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</si>
  <si>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</si>
  <si>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</si>
  <si>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</si>
  <si>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</si>
  <si>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</si>
  <si>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</si>
  <si>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</si>
  <si>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</si>
  <si>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</si>
  <si>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</si>
  <si>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</si>
  <si>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</si>
  <si>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</si>
  <si>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</si>
  <si>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</si>
  <si>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</si>
  <si>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</si>
  <si>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</si>
  <si>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</si>
  <si>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</si>
  <si>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</si>
  <si>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</si>
  <si>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</si>
  <si>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</si>
  <si>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</si>
  <si>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</si>
  <si>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</si>
  <si>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</si>
  <si>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</si>
  <si>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</si>
  <si>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</si>
  <si>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</si>
  <si>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</si>
  <si>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</si>
  <si>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</si>
  <si>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</si>
  <si>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</si>
  <si>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</si>
  <si>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</si>
  <si>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</si>
  <si>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</si>
  <si>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</si>
  <si>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</si>
  <si>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</si>
  <si>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</si>
  <si>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</si>
  <si>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</si>
  <si>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</si>
  <si>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</si>
  <si>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</si>
  <si>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</si>
  <si>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</si>
  <si>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</si>
  <si>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</si>
  <si>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</si>
  <si>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</si>
  <si>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</si>
  <si>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</si>
  <si>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</si>
  <si>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</si>
  <si>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</si>
  <si>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</si>
  <si>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</si>
  <si>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</si>
  <si>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</si>
  <si>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</si>
  <si>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</si>
  <si>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</si>
  <si>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</si>
  <si>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</si>
  <si>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</si>
  <si>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</si>
  <si>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</si>
  <si>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</si>
  <si>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</si>
  <si>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</si>
  <si>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</si>
  <si>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</si>
  <si>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</si>
  <si>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</si>
  <si>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</si>
  <si>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</si>
  <si>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</si>
  <si>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</si>
  <si>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</si>
  <si>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</si>
  <si>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</si>
  <si>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</si>
  <si>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</si>
  <si>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</si>
  <si>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</si>
  <si>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</si>
  <si>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</si>
  <si>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</si>
  <si>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</si>
  <si>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</si>
  <si>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</si>
  <si>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</si>
  <si>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</si>
  <si>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</si>
  <si>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</si>
  <si>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</si>
  <si>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</si>
  <si>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</si>
  <si>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</si>
  <si>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</si>
  <si>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</si>
  <si>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</si>
  <si>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</si>
  <si>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</si>
  <si>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</si>
  <si>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</si>
  <si>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</si>
  <si>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</si>
  <si>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</si>
  <si>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</si>
  <si>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</si>
  <si>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</si>
  <si>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</si>
  <si>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</si>
  <si>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</si>
  <si>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</si>
  <si>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</si>
  <si>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</si>
  <si>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</si>
  <si>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</si>
  <si>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</si>
  <si>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</si>
  <si>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</si>
  <si>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</si>
  <si>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</si>
  <si>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</si>
  <si>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</si>
  <si>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</si>
  <si>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</si>
  <si>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</si>
  <si>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</si>
  <si>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</si>
  <si>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</si>
  <si>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</si>
  <si>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</si>
  <si>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</si>
  <si>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</si>
  <si>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</si>
  <si>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</si>
  <si>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</si>
  <si>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</si>
  <si>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</si>
  <si>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</si>
  <si>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</si>
  <si>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</si>
  <si>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</si>
  <si>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</si>
  <si>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</si>
  <si>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</si>
  <si>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</si>
  <si>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</si>
  <si>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</si>
  <si>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</si>
  <si>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</si>
  <si>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</si>
  <si>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</si>
  <si>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</si>
  <si>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</si>
  <si>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</si>
  <si>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</si>
  <si>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Gap files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</si>
  <si>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still unread - file not yet received.</t>
  </si>
  <si>
    <t xml:space="preserve">Leads sheet</t>
  </si>
  <si>
    <t xml:space="preserve">Events cited by secondary works (Gee, Bend) but NOT yet seen in the original. Move a lead to Events only after reading the document; then set Verified = Y here.</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</si>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</sst>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8</v>
      </c>
    </row>
    <row r="6" customFormat="false" ht="15" hidden="false" customHeight="true" outlineLevel="0" collapsed="false">
      <c r="A6" s="4" t="s">
        <v>5</v>
      </c>
      <c r="B6" s="4" t="n">
        <f aca="false">COUNTIF(Events!$C$2:$C$1000,A6)</f>
        <v>4</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20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v>
      </c>
    </row>
    <row r="16" customFormat="false" ht="15" hidden="false" customHeight="true" outlineLevel="0" collapsed="false">
      <c r="A16" s="4" t="s">
        <v>14</v>
      </c>
      <c r="B16" s="4" t="n">
        <f aca="false">COUNTIFS(Events!$C$2:$C$1000,"Request for troops",Events!$Y$2:$Y$1000,A16)</f>
        <v>4</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0</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20</v>
      </c>
    </row>
    <row r="38" customFormat="false" ht="15" hidden="false" customHeight="true" outlineLevel="0" collapsed="false">
      <c r="A38" s="3" t="s">
        <v>19</v>
      </c>
      <c r="B38" s="4" t="n">
        <f aca="false">SUMPRODUCT((Events!$B$2:$B$1000&lt;&gt;"")/COUNTIF(Events!$B$2:$B$1000,Events!$B$2:$B$1000&amp;""))</f>
        <v>16</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O22" s="12"/>
    </row>
    <row r="23" customFormat="false" ht="15" hidden="false" customHeight="true" outlineLevel="0" collapsed="false">
      <c r="O23" s="12"/>
    </row>
    <row r="24" customFormat="false" ht="15" hidden="false" customHeight="true" outlineLevel="0" collapsed="false">
      <c r="O24" s="12"/>
    </row>
    <row r="25" customFormat="false" ht="15" hidden="false" customHeight="true" outlineLevel="0" collapsed="false">
      <c r="O25" s="12"/>
    </row>
    <row r="26" customFormat="false" ht="15" hidden="false" customHeight="true" outlineLevel="0" collapsed="false">
      <c r="O26" s="12"/>
    </row>
    <row r="27" customFormat="false" ht="15" hidden="false" customHeight="true" outlineLevel="0" collapsed="false">
      <c r="O27" s="12"/>
    </row>
    <row r="28" customFormat="false" ht="15" hidden="false" customHeight="true" outlineLevel="0" collapsed="false">
      <c r="O28" s="12"/>
    </row>
    <row r="29" customFormat="false" ht="15" hidden="false" customHeight="true" outlineLevel="0" collapsed="false">
      <c r="O29" s="12"/>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2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309</v>
      </c>
      <c r="B1" s="5" t="s">
        <v>2</v>
      </c>
      <c r="C1" s="5" t="s">
        <v>310</v>
      </c>
      <c r="D1" s="5" t="s">
        <v>37</v>
      </c>
      <c r="E1" s="5" t="s">
        <v>34</v>
      </c>
      <c r="F1" s="5" t="s">
        <v>311</v>
      </c>
      <c r="G1" s="5" t="s">
        <v>312</v>
      </c>
      <c r="H1" s="5" t="s">
        <v>313</v>
      </c>
      <c r="I1" s="5" t="s">
        <v>314</v>
      </c>
      <c r="J1" s="5" t="s">
        <v>315</v>
      </c>
      <c r="K1" s="5" t="s">
        <v>316</v>
      </c>
    </row>
    <row r="2" customFormat="false" ht="57" hidden="false" customHeight="true" outlineLevel="0" collapsed="false">
      <c r="A2" s="6" t="s">
        <v>317</v>
      </c>
      <c r="B2" s="6" t="s">
        <v>4</v>
      </c>
      <c r="C2" s="6" t="s">
        <v>318</v>
      </c>
      <c r="D2" s="6" t="s">
        <v>319</v>
      </c>
      <c r="E2" s="8" t="s">
        <v>320</v>
      </c>
      <c r="F2" s="6" t="s">
        <v>321</v>
      </c>
      <c r="G2" s="6" t="s">
        <v>322</v>
      </c>
      <c r="H2" s="6" t="s">
        <v>323</v>
      </c>
      <c r="I2" s="6" t="s">
        <v>55</v>
      </c>
      <c r="J2" s="6" t="s">
        <v>324</v>
      </c>
      <c r="K2" s="6" t="s">
        <v>325</v>
      </c>
    </row>
    <row r="3" customFormat="false" ht="23.25" hidden="false" customHeight="true" outlineLevel="0" collapsed="false">
      <c r="A3" s="6" t="s">
        <v>326</v>
      </c>
      <c r="B3" s="6" t="s">
        <v>4</v>
      </c>
      <c r="C3" s="6" t="s">
        <v>327</v>
      </c>
      <c r="D3" s="6" t="s">
        <v>319</v>
      </c>
      <c r="E3" s="8" t="s">
        <v>328</v>
      </c>
      <c r="F3" s="6" t="s">
        <v>329</v>
      </c>
      <c r="G3" s="6" t="s">
        <v>330</v>
      </c>
      <c r="H3" s="6" t="s">
        <v>331</v>
      </c>
      <c r="I3" s="6" t="s">
        <v>55</v>
      </c>
      <c r="J3" s="6" t="s">
        <v>324</v>
      </c>
      <c r="K3" s="6" t="s">
        <v>332</v>
      </c>
    </row>
    <row r="4" customFormat="false" ht="23.25" hidden="false" customHeight="true" outlineLevel="0" collapsed="false">
      <c r="A4" s="6" t="s">
        <v>333</v>
      </c>
      <c r="B4" s="6" t="s">
        <v>4</v>
      </c>
      <c r="C4" s="6" t="s">
        <v>184</v>
      </c>
      <c r="D4" s="6" t="s">
        <v>185</v>
      </c>
      <c r="E4" s="8" t="s">
        <v>334</v>
      </c>
      <c r="F4" s="6" t="s">
        <v>335</v>
      </c>
      <c r="G4" s="6" t="s">
        <v>336</v>
      </c>
      <c r="H4" s="6" t="s">
        <v>337</v>
      </c>
      <c r="I4" s="6" t="s">
        <v>55</v>
      </c>
      <c r="J4" s="6" t="s">
        <v>338</v>
      </c>
      <c r="K4" s="6" t="s">
        <v>339</v>
      </c>
    </row>
    <row r="5" customFormat="false" ht="34.5" hidden="false" customHeight="true" outlineLevel="0" collapsed="false">
      <c r="A5" s="6" t="s">
        <v>340</v>
      </c>
      <c r="B5" s="6" t="s">
        <v>9</v>
      </c>
      <c r="C5" s="6" t="s">
        <v>341</v>
      </c>
      <c r="D5" s="6" t="s">
        <v>342</v>
      </c>
      <c r="E5" s="8" t="s">
        <v>343</v>
      </c>
      <c r="F5" s="6" t="s">
        <v>344</v>
      </c>
      <c r="G5" s="6" t="s">
        <v>345</v>
      </c>
      <c r="H5" s="6" t="s">
        <v>337</v>
      </c>
      <c r="I5" s="6" t="s">
        <v>55</v>
      </c>
      <c r="J5" s="6" t="s">
        <v>346</v>
      </c>
      <c r="K5" s="6" t="s">
        <v>347</v>
      </c>
    </row>
    <row r="6" customFormat="false" ht="23.25" hidden="false" customHeight="true" outlineLevel="0" collapsed="false">
      <c r="A6" s="6" t="s">
        <v>348</v>
      </c>
      <c r="B6" s="6" t="s">
        <v>6</v>
      </c>
      <c r="C6" s="6" t="s">
        <v>349</v>
      </c>
      <c r="D6" s="6" t="s">
        <v>319</v>
      </c>
      <c r="E6" s="8" t="s">
        <v>328</v>
      </c>
      <c r="F6" s="6" t="s">
        <v>350</v>
      </c>
      <c r="G6" s="6" t="s">
        <v>351</v>
      </c>
      <c r="H6" s="6" t="s">
        <v>331</v>
      </c>
      <c r="I6" s="6" t="s">
        <v>55</v>
      </c>
      <c r="J6" s="6" t="s">
        <v>338</v>
      </c>
      <c r="K6" s="6"/>
    </row>
    <row r="7" customFormat="false" ht="34.5" hidden="false" customHeight="true" outlineLevel="0" collapsed="false">
      <c r="A7" s="6" t="s">
        <v>352</v>
      </c>
      <c r="B7" s="6" t="s">
        <v>6</v>
      </c>
      <c r="C7" s="6" t="s">
        <v>353</v>
      </c>
      <c r="D7" s="6" t="s">
        <v>252</v>
      </c>
      <c r="E7" s="8" t="s">
        <v>354</v>
      </c>
      <c r="F7" s="6" t="s">
        <v>355</v>
      </c>
      <c r="G7" s="6" t="s">
        <v>356</v>
      </c>
      <c r="H7" s="6" t="s">
        <v>331</v>
      </c>
      <c r="I7" s="6" t="s">
        <v>55</v>
      </c>
      <c r="J7" s="6" t="s">
        <v>338</v>
      </c>
      <c r="K7" s="6" t="s">
        <v>357</v>
      </c>
    </row>
    <row r="8" customFormat="false" ht="23.25" hidden="false" customHeight="true" outlineLevel="0" collapsed="false">
      <c r="A8" s="6" t="s">
        <v>358</v>
      </c>
      <c r="B8" s="6" t="s">
        <v>4</v>
      </c>
      <c r="C8" s="6" t="s">
        <v>359</v>
      </c>
      <c r="D8" s="6" t="s">
        <v>360</v>
      </c>
      <c r="E8" s="8" t="s">
        <v>361</v>
      </c>
      <c r="F8" s="6" t="s">
        <v>362</v>
      </c>
      <c r="G8" s="6" t="s">
        <v>363</v>
      </c>
      <c r="H8" s="6" t="s">
        <v>331</v>
      </c>
      <c r="I8" s="6" t="s">
        <v>55</v>
      </c>
      <c r="J8" s="6" t="s">
        <v>324</v>
      </c>
      <c r="K8" s="6" t="s">
        <v>364</v>
      </c>
    </row>
    <row r="9" customFormat="false" ht="23.25" hidden="false" customHeight="true" outlineLevel="0" collapsed="false">
      <c r="A9" s="6" t="s">
        <v>365</v>
      </c>
      <c r="B9" s="6" t="s">
        <v>4</v>
      </c>
      <c r="C9" s="6" t="s">
        <v>366</v>
      </c>
      <c r="D9" s="6" t="s">
        <v>172</v>
      </c>
      <c r="E9" s="8" t="s">
        <v>367</v>
      </c>
      <c r="F9" s="6" t="s">
        <v>368</v>
      </c>
      <c r="G9" s="6" t="s">
        <v>369</v>
      </c>
      <c r="H9" s="6" t="s">
        <v>331</v>
      </c>
      <c r="I9" s="6" t="s">
        <v>55</v>
      </c>
      <c r="J9" s="6" t="s">
        <v>324</v>
      </c>
      <c r="K9" s="6"/>
    </row>
    <row r="10" customFormat="false" ht="23.25" hidden="false" customHeight="true" outlineLevel="0" collapsed="false">
      <c r="A10" s="6" t="s">
        <v>370</v>
      </c>
      <c r="B10" s="6" t="s">
        <v>9</v>
      </c>
      <c r="C10" s="6" t="s">
        <v>195</v>
      </c>
      <c r="D10" s="6" t="s">
        <v>196</v>
      </c>
      <c r="E10" s="8" t="s">
        <v>371</v>
      </c>
      <c r="F10" s="6" t="s">
        <v>372</v>
      </c>
      <c r="G10" s="6" t="s">
        <v>373</v>
      </c>
      <c r="H10" s="6" t="s">
        <v>331</v>
      </c>
      <c r="I10" s="6" t="s">
        <v>55</v>
      </c>
      <c r="J10" s="6" t="s">
        <v>338</v>
      </c>
      <c r="K10" s="6" t="s">
        <v>374</v>
      </c>
    </row>
    <row r="11" customFormat="false" ht="34.5" hidden="false" customHeight="true" outlineLevel="0" collapsed="false">
      <c r="A11" s="6" t="s">
        <v>375</v>
      </c>
      <c r="B11" s="6" t="s">
        <v>5</v>
      </c>
      <c r="C11" s="6" t="s">
        <v>376</v>
      </c>
      <c r="D11" s="6" t="s">
        <v>377</v>
      </c>
      <c r="E11" s="8" t="s">
        <v>378</v>
      </c>
      <c r="F11" s="6" t="s">
        <v>379</v>
      </c>
      <c r="G11" s="6" t="s">
        <v>380</v>
      </c>
      <c r="H11" s="6" t="s">
        <v>331</v>
      </c>
      <c r="I11" s="6" t="s">
        <v>55</v>
      </c>
      <c r="J11" s="6" t="s">
        <v>338</v>
      </c>
      <c r="K11" s="6" t="s">
        <v>381</v>
      </c>
    </row>
    <row r="12" customFormat="false" ht="23.25" hidden="false" customHeight="true" outlineLevel="0" collapsed="false">
      <c r="A12" s="6" t="s">
        <v>382</v>
      </c>
      <c r="B12" s="6" t="s">
        <v>5</v>
      </c>
      <c r="C12" s="6" t="s">
        <v>383</v>
      </c>
      <c r="D12" s="6" t="s">
        <v>252</v>
      </c>
      <c r="E12" s="8" t="s">
        <v>384</v>
      </c>
      <c r="F12" s="6" t="s">
        <v>385</v>
      </c>
      <c r="G12" s="6" t="s">
        <v>386</v>
      </c>
      <c r="H12" s="6" t="s">
        <v>331</v>
      </c>
      <c r="I12" s="6" t="s">
        <v>55</v>
      </c>
      <c r="J12" s="6" t="s">
        <v>338</v>
      </c>
      <c r="K12" s="6" t="s">
        <v>387</v>
      </c>
    </row>
    <row r="13" customFormat="false" ht="23.25" hidden="false" customHeight="true" outlineLevel="0" collapsed="false">
      <c r="A13" s="6" t="s">
        <v>388</v>
      </c>
      <c r="B13" s="6" t="s">
        <v>6</v>
      </c>
      <c r="C13" s="6" t="s">
        <v>389</v>
      </c>
      <c r="D13" s="6" t="s">
        <v>390</v>
      </c>
      <c r="E13" s="8" t="s">
        <v>391</v>
      </c>
      <c r="F13" s="6" t="s">
        <v>392</v>
      </c>
      <c r="G13" s="6" t="s">
        <v>393</v>
      </c>
      <c r="H13" s="6" t="s">
        <v>331</v>
      </c>
      <c r="I13" s="6" t="s">
        <v>55</v>
      </c>
      <c r="J13" s="6" t="s">
        <v>346</v>
      </c>
      <c r="K13" s="6" t="s">
        <v>394</v>
      </c>
    </row>
    <row r="14" customFormat="false" ht="23.25" hidden="false" customHeight="true" outlineLevel="0" collapsed="false">
      <c r="A14" s="6" t="s">
        <v>395</v>
      </c>
      <c r="B14" s="6" t="s">
        <v>6</v>
      </c>
      <c r="C14" s="6" t="s">
        <v>396</v>
      </c>
      <c r="D14" s="6" t="s">
        <v>185</v>
      </c>
      <c r="E14" s="8" t="s">
        <v>397</v>
      </c>
      <c r="F14" s="6" t="s">
        <v>398</v>
      </c>
      <c r="G14" s="6" t="s">
        <v>399</v>
      </c>
      <c r="H14" s="6" t="s">
        <v>331</v>
      </c>
      <c r="I14" s="6" t="s">
        <v>55</v>
      </c>
      <c r="J14" s="6" t="s">
        <v>346</v>
      </c>
      <c r="K14" s="6" t="s">
        <v>400</v>
      </c>
    </row>
    <row r="15" customFormat="false" ht="34.5" hidden="false" customHeight="true" outlineLevel="0" collapsed="false">
      <c r="A15" s="6" t="s">
        <v>401</v>
      </c>
      <c r="B15" s="6" t="s">
        <v>9</v>
      </c>
      <c r="C15" s="6" t="s">
        <v>402</v>
      </c>
      <c r="D15" s="6" t="s">
        <v>403</v>
      </c>
      <c r="E15" s="8" t="s">
        <v>404</v>
      </c>
      <c r="F15" s="6" t="s">
        <v>405</v>
      </c>
      <c r="G15" s="6" t="s">
        <v>406</v>
      </c>
      <c r="H15" s="6" t="s">
        <v>331</v>
      </c>
      <c r="I15" s="6" t="s">
        <v>55</v>
      </c>
      <c r="J15" s="6" t="s">
        <v>338</v>
      </c>
      <c r="K15" s="6" t="s">
        <v>407</v>
      </c>
    </row>
    <row r="16" customFormat="false" ht="34.5" hidden="false" customHeight="true" outlineLevel="0" collapsed="false">
      <c r="A16" s="6" t="s">
        <v>408</v>
      </c>
      <c r="B16" s="6" t="s">
        <v>9</v>
      </c>
      <c r="C16" s="6" t="s">
        <v>402</v>
      </c>
      <c r="D16" s="6" t="s">
        <v>403</v>
      </c>
      <c r="E16" s="8" t="s">
        <v>409</v>
      </c>
      <c r="F16" s="6" t="s">
        <v>410</v>
      </c>
      <c r="G16" s="6" t="s">
        <v>411</v>
      </c>
      <c r="H16" s="6" t="s">
        <v>331</v>
      </c>
      <c r="I16" s="6" t="s">
        <v>55</v>
      </c>
      <c r="J16" s="6" t="s">
        <v>338</v>
      </c>
      <c r="K16" s="6" t="s">
        <v>412</v>
      </c>
    </row>
    <row r="17" customFormat="false" ht="34.5" hidden="false" customHeight="true" outlineLevel="0" collapsed="false">
      <c r="A17" s="6" t="s">
        <v>413</v>
      </c>
      <c r="B17" s="6" t="s">
        <v>4</v>
      </c>
      <c r="C17" s="6" t="s">
        <v>227</v>
      </c>
      <c r="D17" s="6" t="s">
        <v>228</v>
      </c>
      <c r="E17" s="8" t="s">
        <v>414</v>
      </c>
      <c r="F17" s="6" t="s">
        <v>415</v>
      </c>
      <c r="G17" s="6" t="s">
        <v>416</v>
      </c>
      <c r="H17" s="6" t="s">
        <v>331</v>
      </c>
      <c r="I17" s="6" t="s">
        <v>55</v>
      </c>
      <c r="J17" s="6" t="s">
        <v>324</v>
      </c>
      <c r="K17" s="6" t="s">
        <v>417</v>
      </c>
    </row>
    <row r="18" customFormat="false" ht="45.75" hidden="false" customHeight="true" outlineLevel="0" collapsed="false">
      <c r="A18" s="6" t="s">
        <v>418</v>
      </c>
      <c r="B18" s="6" t="s">
        <v>4</v>
      </c>
      <c r="C18" s="6" t="s">
        <v>227</v>
      </c>
      <c r="D18" s="6" t="s">
        <v>241</v>
      </c>
      <c r="E18" s="8" t="s">
        <v>419</v>
      </c>
      <c r="F18" s="6" t="s">
        <v>420</v>
      </c>
      <c r="G18" s="6" t="s">
        <v>421</v>
      </c>
      <c r="H18" s="6" t="s">
        <v>331</v>
      </c>
      <c r="I18" s="6" t="s">
        <v>55</v>
      </c>
      <c r="J18" s="6" t="s">
        <v>338</v>
      </c>
      <c r="K18" s="6" t="s">
        <v>422</v>
      </c>
    </row>
    <row r="19" customFormat="false" ht="23.25" hidden="false" customHeight="true" outlineLevel="0" collapsed="false">
      <c r="A19" s="6" t="s">
        <v>423</v>
      </c>
      <c r="B19" s="6" t="s">
        <v>9</v>
      </c>
      <c r="C19" s="6" t="s">
        <v>424</v>
      </c>
      <c r="D19" s="6" t="s">
        <v>403</v>
      </c>
      <c r="E19" s="8" t="s">
        <v>425</v>
      </c>
      <c r="F19" s="6" t="s">
        <v>426</v>
      </c>
      <c r="G19" s="6" t="s">
        <v>427</v>
      </c>
      <c r="H19" s="6" t="s">
        <v>331</v>
      </c>
      <c r="I19" s="6" t="s">
        <v>55</v>
      </c>
      <c r="J19" s="6" t="s">
        <v>324</v>
      </c>
      <c r="K19" s="6" t="s">
        <v>428</v>
      </c>
    </row>
    <row r="20" customFormat="false" ht="34.5" hidden="false" customHeight="true" outlineLevel="0" collapsed="false">
      <c r="A20" s="6" t="s">
        <v>429</v>
      </c>
      <c r="B20" s="6" t="s">
        <v>9</v>
      </c>
      <c r="C20" s="6" t="s">
        <v>366</v>
      </c>
      <c r="D20" s="6" t="s">
        <v>172</v>
      </c>
      <c r="E20" s="8" t="s">
        <v>430</v>
      </c>
      <c r="F20" s="6" t="s">
        <v>431</v>
      </c>
      <c r="G20" s="6" t="s">
        <v>432</v>
      </c>
      <c r="H20" s="6" t="s">
        <v>433</v>
      </c>
      <c r="I20" s="6" t="s">
        <v>434</v>
      </c>
      <c r="J20" s="6" t="s">
        <v>338</v>
      </c>
      <c r="K20" s="6" t="s">
        <v>435</v>
      </c>
    </row>
  </sheetData>
  <autoFilter ref="A1:K2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436</v>
      </c>
      <c r="B1" s="14"/>
    </row>
    <row r="2" customFormat="false" ht="15" hidden="false" customHeight="true" outlineLevel="0" collapsed="false">
      <c r="A2" s="15"/>
      <c r="B2" s="14"/>
    </row>
    <row r="3" customFormat="false" ht="15" hidden="false" customHeight="true" outlineLevel="0" collapsed="false">
      <c r="A3" s="15" t="s">
        <v>437</v>
      </c>
      <c r="B3" s="14" t="s">
        <v>438</v>
      </c>
    </row>
    <row r="4" customFormat="false" ht="23.25" hidden="false" customHeight="true" outlineLevel="0" collapsed="false">
      <c r="A4" s="15" t="s">
        <v>315</v>
      </c>
      <c r="B4" s="14" t="s">
        <v>439</v>
      </c>
    </row>
    <row r="5" customFormat="false" ht="23.25" hidden="false" customHeight="true" outlineLevel="0" collapsed="false">
      <c r="A5" s="15" t="s">
        <v>440</v>
      </c>
      <c r="B5" s="14" t="s">
        <v>441</v>
      </c>
    </row>
    <row r="6" customFormat="false" ht="15" hidden="false" customHeight="true" outlineLevel="0" collapsed="false">
      <c r="A6" s="15" t="s">
        <v>442</v>
      </c>
      <c r="B6" s="14" t="s">
        <v>443</v>
      </c>
    </row>
    <row r="7" customFormat="false" ht="15" hidden="false" customHeight="true" outlineLevel="0" collapsed="false">
      <c r="A7" s="15"/>
      <c r="B7" s="14"/>
    </row>
    <row r="8" customFormat="false" ht="15" hidden="false" customHeight="true" outlineLevel="0" collapsed="false">
      <c r="A8" s="15" t="s">
        <v>444</v>
      </c>
      <c r="B8" s="14"/>
    </row>
    <row r="9" customFormat="false" ht="15" hidden="false" customHeight="true" outlineLevel="0" collapsed="false">
      <c r="A9" s="15" t="s">
        <v>4</v>
      </c>
      <c r="B9" s="14" t="s">
        <v>445</v>
      </c>
    </row>
    <row r="10" customFormat="false" ht="15" hidden="false" customHeight="true" outlineLevel="0" collapsed="false">
      <c r="A10" s="15" t="s">
        <v>5</v>
      </c>
      <c r="B10" s="14" t="s">
        <v>446</v>
      </c>
    </row>
    <row r="11" customFormat="false" ht="15" hidden="false" customHeight="true" outlineLevel="0" collapsed="false">
      <c r="A11" s="15" t="s">
        <v>6</v>
      </c>
      <c r="B11" s="14" t="s">
        <v>447</v>
      </c>
    </row>
    <row r="12" customFormat="false" ht="15" hidden="false" customHeight="true" outlineLevel="0" collapsed="false">
      <c r="A12" s="15" t="s">
        <v>7</v>
      </c>
      <c r="B12" s="14" t="s">
        <v>448</v>
      </c>
    </row>
    <row r="13" customFormat="false" ht="15" hidden="false" customHeight="true" outlineLevel="0" collapsed="false">
      <c r="A13" s="15" t="s">
        <v>8</v>
      </c>
      <c r="B13" s="14" t="s">
        <v>449</v>
      </c>
    </row>
    <row r="14" customFormat="false" ht="15" hidden="false" customHeight="true" outlineLevel="0" collapsed="false">
      <c r="A14" s="15"/>
      <c r="B14" s="14"/>
    </row>
    <row r="15" customFormat="false" ht="15" hidden="false" customHeight="true" outlineLevel="0" collapsed="false">
      <c r="A15" s="15" t="s">
        <v>450</v>
      </c>
      <c r="B15" s="14"/>
    </row>
    <row r="16" customFormat="false" ht="15" hidden="false" customHeight="true" outlineLevel="0" collapsed="false">
      <c r="A16" s="15" t="s">
        <v>451</v>
      </c>
      <c r="B16" s="14" t="s">
        <v>452</v>
      </c>
    </row>
    <row r="17" customFormat="false" ht="15" hidden="false" customHeight="true" outlineLevel="0" collapsed="false">
      <c r="A17" s="15" t="s">
        <v>453</v>
      </c>
      <c r="B17" s="14" t="s">
        <v>454</v>
      </c>
    </row>
    <row r="18" customFormat="false" ht="15" hidden="false" customHeight="true" outlineLevel="0" collapsed="false">
      <c r="A18" s="15" t="s">
        <v>455</v>
      </c>
      <c r="B18" s="14" t="s">
        <v>456</v>
      </c>
    </row>
    <row r="19" customFormat="false" ht="15" hidden="false" customHeight="true" outlineLevel="0" collapsed="false">
      <c r="A19" s="15" t="s">
        <v>457</v>
      </c>
      <c r="B19" s="14" t="s">
        <v>458</v>
      </c>
    </row>
    <row r="20" customFormat="false" ht="15" hidden="false" customHeight="true" outlineLevel="0" collapsed="false">
      <c r="A20" s="15" t="s">
        <v>459</v>
      </c>
      <c r="B20" s="14" t="s">
        <v>460</v>
      </c>
    </row>
    <row r="21" customFormat="false" ht="15" hidden="false" customHeight="true" outlineLevel="0" collapsed="false">
      <c r="A21" s="15" t="s">
        <v>461</v>
      </c>
      <c r="B21" s="14" t="s">
        <v>462</v>
      </c>
    </row>
    <row r="22" customFormat="false" ht="15" hidden="false" customHeight="true" outlineLevel="0" collapsed="false">
      <c r="A22" s="15" t="s">
        <v>463</v>
      </c>
      <c r="B22" s="14" t="s">
        <v>464</v>
      </c>
    </row>
    <row r="23" customFormat="false" ht="15" hidden="false" customHeight="true" outlineLevel="0" collapsed="false">
      <c r="A23" s="15"/>
      <c r="B23" s="14"/>
    </row>
    <row r="24" customFormat="false" ht="15" hidden="false" customHeight="true" outlineLevel="0" collapsed="false">
      <c r="A24" s="15" t="s">
        <v>465</v>
      </c>
      <c r="B24" s="14" t="s">
        <v>466</v>
      </c>
    </row>
    <row r="25" customFormat="false" ht="23.25" hidden="false" customHeight="true" outlineLevel="0" collapsed="false">
      <c r="A25" s="15" t="s">
        <v>467</v>
      </c>
      <c r="B25" s="14" t="s">
        <v>468</v>
      </c>
    </row>
    <row r="26" customFormat="false" ht="15" hidden="false" customHeight="true" outlineLevel="0" collapsed="false">
      <c r="A26" s="15" t="s">
        <v>469</v>
      </c>
      <c r="B26" s="14" t="s">
        <v>470</v>
      </c>
    </row>
    <row r="27" customFormat="false" ht="23.25" hidden="false" customHeight="true" outlineLevel="0" collapsed="false">
      <c r="A27" s="15" t="s">
        <v>471</v>
      </c>
      <c r="B27" s="14" t="s">
        <v>472</v>
      </c>
    </row>
    <row r="28" customFormat="false" ht="23.25" hidden="false" customHeight="true" outlineLevel="0" collapsed="false">
      <c r="A28" s="15" t="s">
        <v>473</v>
      </c>
      <c r="B28" s="14" t="s">
        <v>474</v>
      </c>
    </row>
    <row r="29" customFormat="false" ht="15" hidden="false" customHeight="true" outlineLevel="0" collapsed="false">
      <c r="A29" s="15"/>
      <c r="B29" s="14"/>
    </row>
    <row r="30" customFormat="false" ht="15" hidden="false" customHeight="true" outlineLevel="0" collapsed="false">
      <c r="A30" s="15" t="s">
        <v>475</v>
      </c>
      <c r="B30" s="14"/>
    </row>
    <row r="31" customFormat="false" ht="15" hidden="false" customHeight="true" outlineLevel="0" collapsed="false">
      <c r="A31" s="15" t="s">
        <v>476</v>
      </c>
      <c r="B31" s="14" t="s">
        <v>477</v>
      </c>
    </row>
    <row r="32" customFormat="false" ht="34.5" hidden="false" customHeight="true" outlineLevel="0" collapsed="false">
      <c r="A32" s="15" t="s">
        <v>478</v>
      </c>
      <c r="B32" s="14" t="s">
        <v>479</v>
      </c>
    </row>
    <row r="34" customFormat="false" ht="23.25" hidden="false" customHeight="true" outlineLevel="0" collapsed="false">
      <c r="A34" s="3" t="s">
        <v>480</v>
      </c>
      <c r="B34" s="14" t="s">
        <v>481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482</v>
      </c>
      <c r="B1" s="3" t="s">
        <v>483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6" t="s">
        <v>484</v>
      </c>
      <c r="B2" s="4" t="s">
        <v>485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6" t="s">
        <v>486</v>
      </c>
      <c r="B3" s="4" t="s">
        <v>487</v>
      </c>
      <c r="C3" s="4"/>
      <c r="D3" s="4" t="s">
        <v>5</v>
      </c>
      <c r="E3" s="4" t="s">
        <v>55</v>
      </c>
      <c r="F3" s="4" t="s">
        <v>488</v>
      </c>
      <c r="G3" s="4" t="s">
        <v>489</v>
      </c>
      <c r="H3" s="4" t="s">
        <v>116</v>
      </c>
      <c r="I3" s="4" t="s">
        <v>85</v>
      </c>
      <c r="J3" s="4" t="s">
        <v>206</v>
      </c>
      <c r="K3" s="4" t="s">
        <v>14</v>
      </c>
      <c r="L3" s="4" t="s">
        <v>55</v>
      </c>
      <c r="M3" s="4" t="s">
        <v>55</v>
      </c>
      <c r="N3" s="4" t="s">
        <v>490</v>
      </c>
      <c r="O3" s="4" t="s">
        <v>491</v>
      </c>
    </row>
    <row r="4" customFormat="false" ht="15" hidden="false" customHeight="true" outlineLevel="0" collapsed="false">
      <c r="A4" s="16" t="s">
        <v>492</v>
      </c>
      <c r="B4" s="4" t="s">
        <v>493</v>
      </c>
      <c r="C4" s="4"/>
      <c r="D4" s="4" t="s">
        <v>6</v>
      </c>
      <c r="E4" s="4"/>
      <c r="F4" s="4" t="s">
        <v>59</v>
      </c>
      <c r="G4" s="4" t="s">
        <v>494</v>
      </c>
      <c r="H4" s="4" t="s">
        <v>495</v>
      </c>
      <c r="I4" s="4" t="s">
        <v>496</v>
      </c>
      <c r="J4" s="4" t="s">
        <v>70</v>
      </c>
      <c r="K4" s="4" t="s">
        <v>15</v>
      </c>
      <c r="L4" s="4" t="s">
        <v>72</v>
      </c>
      <c r="M4" s="4" t="s">
        <v>141</v>
      </c>
      <c r="N4" s="4" t="s">
        <v>497</v>
      </c>
      <c r="O4" s="4" t="s">
        <v>9</v>
      </c>
    </row>
    <row r="5" customFormat="false" ht="15" hidden="false" customHeight="true" outlineLevel="0" collapsed="false">
      <c r="A5" s="16" t="s">
        <v>498</v>
      </c>
      <c r="B5" s="4" t="s">
        <v>499</v>
      </c>
      <c r="C5" s="4"/>
      <c r="D5" s="4" t="s">
        <v>7</v>
      </c>
      <c r="E5" s="4"/>
      <c r="F5" s="4"/>
      <c r="G5" s="4" t="s">
        <v>73</v>
      </c>
      <c r="H5" s="4" t="s">
        <v>500</v>
      </c>
      <c r="I5" s="4" t="s">
        <v>174</v>
      </c>
      <c r="J5" s="4" t="s">
        <v>87</v>
      </c>
      <c r="K5" s="4" t="s">
        <v>16</v>
      </c>
      <c r="L5" s="4"/>
      <c r="M5" s="4" t="s">
        <v>72</v>
      </c>
      <c r="N5" s="4" t="s">
        <v>90</v>
      </c>
      <c r="O5" s="4" t="s">
        <v>501</v>
      </c>
    </row>
    <row r="6" customFormat="false" ht="15" hidden="false" customHeight="true" outlineLevel="0" collapsed="false">
      <c r="A6" s="16" t="s">
        <v>502</v>
      </c>
      <c r="B6" s="4" t="s">
        <v>503</v>
      </c>
      <c r="C6" s="4"/>
      <c r="D6" s="4" t="s">
        <v>8</v>
      </c>
      <c r="E6" s="4"/>
      <c r="F6" s="4"/>
      <c r="G6" s="4"/>
      <c r="H6" s="4" t="s">
        <v>504</v>
      </c>
      <c r="I6" s="4" t="s">
        <v>139</v>
      </c>
      <c r="J6" s="4" t="s">
        <v>267</v>
      </c>
      <c r="K6" s="4"/>
      <c r="L6" s="4"/>
      <c r="M6" s="4"/>
      <c r="N6" s="4" t="s">
        <v>73</v>
      </c>
      <c r="O6" s="4"/>
    </row>
    <row r="7" customFormat="false" ht="15" hidden="false" customHeight="true" outlineLevel="0" collapsed="false">
      <c r="A7" s="16" t="s">
        <v>505</v>
      </c>
      <c r="B7" s="4" t="s">
        <v>506</v>
      </c>
      <c r="C7" s="4"/>
      <c r="D7" s="4" t="s">
        <v>9</v>
      </c>
      <c r="E7" s="4"/>
      <c r="F7" s="4"/>
      <c r="G7" s="4"/>
      <c r="H7" s="4"/>
      <c r="I7" s="4" t="s">
        <v>187</v>
      </c>
      <c r="J7" s="4" t="s">
        <v>231</v>
      </c>
      <c r="K7" s="4"/>
      <c r="L7" s="4"/>
      <c r="M7" s="4"/>
      <c r="N7" s="4" t="s">
        <v>507</v>
      </c>
      <c r="O7" s="4"/>
    </row>
    <row r="8" customFormat="false" ht="15" hidden="false" customHeight="true" outlineLevel="0" collapsed="false">
      <c r="A8" s="16" t="s">
        <v>508</v>
      </c>
      <c r="B8" s="4" t="s">
        <v>509</v>
      </c>
      <c r="C8" s="4"/>
      <c r="D8" s="4"/>
      <c r="E8" s="4"/>
      <c r="F8" s="4"/>
      <c r="G8" s="4"/>
      <c r="H8" s="4"/>
      <c r="I8" s="4" t="s">
        <v>279</v>
      </c>
      <c r="J8" s="4" t="s">
        <v>510</v>
      </c>
      <c r="K8" s="4"/>
      <c r="L8" s="4"/>
      <c r="M8" s="4"/>
      <c r="N8" s="4"/>
      <c r="O8" s="4"/>
    </row>
    <row r="9" customFormat="false" ht="15" hidden="false" customHeight="true" outlineLevel="0" collapsed="false">
      <c r="A9" s="16" t="s">
        <v>511</v>
      </c>
      <c r="B9" s="4" t="s">
        <v>506</v>
      </c>
      <c r="C9" s="4"/>
      <c r="D9" s="4"/>
      <c r="E9" s="4"/>
      <c r="F9" s="4"/>
      <c r="G9" s="4"/>
      <c r="H9" s="4"/>
      <c r="I9" s="4" t="s">
        <v>254</v>
      </c>
      <c r="J9" s="4" t="s">
        <v>124</v>
      </c>
      <c r="K9" s="4"/>
      <c r="L9" s="4"/>
      <c r="M9" s="4"/>
      <c r="N9" s="4"/>
      <c r="O9" s="4"/>
    </row>
    <row r="10" customFormat="false" ht="15" hidden="false" customHeight="true" outlineLevel="0" collapsed="false">
      <c r="A10" s="16" t="s">
        <v>512</v>
      </c>
      <c r="B10" s="4" t="s">
        <v>513</v>
      </c>
      <c r="C10" s="4"/>
      <c r="D10" s="4"/>
      <c r="E10" s="4"/>
      <c r="F10" s="4"/>
      <c r="G10" s="4"/>
      <c r="H10" s="4"/>
      <c r="I10" s="4" t="s">
        <v>217</v>
      </c>
      <c r="J10" s="4" t="s">
        <v>140</v>
      </c>
      <c r="K10" s="4"/>
      <c r="L10" s="4"/>
      <c r="M10" s="4"/>
      <c r="N10" s="4"/>
      <c r="O10" s="4"/>
    </row>
    <row r="11" customFormat="false" ht="15" hidden="false" customHeight="true" outlineLevel="0" collapsed="false">
      <c r="A11" s="16" t="s">
        <v>514</v>
      </c>
      <c r="B11" s="4" t="s">
        <v>515</v>
      </c>
      <c r="C11" s="4"/>
      <c r="D11" s="4"/>
      <c r="E11" s="4"/>
      <c r="F11" s="4"/>
      <c r="G11" s="4"/>
      <c r="H11" s="4"/>
      <c r="I11" s="4"/>
      <c r="J11" s="4"/>
      <c r="K11" s="4"/>
      <c r="L11" s="4"/>
      <c r="M11" s="4"/>
      <c r="N11" s="4"/>
      <c r="O11" s="4"/>
    </row>
    <row r="12" customFormat="false" ht="15" hidden="false" customHeight="true" outlineLevel="0" collapsed="false">
      <c r="A12" s="16" t="s">
        <v>516</v>
      </c>
      <c r="B12" s="4" t="s">
        <v>517</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518</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2026-10-07T15:00:50Z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