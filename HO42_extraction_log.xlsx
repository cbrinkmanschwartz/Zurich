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Events!$A$1:$AI$103</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<sst xmlns="http://schemas.openxmlformats.org/spreadsheetml/2006/main" count="3132" uniqueCount="1593">
  <si>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</si>
  <si>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</si>
  <si>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</si>
  <si>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</si>
  <si>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</si>
  <si>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</si>
  <si>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</si>
  <si>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</si>
  <si>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</si>
  <si>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</si>
  <si>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</si>
  <si>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</si>
  <si>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</si>
  <si>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</si>
  <si>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</si>
  <si>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</si>
  <si>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</si>
  <si>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</si>
  <si>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</si>
  <si>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</si>
  <si>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</si>
  <si>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</si>
  <si>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</si>
  <si>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</si>
  <si>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</si>
  <si>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</si>
  <si>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</si>
  <si>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</si>
  <si>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</si>
  <si>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</si>
  <si>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</si>
  <si>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</si>
  <si>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</si>
  <si>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</si>
  <si>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</si>
  <si>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</si>
  <si>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</si>
  <si>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</si>
  <si>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</si>
  <si>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</si>
  <si>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</si>
  <si>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</si>
  <si>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</si>
  <si>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</si>
  <si>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</si>
  <si>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</si>
  <si>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</si>
  <si>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</si>
  <si>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</si>
  <si>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</si>
  <si>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</si>
  <si>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</si>
  <si>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</si>
  <si>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</si>
  <si>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</si>
  <si>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</si>
  <si>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</si>
  <si>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</si>
  <si>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</si>
  <si>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</si>
  <si>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</si>
  <si>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</si>
  <si>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</si>
  <si>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</si>
  <si>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</si>
  <si>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</si>
  <si>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</si>
  <si>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</si>
  <si>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</si>
  <si>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</si>
  <si>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</si>
  <si>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</si>
  <si>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</si>
  <si>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</si>
  <si>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</si>
  <si>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</si>
  <si>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</si>
  <si>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</si>
  <si>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</si>
  <si>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</si>
  <si>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</si>
  <si>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</si>
  <si>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</si>
  <si>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</si>
  <si>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</si>
  <si>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</si>
  <si>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</si>
  <si>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</si>
  <si>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</si>
  <si>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</si>
  <si>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</si>
  <si>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</si>
  <si>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</si>
  <si>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</si>
  <si>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</si>
  <si>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</si>
  <si>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</si>
  <si>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</si>
  <si>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</si>
  <si>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</si>
  <si>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</si>
  <si>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</si>
  <si>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</si>
  <si>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</si>
  <si>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</si>
  <si>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</si>
  <si>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</si>
  <si>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</si>
  <si>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</si>
  <si>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</si>
  <si>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</si>
  <si>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</si>
  <si>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</si>
  <si>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</si>
  <si>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</si>
  <si>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</si>
  <si>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</si>
  <si>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</si>
  <si>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</si>
  <si>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</si>
  <si>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</si>
  <si>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</si>
  <si>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</si>
  <si>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</si>
  <si>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</si>
  <si>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</si>
  <si>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</si>
  <si>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</si>
  <si>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</si>
  <si>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</si>
  <si>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</si>
  <si>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</si>
  <si>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</si>
  <si>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</si>
  <si>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</si>
  <si>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</si>
  <si>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</si>
  <si>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</si>
  <si>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</si>
  <si>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</si>
  <si>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</si>
  <si>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</si>
  <si>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</si>
  <si>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</si>
  <si>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</si>
  <si>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</si>
  <si>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</si>
  <si>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</si>
  <si>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</si>
  <si>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</si>
  <si>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</si>
  <si>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</si>
  <si>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</si>
  <si>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</si>
  <si>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</si>
  <si>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</si>
  <si>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</si>
  <si>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</si>
  <si>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</si>
  <si>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</si>
  <si>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</si>
  <si>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</si>
  <si>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</si>
  <si>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</si>
  <si>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</si>
  <si>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</si>
  <si>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</si>
  <si>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</si>
  <si>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</si>
  <si>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</si>
  <si>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</si>
  <si>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</si>
  <si>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</si>
  <si>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</si>
  <si>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</si>
  <si>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</si>
  <si>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</si>
  <si>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</si>
  <si>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</si>
  <si>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</si>
  <si>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</si>
  <si>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</si>
  <si>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</si>
  <si>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</si>
  <si>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</si>
  <si>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</si>
  <si>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</si>
  <si>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</si>
  <si>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</si>
  <si>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</si>
  <si>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</si>
  <si>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</si>
  <si>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</si>
  <si>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</si>
  <si>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</si>
  <si>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</si>
  <si>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</si>
  <si>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</si>
  <si>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</si>
  <si>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</si>
  <si>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</si>
  <si>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</si>
  <si>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</si>
  <si>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</si>
  <si>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</si>
  <si>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</si>
  <si>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</si>
  <si>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</si>
  <si>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</si>
  <si>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</si>
  <si>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</si>
  <si>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</si>
  <si>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</si>
  <si>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</si>
  <si>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</si>
  <si>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</si>
  <si>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</si>
  <si>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</si>
  <si>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</si>
  <si>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</si>
  <si>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</si>
  <si>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</si>
  <si>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</si>
  <si>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</si>
  <si>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</si>
  <si>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</si>
  <si>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</si>
  <si>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</si>
  <si>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</si>
  <si>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</si>
  <si>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</si>
  <si>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</si>
  <si>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</si>
  <si>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</si>
  <si>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</si>
  <si>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</si>
  <si>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</si>
  <si>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</si>
  <si>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</si>
  <si>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</si>
  <si>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</si>
  <si>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</si>
  <si>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</si>
  <si>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</si>
  <si>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</si>
  <si>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</si>
  <si>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</si>
  <si>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</si>
  <si>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</si>
  <si>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</si>
  <si>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</si>
  <si>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</si>
  <si>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</si>
  <si>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</si>
  <si>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</si>
  <si>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</si>
  <si>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</si>
  <si>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</si>
  <si>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</si>
  <si>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</si>
  <si>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</si>
  <si>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</si>
  <si>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</si>
  <si>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</si>
  <si>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</si>
  <si>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</si>
  <si>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</si>
  <si>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</si>
  <si>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</si>
  <si>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</si>
  <si>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</si>
  <si>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</si>
  <si>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</si>
  <si>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</si>
  <si>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</si>
  <si>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</si>
  <si>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</si>
  <si>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</si>
  <si>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</si>
  <si>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</si>
  <si>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</si>
  <si>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</si>
  <si>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</si>
  <si>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</si>
  <si>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</si>
  <si>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</si>
  <si>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</si>
  <si>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</si>
  <si>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</si>
  <si>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</si>
  <si>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</si>
  <si>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</si>
  <si>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</si>
  <si>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</si>
  <si>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</si>
  <si>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</si>
  <si>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</si>
  <si>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</si>
  <si>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</si>
  <si>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</si>
  <si>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</si>
  <si>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</si>
  <si>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</si>
  <si>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</si>
  <si>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</si>
  <si>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</si>
  <si>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</si>
  <si>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</si>
  <si>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</si>
  <si>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</si>
  <si>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</si>
  <si>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</si>
  <si>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</si>
  <si>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</si>
  <si>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</si>
  <si>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</si>
  <si>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</si>
  <si>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</si>
  <si>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</si>
  <si>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</si>
  <si>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</si>
  <si>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</si>
  <si>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</si>
  <si>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</si>
  <si>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</si>
  <si>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</si>
  <si>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</si>
  <si>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</si>
  <si>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</si>
  <si>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</si>
  <si>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</si>
  <si>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</si>
  <si>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</si>
  <si>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</si>
  <si>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</si>
  <si>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</si>
  <si>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</si>
  <si>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</si>
  <si>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</si>
  <si>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</si>
  <si>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</si>
  <si>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</si>
  <si>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</si>
  <si>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</si>
  <si>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</si>
  <si>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</si>
  <si>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</si>
  <si>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</si>
  <si>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</si>
  <si>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</si>
  <si>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</si>
  <si>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</si>
  <si>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</si>
  <si>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</si>
  <si>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</si>
  <si>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</si>
  <si>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</si>
  <si>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</si>
  <si>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</si>
  <si>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</si>
  <si>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</si>
  <si>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</si>
  <si>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</si>
  <si>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</si>
  <si>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</si>
  <si>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</si>
  <si>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</si>
  <si>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</si>
  <si>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</si>
  <si>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</si>
  <si>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</si>
  <si>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</si>
  <si>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</si>
  <si>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</si>
  <si>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</si>
  <si>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</si>
  <si>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</si>
  <si>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</si>
  <si>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</si>
  <si>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</si>
  <si>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</si>
  <si>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</si>
  <si>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</si>
  <si>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</si>
  <si>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</si>
  <si>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</si>
  <si>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</si>
  <si>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</si>
  <si>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</si>
  <si>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</si>
  <si>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</si>
  <si>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</si>
  <si>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</si>
  <si>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</si>
  <si>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</si>
  <si>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</si>
  <si>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</si>
  <si>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</si>
  <si>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</si>
  <si>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</si>
  <si>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</si>
  <si>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</si>
  <si>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</si>
  <si>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</si>
  <si>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</si>
  <si>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</si>
  <si>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</si>
  <si>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</si>
  <si>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</si>
  <si>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</si>
  <si>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</si>
  <si>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</si>
  <si>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</si>
  <si>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</si>
  <si>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</si>
  <si>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</si>
  <si>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</si>
  <si>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</si>
  <si>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</si>
  <si>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</si>
  <si>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</si>
  <si>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</si>
  <si>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</si>
  <si>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</si>
  <si>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</si>
  <si>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</si>
  <si>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</si>
  <si>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</si>
  <si>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</si>
  <si>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</si>
  <si>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</si>
  <si>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</si>
  <si>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</si>
  <si>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</si>
  <si>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</si>
  <si>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</si>
  <si>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</si>
  <si>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</si>
  <si>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</si>
  <si>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</si>
  <si>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</si>
  <si>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</si>
  <si>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</si>
  <si>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</si>
  <si>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</si>
  <si>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</si>
  <si>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</si>
  <si>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</si>
  <si>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</si>
  <si>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</si>
  <si>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</si>
  <si>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</si>
  <si>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</si>
  <si>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</si>
  <si>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</si>
  <si>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</si>
  <si>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</si>
  <si>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</si>
  <si>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</si>
  <si>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</si>
  <si>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</si>
  <si>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</si>
  <si>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</si>
  <si>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</si>
  <si>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</si>
  <si>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</si>
  <si>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</si>
  <si>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</si>
  <si>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</si>
  <si>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</si>
  <si>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</si>
  <si>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</si>
  <si>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</si>
  <si>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</si>
  <si>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</si>
  <si>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</si>
  <si>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</si>
  <si>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</si>
  <si>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</si>
  <si>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</si>
  <si>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</si>
  <si>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</si>
  <si>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</si>
  <si>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</si>
  <si>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</si>
  <si>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</si>
  <si>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</si>
  <si>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</si>
  <si>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</si>
  <si>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</si>
  <si>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</si>
  <si>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</si>
  <si>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</si>
  <si>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</si>
  <si>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</si>
  <si>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</si>
  <si>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</si>
  <si>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</si>
  <si>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</si>
  <si>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</si>
  <si>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</si>
  <si>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</si>
  <si>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</si>
  <si>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</si>
  <si>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</si>
  <si>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</si>
  <si>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</si>
  <si>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</si>
  <si>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</si>
  <si>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</si>
  <si>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</si>
  <si>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</si>
  <si>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</si>
  <si>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</si>
  <si>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</si>
  <si>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</si>
  <si>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</si>
  <si>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</si>
  <si>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</si>
  <si>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</si>
  <si>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</si>
  <si>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</si>
  <si>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</si>
  <si>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</si>
  <si>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</si>
  <si>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</si>
  <si>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</si>
  <si>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</si>
  <si>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</si>
  <si>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</si>
  <si>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</si>
  <si>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</si>
  <si>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</si>
  <si>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</si>
  <si>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</si>
  <si>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</si>
  <si>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</si>
  <si>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</si>
  <si>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</si>
  <si>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</si>
  <si>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</si>
  <si>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</si>
  <si>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</si>
  <si>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</si>
  <si>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</si>
  <si>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</si>
  <si>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</si>
  <si>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</si>
  <si>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</si>
  <si>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</si>
  <si>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</si>
  <si>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</si>
  <si>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</si>
  <si>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</si>
  <si>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</si>
  <si>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</si>
  <si>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</si>
  <si>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</si>
  <si>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</si>
  <si>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</si>
  <si>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</si>
  <si>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</si>
  <si>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</si>
  <si>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</si>
  <si>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</si>
  <si>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</si>
  <si>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</si>
  <si>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</si>
  <si>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</si>
  <si>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</si>
  <si>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</si>
  <si>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</si>
  <si>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</si>
  <si>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</si>
  <si>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</si>
  <si>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</si>
  <si>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</si>
  <si>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</si>
  <si>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</si>
  <si>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</si>
  <si>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</si>
  <si>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</si>
  <si>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</si>
  <si>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</si>
  <si>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</si>
  <si>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</si>
  <si>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</si>
  <si>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</si>
  <si>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</si>
  <si>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</si>
  <si>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</si>
  <si>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</si>
  <si>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</si>
  <si>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</si>
  <si>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</si>
  <si>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</si>
  <si>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</si>
  <si>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</si>
  <si>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</si>
  <si>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</si>
  <si>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</si>
  <si>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</si>
  <si>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</si>
  <si>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</si>
  <si>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</si>
  <si>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</si>
  <si>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</si>
  <si>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</si>
  <si>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</si>
  <si>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</si>
  <si>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</si>
  <si>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</si>
  <si>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</si>
  <si>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</si>
  <si>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</si>
  <si>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</si>
  <si>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</si>
  <si>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</si>
  <si>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</si>
  <si>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</si>
  <si>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</si>
  <si>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</si>
  <si>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</si>
  <si>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</si>
  <si>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</si>
  <si>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</si>
  <si>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</si>
  <si>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</si>
  <si>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</si>
  <si>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</si>
  <si>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</si>
  <si>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</si>
  <si>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</si>
  <si>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</si>
  <si>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</si>
  <si>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</si>
  <si>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</si>
  <si>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</si>
  <si>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</si>
  <si>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</si>
  <si>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</si>
  <si>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</si>
  <si>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</si>
  <si>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</si>
  <si>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</si>
  <si>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</si>
  <si>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</si>
  <si>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</si>
  <si>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</si>
  <si>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</si>
  <si>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</si>
  <si>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</si>
  <si>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</si>
  <si>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</si>
  <si>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</si>
  <si>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</si>
  <si>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</si>
  <si>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</si>
  <si>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</si>
  <si>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</si>
  <si>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</si>
  <si>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</si>
  <si>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</si>
  <si>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</si>
  <si>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</si>
  <si>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</si>
  <si>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</si>
  <si>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</si>
  <si>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</si>
  <si>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</si>
  <si>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</si>
  <si>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</si>
  <si>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</si>
  <si>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</si>
  <si>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</si>
  <si>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</si>
  <si>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</si>
  <si>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</si>
  <si>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</si>
  <si>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</si>
  <si>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</si>
  <si>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</si>
  <si>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</si>
  <si>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</si>
  <si>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</si>
  <si>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</si>
  <si>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</si>
  <si>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</si>
  <si>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</si>
  <si>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</si>
  <si>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</si>
  <si>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</si>
  <si>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</si>
  <si>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</si>
  <si>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</si>
  <si>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</si>
  <si>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</si>
  <si>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</si>
  <si>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</si>
  <si>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</si>
  <si>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</si>
  <si>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</si>
  <si>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</si>
  <si>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</si>
  <si>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</si>
  <si>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</si>
  <si>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</si>
  <si>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</si>
  <si>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</si>
  <si>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</si>
  <si>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</si>
  <si>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</si>
  <si>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</si>
  <si>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</si>
  <si>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</si>
  <si>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</si>
  <si>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</si>
  <si>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</si>
  <si>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</si>
  <si>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</si>
  <si>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</si>
  <si>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</si>
  <si>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</si>
  <si>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</si>
  <si>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</si>
  <si>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</si>
  <si>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</si>
  <si>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</si>
  <si>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</si>
  <si>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</si>
  <si>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</si>
  <si>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</si>
  <si>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</si>
  <si>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</si>
  <si>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</si>
  <si>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</si>
  <si>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</si>
  <si>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</si>
  <si>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</si>
  <si>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</si>
  <si>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</si>
  <si>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</si>
  <si>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</si>
  <si>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</si>
  <si>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</si>
  <si>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</si>
  <si>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</si>
  <si>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</si>
  <si>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</si>
  <si>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</si>
  <si>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</si>
  <si>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</si>
  <si>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</si>
  <si>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</si>
  <si>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</si>
  <si>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</si>
  <si>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</si>
  <si>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</si>
  <si>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</si>
  <si>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</si>
  <si>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</si>
  <si>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</si>
  <si>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</si>
  <si>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</si>
  <si>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</si>
  <si>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</si>
  <si>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</si>
  <si>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</si>
  <si>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</si>
  <si>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</si>
  <si>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</si>
  <si>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</si>
  <si>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</si>
  <si>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</si>
  <si>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</si>
  <si>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</si>
  <si>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</si>
  <si>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</si>
  <si>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</si>
  <si>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</si>
  <si>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</si>
  <si>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</si>
  <si>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</si>
  <si>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</si>
  <si>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</si>
  <si>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</si>
  <si>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</si>
  <si>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</si>
  <si>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</si>
  <si>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</si>
  <si>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</si>
  <si>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</si>
  <si>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</si>
  <si>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</si>
  <si>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</si>
  <si>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</si>
  <si>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</si>
  <si>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</si>
  <si>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</si>
  <si>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</si>
  <si>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</si>
  <si>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</si>
  <si>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</si>
  <si>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</si>
  <si>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</si>
  <si>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</si>
  <si>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</si>
  <si>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</si>
  <si>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</si>
  <si>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</si>
  <si>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</si>
  <si>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</si>
  <si>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</si>
  <si>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</si>
  <si>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</si>
  <si>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</si>
  <si>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</si>
  <si>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</si>
  <si>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</si>
  <si>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</si>
  <si>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</si>
  <si>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</si>
  <si>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</si>
  <si>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</si>
  <si>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</si>
  <si>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</si>
  <si>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</si>
  <si>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</si>
  <si>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</si>
  <si>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</si>
  <si>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</si>
  <si>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</si>
  <si>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</si>
  <si>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</si>
  <si>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</si>
  <si>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</si>
  <si>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</si>
  <si>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</si>
  <si>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</si>
  <si>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</si>
  <si>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</si>
  <si>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</si>
  <si>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</si>
  <si>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</si>
  <si>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</si>
  <si>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</si>
  <si>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</si>
  <si>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</si>
  <si>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</si>
  <si>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</si>
  <si>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</si>
  <si>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</si>
  <si>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</si>
  <si>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</si>
  <si>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</si>
  <si>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</si>
  <si>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</si>
  <si>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</si>
  <si>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</si>
  <si>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</si>
  <si>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</si>
  <si>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</si>
  <si>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</si>
  <si>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</si>
  <si>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</si>
  <si>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</si>
  <si>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</si>
  <si>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</si>
  <si>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</si>
  <si>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</si>
  <si>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</si>
  <si>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</si>
  <si>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</si>
  <si>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</si>
  <si>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</si>
  <si>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</si>
  <si>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</si>
  <si>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</si>
  <si>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</si>
  <si>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</si>
  <si>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</si>
  <si>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</si>
  <si>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</si>
  <si>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</si>
  <si>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</si>
  <si>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</si>
  <si>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</si>
  <si>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</si>
  <si>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</si>
  <si>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</si>
  <si>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</si>
  <si>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</si>
  <si>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</si>
  <si>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</si>
  <si>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</si>
  <si>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</si>
  <si>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</si>
  <si>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</si>
  <si>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</si>
  <si>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</si>
  <si>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</si>
  <si>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</si>
  <si>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</si>
  <si>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</si>
  <si>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</si>
  <si>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</si>
  <si>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</si>
  <si>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</si>
  <si>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</si>
  <si>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</si>
  <si>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</si>
  <si>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</si>
  <si>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</si>
  <si>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</si>
  <si>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</si>
  <si>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</si>
  <si>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</si>
  <si>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</si>
  <si>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</si>
  <si>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</si>
  <si>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</si>
  <si>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</si>
  <si>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</si>
  <si>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</si>
  <si>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</si>
  <si>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</si>
  <si>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</si>
  <si>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</si>
  <si>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</si>
  <si>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</si>
  <si>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</si>
  <si>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</si>
  <si>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</si>
  <si>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</si>
  <si>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</si>
  <si>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</si>
  <si>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</si>
  <si>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</si>
  <si>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</si>
  <si>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</si>
  <si>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</si>
  <si>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</si>
  <si>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</si>
  <si>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</si>
  <si>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</si>
  <si>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</si>
  <si>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</si>
  <si>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</si>
  <si>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</si>
  <si>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</si>
  <si>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</si>
  <si>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</si>
  <si>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</si>
  <si>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</si>
  <si>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</si>
  <si>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</si>
  <si>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</si>
  <si>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</si>
  <si>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</si>
  <si>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</si>
  <si>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</si>
  <si>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</si>
  <si>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</si>
  <si>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</si>
  <si>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</si>
  <si>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</si>
  <si>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</si>
  <si>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</si>
  <si>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</si>
  <si>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</si>
  <si>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</si>
  <si>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</si>
  <si>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</si>
  <si>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</si>
  <si>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</si>
  <si>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</si>
  <si>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</si>
  <si>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</si>
  <si>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</si>
  <si>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</si>
  <si>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</si>
  <si>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</si>
  <si>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</si>
  <si>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</si>
  <si>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</si>
  <si>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</si>
  <si>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</si>
  <si>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</si>
  <si>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</si>
  <si>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</si>
  <si>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</si>
  <si>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</si>
  <si>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</si>
  <si>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</si>
  <si>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</si>
  <si>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</si>
  <si>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</si>
  <si>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</si>
  <si>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</si>
  <si>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</si>
  <si>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</si>
  <si>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</si>
  <si>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</si>
  <si>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</si>
  <si>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</si>
  <si>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</si>
  <si>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</si>
  <si>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</si>
  <si>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</si>
  <si>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</si>
  <si>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</si>
  <si>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</si>
  <si>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</si>
  <si>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</si>
  <si>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</si>
  <si>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</si>
  <si>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</si>
  <si>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</si>
  <si>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</si>
  <si>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</si>
  <si>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</si>
  <si>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</si>
  <si>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</si>
  <si>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</si>
  <si>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</si>
  <si>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</si>
  <si>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</si>
  <si>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</si>
  <si>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</si>
  <si>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</si>
  <si>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</si>
  <si>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</si>
  <si>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</si>
  <si>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</si>
  <si>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</si>
  <si>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</si>
  <si>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</si>
  <si>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</si>
  <si>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</si>
  <si>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</si>
  <si>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</si>
  <si>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</si>
  <si>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</si>
  <si>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</si>
  <si>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</si>
  <si>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</si>
  <si>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</si>
  <si>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</si>
  <si>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</si>
  <si>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</si>
  <si>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</si>
  <si>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</si>
  <si>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</si>
  <si>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</si>
  <si>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</si>
  <si>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</si>
  <si>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</si>
  <si>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</si>
  <si>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</si>
  <si>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</si>
  <si>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</si>
  <si>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</si>
  <si>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</si>
  <si>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</si>
  <si>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</si>
  <si>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</si>
  <si>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</si>
  <si>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</si>
  <si>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</si>
  <si>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</si>
  <si>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</si>
  <si>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</si>
  <si>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</si>
  <si>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</si>
  <si>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</si>
  <si>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</si>
  <si>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</si>
  <si>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</si>
  <si>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</si>
  <si>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</si>
  <si>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</si>
  <si>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</si>
  <si>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</si>
  <si>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</si>
  <si>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</si>
  <si>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</si>
  <si>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</si>
  <si>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</si>
  <si>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</si>
  <si>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</si>
  <si>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</si>
  <si>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</si>
  <si>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</si>
  <si>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</si>
  <si>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</si>
  <si>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</si>
  <si>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</si>
  <si>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</si>
  <si>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</si>
  <si>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</si>
  <si>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</si>
  <si>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</si>
  <si>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</si>
  <si>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</si>
  <si>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</si>
  <si>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</si>
  <si>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</si>
  <si>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</si>
  <si>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</si>
  <si>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</si>
  <si>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HO42-0084</t>
  </si>
  <si>
    <t xml:space="preserve">E69</t>
  </si>
  <si>
    <t xml:space="preserve">HO-42-62_04.pdf</t>
  </si>
  <si>
    <t xml:space="preserve">5-7</t>
  </si>
  <si>
    <t xml:space="preserve">Bilston 30 Jun 1801: "An Officer from General Grinfield informed me yesterday that by an Order from His Royal Highness the Duke of York the Military (stationed here for my Assistance &amp; personal Protection) are to leave us this day and join their Party at Wolverhampton. By the inclosed Depositions, your Grace will see that the Spirit of discontent is by no means subsided, and by the other Note, which was found at the Door of my Dwelling House a few nights ago, that I am by no means safe in my Person or Property without a military Guard on the spot. Your Grace will I hope pardon the liberty when I request that a Serjeant's Guard may always be stationed in Bilston". Note: "We think you are the Cause of these Weights being taken from us... prepare for Slaughter".</t>
  </si>
  <si>
    <t xml:space="preserve">30 Jun 1801</t>
  </si>
  <si>
    <t xml:space="preserve">1801-06-30</t>
  </si>
  <si>
    <t xml:space="preserve">Bilston</t>
  </si>
  <si>
    <t xml:space="preserve">Rev. A. B. Haden, magistrate</t>
  </si>
  <si>
    <t xml:space="preserve">A serjeant's guard permanently stationed at Bilston</t>
  </si>
  <si>
    <t xml:space="preserve">Portland referred Haden to Gen. Grinfield; Grinfield refused to restore troops. Haden 31 Jul 1801 (HO 42/62_05 ff.326-327): "I have applied to General Grinfield for the restoration of the Military... but without success"; "I am to send to Wolverhampton (a Distance of three Miles) or to Walsall (five Miles) for Assistance... in case a Riot should suddenly break out in the Dead of the Night... how am I to send?"; "it is impossible he should either know the dispositions of the People or the necessity of the Military being stationed in Bilston so well as myself".</t>
  </si>
  <si>
    <t xml:space="preserve">1801-07</t>
  </si>
  <si>
    <t xml:space="preserve">Gen. Grinfield (after HO referral)</t>
  </si>
  <si>
    <t xml:space="preserve">REQUEST TO KEEP/STATION troops. Threat over seizure of short weights (market regulation). Same Haden as Bend's 1800 Bilston quote (sympathetic to poor) - now asking for a guard. | DENIED by district general despite HO referral - local vs military judgement conflict; East Suffolk Militia leaving Wolverhampton for Birmingham.</t>
  </si>
  <si>
    <t xml:space="preserve">HO42-0085</t>
  </si>
  <si>
    <t xml:space="preserve">E70</t>
  </si>
  <si>
    <t xml:space="preserve">85-86</t>
  </si>
  <si>
    <t xml:space="preserve">ff.279-280</t>
  </si>
  <si>
    <t xml:space="preserve">Robert Baker, Dunstable House, Richmond 22 Jul 1801: riotous assembly at Barnes (unlicensed fair on the Green)... "in the course of the Evening the Mob became desperate &amp; were proceeding to outrages when my Corps of Yeomanry was obliged to be called upon to preserve the public Tranquillity in which we were soon completely successful and it is with pleasure I add that several Volunteer Infantry Corps held themselves in readiness to act when called upon without being solicited"; "the Military force had been called in aid to suppress an illegal Assembly".</t>
  </si>
  <si>
    <t xml:space="preserve">18-21 Jul 1801</t>
  </si>
  <si>
    <t xml:space="preserve">1801-07-18</t>
  </si>
  <si>
    <t xml:space="preserve">Barnes</t>
  </si>
  <si>
    <t xml:space="preserve">Surrey</t>
  </si>
  <si>
    <t xml:space="preserve">Robert Baker (magistrate and yeomanry commander)</t>
  </si>
  <si>
    <t xml:space="preserve">YEOMANRY USED against crowd (fair dispute), volunteers ready. Corps-against-disorder evidence.</t>
  </si>
  <si>
    <t xml:space="preserve">HO42-0086</t>
  </si>
  <si>
    <t xml:space="preserve">E71</t>
  </si>
  <si>
    <t xml:space="preserve">HO-42-62_08.pdf</t>
  </si>
  <si>
    <t xml:space="preserve">32</t>
  </si>
  <si>
    <t xml:space="preserve">f.539</t>
  </si>
  <si>
    <t xml:space="preserve">"The Inhabitants of this Town have been more than once greatly alarmed by the riotous and outrageous Conduct of the Soldiers of the 13th Regiment of Light Dragoons (Irishmen) who are quartered here, who on Saturday Evening last, with Bludgeons, and drawn Swords, maimed and wounded several Persons in the Streets... the Threats of these Soldiers... have so intimidated many of the Inhabitants, that they are afraid to stir out of their Houses in the Evening; I therefore think it my Duty... to request that your Lordship will be pleased to order the Regiment to be removed from this Town".</t>
  </si>
  <si>
    <t xml:space="preserve">5 Nov 1801</t>
  </si>
  <si>
    <t xml:space="preserve">1801-11-05</t>
  </si>
  <si>
    <t xml:space="preserve">Sudbury</t>
  </si>
  <si>
    <t xml:space="preserve">Stephen Oliver, chief magistrate (Mayor) of Sudbury</t>
  </si>
  <si>
    <t xml:space="preserve">Lord Pelham (Home Secretary)</t>
  </si>
  <si>
    <t xml:space="preserve">REMOVAL of 13th Light Dragoons from the town</t>
  </si>
  <si>
    <t xml:space="preserve">REQUEST TO REMOVE TROOPS (soldiers as source of disorder) - coded Other. 'Your Lordship' = Pelham (Home Sec from 30 Jul 1801).</t>
  </si>
  <si>
    <t xml:space="preserve">HO42-0087</t>
  </si>
  <si>
    <t xml:space="preserve">E72</t>
  </si>
  <si>
    <t xml:space="preserve">HO-42-62_09.pdf</t>
  </si>
  <si>
    <t xml:space="preserve">63-65</t>
  </si>
  <si>
    <t xml:space="preserve">ff.631-633</t>
  </si>
  <si>
    <t xml:space="preserve">Home Office draft heads of measures, 28 Dec 1801 (Devon &amp; Somerset): "That Lord Fortescue and Lord Poulett should be requested to go down to Devon &amp; Somerset. That a special meeting of Magistrates should be called to enquire into the acts of riot... &amp; also into the attempts made by intimidation to force farmers to sell at a lower than the market price... That the Commanders of Volunteer Corps should be required to hold their Corps in readiness to assist the Civil power of necessity... That they shd. be required to make reports to the Ld. Lt. in all cases where any of their Corps or any individuals of them refuse to give such assistance... in order that the Lord Lieutenant may transmit the same to the Sec. of State with a view to his Majesty's pleasure being taken for the disbanding of such Corps".</t>
  </si>
  <si>
    <t xml:space="preserve">28 Dec 1801</t>
  </si>
  <si>
    <t xml:space="preserve">1801-12-28</t>
  </si>
  <si>
    <t xml:space="preserve">Devon &amp; Somerset</t>
  </si>
  <si>
    <t xml:space="preserve">[Devon/Somerset]</t>
  </si>
  <si>
    <t xml:space="preserve">Home Office (draft heads of measures; Pelham)</t>
  </si>
  <si>
    <t xml:space="preserve">Lords Lieutenant (Fortescue, Poulett)</t>
  </si>
  <si>
    <t xml:space="preserve">GOVERNMENT POLICY: volunteer corps to be held ready for riot duty; refusing corps to be DISBANDED. Response to Devon/Somerset food riots (winter 1801). Also Rotherham magistrate (f.633) on depredations in Derbyshire, few magistrates.</t>
  </si>
  <si>
    <t xml:space="preserve">HO42-0088</t>
  </si>
  <si>
    <t xml:space="preserve">E73</t>
  </si>
  <si>
    <t xml:space="preserve">HO 42/150</t>
  </si>
  <si>
    <t xml:space="preserve">HO-42-150_1.pdf</t>
  </si>
  <si>
    <t xml:space="preserve">18</t>
  </si>
  <si>
    <t xml:space="preserve">f.18</t>
  </si>
  <si>
    <t xml:space="preserve">Norwich 14 May 1816: "Mr Yallop our worthy Mayor had the honor of writing to your Lordship yesterday, to represent to you that the Barrack Master had received the West Norfolk Regt. of Militia under the command of Col. Wodehouse into the Barracks &amp; also to request of your Lordship that that Regt. should not be disbanded next week as proposed. The Magistrates are anxious to impress this request upon your Lordship's mind, as well that they may avail themselves of that force so ably commanded, as to prevent the return at this moment of many men of that Regt. to their families in this city. It cannot be denied but that the manufacturing employment here is very low, which with the daily increasing price of flour &amp; bread causes a general irritation in the minds of the labouring poor".</t>
  </si>
  <si>
    <t xml:space="preserve">13-14 May 1816</t>
  </si>
  <si>
    <t xml:space="preserve">1816-05-13</t>
  </si>
  <si>
    <t xml:space="preserve">[Norwich magistrate]; Mayor J.H. Yallop (letter of 13 May)</t>
  </si>
  <si>
    <t xml:space="preserve">Viscount Sidmouth</t>
  </si>
  <si>
    <t xml:space="preserve">Keep West Norfolk Militia embodied in Norwich barracks (not disbanded)</t>
  </si>
  <si>
    <t xml:space="preserve">REQUEST TO KEEP TROOPS (postwar demobilisation). Also: disbanding would return militiamen to unemployed families. Riot in Norwich 16-17 May 1816 (Court of Mayoralty notices ff.20-23, Riot Act). PERIOD 1816 - HO 40 should also be checked (Bend: disturbance letters in HO 42 Jul 1813-Jun 1816).</t>
  </si>
  <si>
    <t xml:space="preserve">HO42-0089</t>
  </si>
  <si>
    <t xml:space="preserve">E74</t>
  </si>
  <si>
    <t xml:space="preserve">30-31</t>
  </si>
  <si>
    <t xml:space="preserve">f.29</t>
  </si>
  <si>
    <t xml:space="preserve">Mildenhall 29 May 1816 (to Sidmouth): "it was reported to me from Downham last night, that the Magistrates there, immediately upon the arrival of the Troops ordered there on the 27th, commenced apprehending the principal persons in the late disturbances there, and that the Military arrived there in time to send on some Cavalry to Wisbeach, upon a representation from the Magistrates of their services being required... the arrival of the Artillery, which I have placed at Newmarket, likewise caused some alarm amongst the ill disposed".</t>
  </si>
  <si>
    <t xml:space="preserve">27-29 May 1816</t>
  </si>
  <si>
    <t xml:space="preserve">1816-05-27</t>
  </si>
  <si>
    <t xml:space="preserve">Downham Market; Wisbech; Newmarket (letter from Mildenhall)</t>
  </si>
  <si>
    <t xml:space="preserve">Downham Market</t>
  </si>
  <si>
    <t xml:space="preserve">[Military commander at Mildenhall - signature on next page]</t>
  </si>
  <si>
    <t xml:space="preserve">Troops to Downham (27 May); cavalry to Wisbech on magistrates' representation; artillery at Newmarket</t>
  </si>
  <si>
    <t xml:space="preserve">May 1816 East Anglian riots (Littleport/Ely/Downham). Wisbech request route: local magistrates -&gt; commander. CHECK writer (likely Maj-Gen Byng or Lt-Col?).</t>
  </si>
  <si>
    <t xml:space="preserve">HO42-0090</t>
  </si>
  <si>
    <t xml:space="preserve">E75</t>
  </si>
  <si>
    <t xml:space="preserve">79-81</t>
  </si>
  <si>
    <t xml:space="preserve">ff.78-79</t>
  </si>
  <si>
    <t xml:space="preserve">St Johns College? [Essex], 28 May 1816: "it was by the timely arrival of the Military, that I was enabled to secure the Rioters I mentioned - the Grenadiers of the 69th were relieved on Tuesday by some of the 1st Dragoon Guards, &amp; yesterday five more Rioters concerned in breaking two Thrashing Machines at Hendon? in this County this day fortnight, were apprehended &amp; committed to Prison".</t>
  </si>
  <si>
    <t xml:space="preserve">28 May 1816</t>
  </si>
  <si>
    <t xml:space="preserve">1816-05-28</t>
  </si>
  <si>
    <t xml:space="preserve">[Essex parish - Bocking/Braintree area]</t>
  </si>
  <si>
    <t xml:space="preserve">Braintree</t>
  </si>
  <si>
    <t xml:space="preserve">[Essex magistrate - signature not read]</t>
  </si>
  <si>
    <t xml:space="preserve">Grenadiers of 69th, relieved by 1st Dragoon Guards</t>
  </si>
  <si>
    <t xml:space="preserve">Threshing-machine breaking, Essex May 1816; anonymous letter (f.78) on Braintree/Bocking 'disposition to riot' and organisation in Isle of Ely. CHECK writer and place.</t>
  </si>
  <si>
    <t xml:space="preserve">HO42-0091</t>
  </si>
  <si>
    <t xml:space="preserve">E76</t>
  </si>
  <si>
    <t xml:space="preserve">HO 42/51</t>
  </si>
  <si>
    <t xml:space="preserve">HO-42-51_01.pdf</t>
  </si>
  <si>
    <t xml:space="preserve">0</t>
  </si>
  <si>
    <t xml:space="preserve">Mansfield, Monday night 1 Sep 1800 (to Portland): "Mr Wragg (knowing my present convalescent state) fearing I might not be able to attend had sent an Express for Major Boothby who arrived about eight o'clock and with him a Troop of Blues - The Mob were very numerous yesterday and behaved in the most insolent manner - They were daring enough before our faces, to assault the Constables in the execution of their Duty... I judged it necessary on Sunday Evening to read the Riot Act... Still I thought it necessary to request the Continuance of the Blues, for at least a week or ten days longer"; colliers assembling at the mills, dispersed by the Blues.</t>
  </si>
  <si>
    <t xml:space="preserve">31 Aug - 1 Sep 1800</t>
  </si>
  <si>
    <t xml:space="preserve">1800-08-31</t>
  </si>
  <si>
    <t xml:space="preserve">Mansfield (and Farnsfield)</t>
  </si>
  <si>
    <t xml:space="preserve">Mansfield</t>
  </si>
  <si>
    <t xml:space="preserve">[Mansfield magistrate - signature on next page]</t>
  </si>
  <si>
    <t xml:space="preserve">Express to Major Boothby - a troop of Royal Horse Guards (Blues); retain for 7-10 days</t>
  </si>
  <si>
    <t xml:space="preserve">ROUTE: local express to officer + request to KEEP troops. Start of Sept 1800 'hypercrisis' (Bend). CHECK writer.</t>
  </si>
  <si>
    <t xml:space="preserve">HO42-0092</t>
  </si>
  <si>
    <t xml:space="preserve">E77</t>
  </si>
  <si>
    <t xml:space="preserve">44-45</t>
  </si>
  <si>
    <t xml:space="preserve">ff.45-46</t>
  </si>
  <si>
    <t xml:space="preserve">Capt [E.] Boultbee, Bunny Volunteer Yeomanry, 5 Sep 1800 (to Portland): "the Vigilance of the Troop I have the Honor to Command in assembling &amp; acting with the Military to quell the Riots at Nottingham. On Tuesday I recd. an express from the Mayor &amp; Corporation requesting our immediate assistance to force peace and good order in the Town. I immediately collected my Troop &amp; within two Hours of the time I recd the Express (tho the greater part of the Troop were in their fields at Harvest Work) we marched into the Town". Encloses return of the Bunny Troop of Yeomanry Cavalry (56 effectives).</t>
  </si>
  <si>
    <t xml:space="preserve">2-5 Sep 1800</t>
  </si>
  <si>
    <t xml:space="preserve">1800-09-02</t>
  </si>
  <si>
    <t xml:space="preserve">Nottingham (Bunny troop)</t>
  </si>
  <si>
    <t xml:space="preserve">Capt [E.] Boultbee, Bunny Yeomanry</t>
  </si>
  <si>
    <t xml:space="preserve">YEOMANRY called by Mayor &amp; Corporation of Nottingham (local request to yeomanry) for Sept 1800 food riots - also a request event via local route. Nottingham handbills ff.3-14 (magistrates' notices, reward).</t>
  </si>
  <si>
    <t xml:space="preserve">HO42-0093</t>
  </si>
  <si>
    <t xml:space="preserve">E78</t>
  </si>
  <si>
    <t xml:space="preserve">31-35, 37</t>
  </si>
  <si>
    <t xml:space="preserve">ff.32-36, 38</t>
  </si>
  <si>
    <t xml:space="preserve">Fitzwilliam (Lord Lieutenant), Wentworth 3 Sep 1800: letter from Mr Parker at request of magistrates Wilkinson &amp; Athorpe "that during the course of the day, there had been such appearances at Sheffield as indicated a rising among the people, on account of the high price of Provisions Corn. I immediately set off for Sheffield, leaving order for the two Rotherham Troops of Yeomanry Cavalry to be collected together". Also Hambledon (Hants) 4 Sep: "In consequence of... information yesterday of an intended Riot occasioned by the continuance of the high Price of Grain - I thought it my duty to assemble the Corps of Infantry under my command in order that they might be ready to preserve peace upon the first appearance of tumult".</t>
  </si>
  <si>
    <t xml:space="preserve">2-4 Sep 1800</t>
  </si>
  <si>
    <t xml:space="preserve">Sheffield / Rotherham; Hambledon (Hants)</t>
  </si>
  <si>
    <t xml:space="preserve">Earl Fitzwilliam (Lord Lieutenant); Hambledon volunteer commander</t>
  </si>
  <si>
    <t xml:space="preserve">Yeomanry and volunteers assembled pre-emptively against Sept 1800 food rising (Sheffield, Hambledon). Hambledon = same corps as Gee lead L006 (HO 50/48).</t>
  </si>
  <si>
    <t xml:space="preserve">HO42-0094</t>
  </si>
  <si>
    <t xml:space="preserve">E79</t>
  </si>
  <si>
    <t xml:space="preserve">HO-42-51_02.pdf</t>
  </si>
  <si>
    <t xml:space="preserve">2, 42</t>
  </si>
  <si>
    <t xml:space="preserve">ff.59, 94</t>
  </si>
  <si>
    <t xml:space="preserve">Rev. David Hughes, Jesus College Oxford, 7 Sep 1800 (to Portland): "I had the Honour of your Grace's Letter yesterday, and was not a little surprized &amp; pleased to find, that a Party of Dragoons had arrived at Oxford an Hour or two before; when I wrote to your Grace, I thought it was too late to expect any such Assistance. The Mayor, I find, has applied to the War office for the Removal of the Soldiers... The Mayor is one of the Officers in the City Association, &amp; He with many of his Brethren considered the coming in of the Soldiers as a Reflection on themselves". 9 Sep: if dragoons stay "some of the members of the armed City Association will be much offended, and it is possible, may lay down their arms".</t>
  </si>
  <si>
    <t xml:space="preserve">7-9 Sep 1800</t>
  </si>
  <si>
    <t xml:space="preserve">1800-09-06</t>
  </si>
  <si>
    <t xml:space="preserve">Oxford</t>
  </si>
  <si>
    <t xml:space="preserve">Rev. David Hughes, Jesus College</t>
  </si>
  <si>
    <t xml:space="preserve">None requested - dragoons SENT by HO unasked; Mayor sought removal</t>
  </si>
  <si>
    <t xml:space="preserve">RESOLVES CLAUDE.md dispute: Hughes did not request troops (surprised they came); Portland sent them unrequested (Bend correct, Gee wrong). Coded Other (unrequested deployment). Armed city association offended by regulars. Butter price-fixing in market.</t>
  </si>
  <si>
    <t xml:space="preserve">HO42-0095</t>
  </si>
  <si>
    <t xml:space="preserve">36-37</t>
  </si>
  <si>
    <t xml:space="preserve">ff.88-89</t>
  </si>
  <si>
    <t xml:space="preserve">Jas Wilkinson, Broom Hall 8 Sep 1800 (to Fitzwilliam): lower classes of Sheffield resolved to meet "in Numbers sufficient to enable them to force the Farmers, Millers &amp; Badgers to reduce the Price of Corn... &amp; from the bad Intelligence recd from the Major &amp; some other Officers of the Sheffield Volunteers of the express Refusal of many of the men of that Corps to obey the Call of their Officers to oppose the Mob in such an Attempt"... "we shall be glad to have Direction how to proceed, &amp; your Lordship's Assistance to procure adequate Forces to resist them"; officers of the Oxford Blues think the Barracks "too much exposed to the danger of being pillaged or burnt" if the whole force is drawn out, "that more military assistance may be wanted".</t>
  </si>
  <si>
    <t xml:space="preserve">8 Sep 1800</t>
  </si>
  <si>
    <t xml:space="preserve">1800-09-08</t>
  </si>
  <si>
    <t xml:space="preserve">Sheffield (Broom Hall)</t>
  </si>
  <si>
    <t xml:space="preserve">James Wilkinson JP</t>
  </si>
  <si>
    <t xml:space="preserve">Earl Fitzwilliam (Lord Lieutenant), fwd to HO</t>
  </si>
  <si>
    <t xml:space="preserve">'adequate Forces' / more military assistance</t>
  </si>
  <si>
    <t xml:space="preserve">KEY: VOLUNTEERS REFUSE to act against food rioters -&gt; request for regulars. Barracks (1792) seen as vulnerable target. Route via Lord Lieutenant.</t>
  </si>
  <si>
    <t xml:space="preserve">HO42-0096</t>
  </si>
  <si>
    <t xml:space="preserve">E80</t>
  </si>
  <si>
    <t xml:space="preserve">53-55</t>
  </si>
  <si>
    <t xml:space="preserve">ff.104-106</t>
  </si>
  <si>
    <t xml:space="preserve">Birmingham magistrates, 11 Sep 1800: "a serious disturbance has taken place in this Town, occasioned by the shameful high price of Corn, and which it has not been in our Power effectually to quell... it was then deemed absolutely necessary to call in the Aid not only of the 17th Light Dragoons quartered here and the Loyal Birmingham associated Horse and Foot but of the Earl of Aylesford's and Mr Legge's Troops of Yeomanry... we must request that Your Grace will have the goodness to resist any applications which may be made for removing any part of the 17th Light Dragoons".</t>
  </si>
  <si>
    <t xml:space="preserve">8-11 Sep 1800</t>
  </si>
  <si>
    <t xml:space="preserve">W. Villers, [W.] Hicks, Theodore Price (magistrates)</t>
  </si>
  <si>
    <t xml:space="preserve">Called locally: 17th Lt Dragoons, Loyal Birmingham Association (horse &amp; foot), Aylesford's &amp; Legge's yeomanry; asks HO to KEEP dragoons</t>
  </si>
  <si>
    <t xml:space="preserve">ROUTE: local call + request to keep troops. Mill-owner fired on rioters, one dead. Association and yeomanry used alongside regulars.</t>
  </si>
  <si>
    <t xml:space="preserve">HO42-0097</t>
  </si>
  <si>
    <t xml:space="preserve">E81</t>
  </si>
  <si>
    <t xml:space="preserve">HO-42-51_03.pdf</t>
  </si>
  <si>
    <t xml:space="preserve">0-2</t>
  </si>
  <si>
    <t xml:space="preserve">ff.116-118</t>
  </si>
  <si>
    <t xml:space="preserve">High Sheriff of Oxfordshire to Portland, [12 Sep 1800]: "yesterday was a riotous Day at Banbury - In the Morning about eleven o'Clock some little Disturbances began in the Butter Market and the Shambles... I found myself unexpectedly surrounded by a Mob consisting principally of Stocking Weavers from Middleton Cheney... I thought it right to send for the Bloxham and Banbury Troop and to desire the Banbury Military Association to be called out and they were under Arms by about 7 o'Clock... the Mob continued to break the Windows, and they insulted and threw Stones at the Soldiers... I did with the Desire of Capt Commandant Bignell write to Major Cartwright for his Troop of Brackley Yeomanry - The Bloxham Troop and Banbury Association altho' they kept their Places and no doubt would have made a vigorous Resistance... were not sufficiently numerous to be divided".</t>
  </si>
  <si>
    <t xml:space="preserve">11-12 Sep 1800</t>
  </si>
  <si>
    <t xml:space="preserve">1800-09-11</t>
  </si>
  <si>
    <t xml:space="preserve">Banbury</t>
  </si>
  <si>
    <t xml:space="preserve">High Sheriff of Oxfordshire (signature not read)</t>
  </si>
  <si>
    <t xml:space="preserve">Bloxham &amp; Banbury Yeomanry, Banbury Military Association, then Brackley Yeomanry (Major Cartwright)</t>
  </si>
  <si>
    <t xml:space="preserve">ROUTE: local requests to YEOMANRY and ASSOCIATION (no regulars). Same episode as Gee lead L002 (Mayor wanting 'soldiers unconnected with the place', f.116) - update lead to Partly verified. CHECK writer.</t>
  </si>
  <si>
    <t xml:space="preserve">HO42-0098</t>
  </si>
  <si>
    <t xml:space="preserve">E82</t>
  </si>
  <si>
    <t xml:space="preserve">6</t>
  </si>
  <si>
    <t xml:space="preserve">f.122</t>
  </si>
  <si>
    <t xml:space="preserve">John Towry Whiteside, Lime Street 13 Sep 1800: resigns as Lieutenant of the Loyal Islington Volunteers "in consequence of the resignation of most of my Brother Officers... the unfortunate dispute &amp; the Gross treatment, the Officers who were present at a convivial Dinner, received from a member of the privates".</t>
  </si>
  <si>
    <t xml:space="preserve">13 Sep 1800</t>
  </si>
  <si>
    <t xml:space="preserve">1800-09-13</t>
  </si>
  <si>
    <t xml:space="preserve">Islington (London)</t>
  </si>
  <si>
    <t xml:space="preserve">Islington</t>
  </si>
  <si>
    <t xml:space="preserve">John Towry Whiteside</t>
  </si>
  <si>
    <t xml:space="preserve">Volunteer corps internal breakdown (officers resign) during Sept 1800 London food unrest - corps reliability context. Low priority.</t>
  </si>
  <si>
    <t xml:space="preserve">HO42-0099</t>
  </si>
  <si>
    <t xml:space="preserve">E83</t>
  </si>
  <si>
    <t xml:space="preserve">HO-42-51_04.pdf</t>
  </si>
  <si>
    <t xml:space="preserve">49-51</t>
  </si>
  <si>
    <t xml:space="preserve">ff.213-215</t>
  </si>
  <si>
    <t xml:space="preserve">Lord Mayor H.C. Combe, Mansion House 17 Sep 1800, 2 a.m.: "Hearing about Eight o'Clock last Evening that a Number of People were assembling in Bishopsgate Street about the Houses of Messrs Wood Tofield and Wood I sent immediately proper Persons to reconnoitre... Beside my Reliance upon the Light Horse Volunteers in Worship Street, I had provided Col. Sir R. Carr Glyn's Corps the N.E. District of Loyal London Volunteers to be in Readiness at five o'Clock in Drapers Hall Gardens - Col. Williams' Corps of the Royal Exchange Volunteers, to be at the Royal Exchange and the Artillery Company under Col. Le Mesurier in the Artillery House - In Case and as soon as it appeared to be necessary to call in the Aid of the Military Power, I had destined Sir R. Carr Glyn's Corps to that Service".</t>
  </si>
  <si>
    <t xml:space="preserve">16-17 Sep 1800</t>
  </si>
  <si>
    <t xml:space="preserve">1800-09-16</t>
  </si>
  <si>
    <t xml:space="preserve">City of London (Bishopsgate, Corn Market/Mark Lane)</t>
  </si>
  <si>
    <t xml:space="preserve">Harvey Christian Combe, Lord Mayor</t>
  </si>
  <si>
    <t xml:space="preserve">London volunteer corps (Light Horse Volunteers, Loyal London Volunteers NE District, Royal Exchange Volunteers, HAC) on readiness/called</t>
  </si>
  <si>
    <t xml:space="preserve">ROUTE: local - Lord Mayor deployed City VOLUNTEER corps (not regulars) in Sept 1800 London corn-market riots. Cf. Gee lead on LHV call-outs (PRO 30/3). Mayor's printed notice 17 Sep (f.207) on military at windows.</t>
  </si>
  <si>
    <t xml:space="preserve">HO42-0100</t>
  </si>
  <si>
    <t xml:space="preserve">E84</t>
  </si>
  <si>
    <t xml:space="preserve">24</t>
  </si>
  <si>
    <t xml:space="preserve">f.192</t>
  </si>
  <si>
    <t xml:space="preserve">16 Sep 1800 (to Lord Mayor? / Portland): "as a Magistrate and Captain of a Troop of Yeomanry, I ought to remain in my own County, where very strong symptoms of tumult &amp; riot appear, as last night my Troop was up all night, on information being given that a Mob of more than 200 Persons from Oxford were destroying a Mill".</t>
  </si>
  <si>
    <t xml:space="preserve">15-16 Sep 1800</t>
  </si>
  <si>
    <t xml:space="preserve">1800-09-15</t>
  </si>
  <si>
    <t xml:space="preserve">[Near Oxford - writer's county]</t>
  </si>
  <si>
    <t xml:space="preserve">[Oxfordshire/Berkshire]</t>
  </si>
  <si>
    <t xml:space="preserve">[Magistrate and yeomanry captain - signature on next page]</t>
  </si>
  <si>
    <t xml:space="preserve">[Lord Mayor? docketed Sec of State]</t>
  </si>
  <si>
    <t xml:space="preserve">Yeomanry turned out overnight against mill-attacking crowd. CHECK writer and place (next page).</t>
  </si>
  <si>
    <t xml:space="preserve">HO42-0101</t>
  </si>
  <si>
    <t xml:space="preserve">E85</t>
  </si>
  <si>
    <t xml:space="preserve">HO-42-51_05.pdf</t>
  </si>
  <si>
    <t xml:space="preserve">f.285</t>
  </si>
  <si>
    <t xml:space="preserve">Lt-Gen James Rooke, Bristol 19 Sep 1800: "a Riot, that took place here last night by a Mob attacking a Store house which they partly destroyed... having previous notice of their intention the Troops were in readiness to receive them &amp; without waiting for the presence of a Magistrate, the Constables being obliged to retire, I gave Orders for the Cavalry to Charge, which dispersed them".</t>
  </si>
  <si>
    <t xml:space="preserve">18-19 Sep 1800</t>
  </si>
  <si>
    <t xml:space="preserve">1800-09-18</t>
  </si>
  <si>
    <t xml:space="preserve">Lt-Gen James Rooke (district commander)</t>
  </si>
  <si>
    <t xml:space="preserve">Cavalry charged without magistrate present</t>
  </si>
  <si>
    <t xml:space="preserve">KEY: TROOPS ACTED WITHOUT A MAGISTRATE (constables retired) - no civil request at all. Legal irregularity worth noting for JV.</t>
  </si>
  <si>
    <t xml:space="preserve">HO42-0102</t>
  </si>
  <si>
    <t xml:space="preserve">E86</t>
  </si>
  <si>
    <t xml:space="preserve">63-64</t>
  </si>
  <si>
    <t xml:space="preserve">ff.289-290</t>
  </si>
  <si>
    <t xml:space="preserve">Rd Thompson, Mayor of Rochester, 19 Sep 1800: "There was another meeting to night - of about two Thousand Persons - wch a great deal of talking to - I got them to disperse - had they been riotous - or attempted to have done Mischief - I had laid my Plan wth Genl Hewitt at the Upper Barracks &amp; Genl Innes of the Marines - to have had as much Military assistance as I might have thought necessary but was determined this Time not to employ it without a great Necessity".</t>
  </si>
  <si>
    <t xml:space="preserve">Rochester (Chatham barracks)</t>
  </si>
  <si>
    <t xml:space="preserve">Rochester</t>
  </si>
  <si>
    <t xml:space="preserve">Richard Thompson, Mayor of Rochester</t>
  </si>
  <si>
    <t xml:space="preserve">Pre-arranged with Gen. Hewitt (Upper Barracks) and Gen. Innes (Marines)</t>
  </si>
  <si>
    <t xml:space="preserve">ROUTE: local arrangement with barracks generals; mayor deliberately avoided using troops. Barracks (Chatham) as standby force.</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</si>
  <si>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</si>
  <si>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</si>
  <si>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</si>
  <si>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</si>
  <si>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</si>
  <si>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</si>
  <si>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</si>
  <si>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</si>
  <si>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</si>
  <si>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</si>
  <si>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</si>
  <si>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</si>
  <si>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</si>
  <si>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</si>
  <si>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</si>
  <si>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</si>
  <si>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1800</t>
  </si>
  <si>
    <t xml:space="preserve">Mayor wants "soldiers unconnected with the place" because yeomanry sympathised with rioters.</t>
  </si>
  <si>
    <t xml:space="preserve">HO 42/51 f.116</t>
  </si>
  <si>
    <t xml:space="preserve">Gee (via other session)</t>
  </si>
  <si>
    <t xml:space="preserve">Partly</t>
  </si>
  <si>
    <t xml:space="preserve">Local force distrusted - fits "civil power inadequate". | HO 42/51 f.116 is the High Sheriff's letter (yeomanry called) - logged HO42-0097; Mayor's phrase not yet seen.</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</si>
  <si>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</si>
  <si>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</si>
  <si>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</si>
  <si>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</si>
  <si>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</si>
  <si>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</si>
  <si>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</si>
  <si>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</si>
  <si>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</si>
  <si>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</si>
  <si>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</si>
  <si>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</si>
  <si>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</si>
  <si>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</si>
  <si>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</si>
  <si>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</si>
  <si>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</si>
  <si>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</si>
  <si>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</si>
  <si>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</si>
  <si>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</si>
  <si>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</si>
  <si>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</si>
  <si>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</si>
  <si>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</si>
  <si>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</si>
  <si>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</si>
  <si>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</si>
  <si>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</si>
  <si>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</si>
  <si>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</si>
  <si>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</si>
  <si>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</si>
  <si>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</si>
  <si>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</si>
  <si>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</si>
  <si>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</si>
  <si>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</si>
  <si>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</si>
  <si>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</si>
  <si>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</si>
  <si>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</si>
  <si>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</si>
  <si>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</si>
  <si>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</si>
  <si>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</si>
  <si>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</si>
  <si>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</si>
  <si>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</si>
  <si>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</si>
  <si>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</si>
  <si>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</si>
  <si>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</si>
  <si>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</si>
  <si>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</si>
  <si>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</si>
  <si>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</si>
  <si>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</si>
  <si>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</si>
  <si>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</si>
  <si>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</si>
  <si>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</si>
  <si>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</si>
  <si>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</si>
  <si>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</si>
  <si>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</si>
  <si>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</si>
  <si>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</si>
  <si>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</si>
  <si>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</si>
  <si>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</si>
  <si>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</si>
  <si>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</si>
  <si>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</si>
  <si>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</si>
  <si>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</si>
  <si>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</si>
  <si>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</si>
  <si>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</si>
  <si>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</si>
  <si>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</si>
  <si>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</si>
  <si>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</si>
  <si>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</si>
  <si>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</si>
  <si>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</si>
  <si>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</si>
  <si>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</si>
  <si>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</si>
  <si>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</si>
  <si>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</si>
  <si>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</si>
  <si>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</si>
  <si>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</si>
  <si>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</si>
  <si>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</si>
  <si>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</si>
  <si>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</si>
  <si>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</si>
  <si>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</si>
  <si>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</si>
  <si>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</si>
  <si>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</si>
  <si>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</si>
  <si>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</si>
  <si>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</si>
  <si>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</si>
  <si>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</si>
  <si>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</si>
  <si>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</si>
  <si>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</si>
  <si>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</si>
  <si>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</si>
  <si>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</si>
  <si>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</si>
  <si>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</si>
  <si>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</si>
  <si>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</si>
  <si>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</si>
  <si>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</si>
  <si>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</si>
  <si>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</si>
  <si>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</si>
  <si>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</si>
  <si>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</si>
  <si>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</si>
  <si>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</si>
  <si>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</si>
  <si>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</si>
  <si>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</si>
  <si>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</si>
  <si>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</si>
  <si>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</si>
  <si>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</si>
  <si>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</si>
  <si>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</si>
  <si>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</si>
  <si>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</si>
  <si>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</si>
  <si>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</si>
  <si>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</si>
  <si>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</si>
  <si>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</si>
  <si>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</si>
  <si>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</si>
  <si>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</si>
  <si>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</si>
  <si>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</si>
  <si>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</si>
  <si>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</si>
  <si>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</si>
  <si>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</si>
  <si>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</si>
  <si>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</si>
  <si>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</si>
  <si>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</si>
  <si>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</si>
  <si>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</si>
  <si>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</si>
  <si>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</si>
  <si>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</si>
  <si>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</si>
  <si>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</si>
  <si>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</si>
  <si>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</si>
  <si>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</si>
  <si>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</si>
  <si>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</si>
  <si>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</si>
  <si>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</si>
  <si>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</si>
  <si>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</si>
  <si>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</si>
  <si>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</si>
  <si>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</si>
  <si>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</si>
  <si>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</si>
  <si>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</si>
  <si>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</si>
  <si>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</si>
  <si>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</si>
  <si>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</si>
  <si>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</si>
  <si>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</si>
  <si>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</si>
  <si>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</si>
  <si>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</si>
  <si>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</si>
  <si>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</si>
  <si>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</si>
  <si>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</si>
  <si>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</si>
  <si>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</si>
  <si>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</si>
  <si>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</si>
  <si>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</si>
  <si>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</si>
  <si>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</si>
  <si>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</si>
  <si>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</si>
  <si>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</si>
  <si>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</si>
  <si>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</si>
  <si>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</si>
  <si>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 | HO 42/62_04 (Jun-Jul 1801) read: Bilston guard request (HO42-0084); Barnes yeomanry (HO42-0085); 'WAR!' Sheffield handbill, UE plan; Huntingdon magistrates v Barracks poor rates (f.248, context); Warrington information. | HO 42/62_05 (Jul-Aug 1801) read: Bilston denial follow-up (added to HO42-0084); United Irishmen constitution card; Scarborough/Wakefield? night meetings in Yorkshire; Lichfield; Nottingham? informers; Bath depositions. | HO 42/62_06 (Aug 1801) read: no events (night meetings of 1,800 on Grange Moor nr Huddersfield reported, no request; Leeds informers; clergy crop-return circular replies; Blackburn; Bolton sedition expenses). | HO 42/62_07 (Sep 1801) read: no events (Yarmouth emigrants/spies; Bolton Fletcher/Bancroft informer letters; Sheffield? petitions; Gen. Dundas plan of military positions for defence of London (invasion, f.517)). | HO 42/62_08 (Oct-Nov 1801) read: Sudbury request to remove dragoons (HO42-0086); peace celebrations; Bolton Fletcher; petitions; legal opinions; Hatton Garden Aaron Graham plan. | HO 42/62_09 (Nov-Dec 1801) read: HO plan for Devon/Somerset riots incl. volunteer corps duty and disbanding (HO42-0087); South Shields shipwrights' strike with threatening letter to Bulmer &amp; reward notices (f.615-618, no troop request); Portsmouth Graham dockyard; convicts. HO 42/62 COMPLETE. | HO 42/150_1 (May 1816) read: Norwich keep-militia request, Downham/Wisbech troops, Essex threshing-machine rioters; also Bury gaol committals, Bideford potato riot (f.59, women, mayor-bankers, no troop request seen), Norwich mayoralty notices, Mildenhall/Brandon, Grafton (Euston) letters, Cheltenham? CHECK remaining folios for Littleport/Ely requests. | HO 42/51_01 (1-6 Sep 1800) read: Mansfield (Blues requested &amp; retained), Nottingham (Bunny Yeomanry called by Mayor), Sheffield/Rotherham yeomanry, Hambledon volunteers; Nottingham handbills; militia appointments. | HO 42/51_02 (6-12 Sep 1800) read: Oxford unrequested dragoons (resolves dispute), Sheffield volunteers refuse, Birmingham riot; Chesterfield/Leicester/Mansfield notices; Poole handbill; Hastings, Southampton, Nottingham extracts. | HO 42/51_03 (11-16 Sep 1800) read: Banbury (yeomanry/association), Islington Volunteers; Oxford follow-up (Hughes 14 Sep, dragoons stay, constables in market); Lord Mayor London corn-market crowd 15 Sep (constables &amp; aldermen, no troops on this page); Lichfield, Nottingham, Norwich printed address; Mansion House letters. | HO 42/51_04 (16-17 Sep 1800) read: London Lord Mayor volunteer deployment (HO42-0099); yeomanry v mill crowd near Oxford (HO42-0100); Nottingham notices and Samuel Smith 'rank Jacobins' letter (more troops ordered to Nottingham, f.174); Lichfield, Banbury printed meeting; Police Office (Worship St, Shadwell) reports; Mansfield notices. | HO 42/51_05 (17-19 Sep 1800) read: Bristol cavalry charge without magistrate (HO42-0101); Rochester contingent arrangement (HO42-0102); Atherstone/Nuneaton (volunteers restored order, assize of bread, no request); Chelmsford reward handbill; Wolverhampton/Brewood colliers notice; Portsmouth; Gloucester; Glamorgan (Wales).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</si>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</sst>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62</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12</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8</v>
      </c>
    </row>
    <row r="11" customFormat="false" ht="15" hidden="false" customHeight="true" outlineLevel="0" collapsed="false">
      <c r="A11" s="3" t="s">
        <v>10</v>
      </c>
      <c r="B11" s="3" t="n">
        <f aca="false">SUM(B5:B10)</f>
        <v>102</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23</v>
      </c>
    </row>
    <row r="16" customFormat="false" ht="15" hidden="false" customHeight="true" outlineLevel="0" collapsed="false">
      <c r="A16" s="4" t="s">
        <v>14</v>
      </c>
      <c r="B16" s="4" t="n">
        <f aca="false">COUNTIFS(Events!$C$2:$C$1000,"Request for troops",Events!$Y$2:$Y$1000,A16)</f>
        <v>24</v>
      </c>
    </row>
    <row r="17" customFormat="false" ht="15" hidden="false" customHeight="true" outlineLevel="0" collapsed="false">
      <c r="A17" s="4" t="s">
        <v>15</v>
      </c>
      <c r="B17" s="4" t="n">
        <f aca="false">COUNTIFS(Events!$C$2:$C$1000,"Request for troops",Events!$Y$2:$Y$1000,A17)</f>
        <v>5</v>
      </c>
    </row>
    <row r="18" customFormat="false" ht="15" hidden="false" customHeight="true" outlineLevel="0" collapsed="false">
      <c r="A18" s="4" t="s">
        <v>16</v>
      </c>
      <c r="B18" s="4" t="n">
        <f aca="false">COUNTIFS(Events!$C$2:$C$1000,"Request for troops",Events!$Y$2:$Y$1000,A18)</f>
        <v>10</v>
      </c>
    </row>
    <row r="19" customFormat="false" ht="15" hidden="false" customHeight="true" outlineLevel="0" collapsed="false">
      <c r="A19" s="3" t="s">
        <v>10</v>
      </c>
      <c r="B19" s="3" t="n">
        <f aca="false">SUM(B15:B18)</f>
        <v>62</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12</v>
      </c>
    </row>
    <row r="35" customFormat="false" ht="15" hidden="false" customHeight="true" outlineLevel="0" collapsed="false">
      <c r="A35" s="4" t="n">
        <v>1801</v>
      </c>
      <c r="B35" s="4" t="n">
        <f aca="false">COUNTIF(Events!$P$2:$P$1000,A35)</f>
        <v>8</v>
      </c>
    </row>
    <row r="36" customFormat="false" ht="15" hidden="false" customHeight="true" outlineLevel="0" collapsed="false">
      <c r="A36" s="3" t="s">
        <v>10</v>
      </c>
      <c r="B36" s="3" t="n">
        <f aca="false">SUM(B23:B35)</f>
        <v>99</v>
      </c>
    </row>
    <row r="38" customFormat="false" ht="15" hidden="false" customHeight="true" outlineLevel="0" collapsed="false">
      <c r="A38" s="3" t="s">
        <v>19</v>
      </c>
      <c r="B38" s="4" t="n">
        <f aca="false">SUMPRODUCT((Events!$B$2:$B$1000&lt;&gt;"")/COUNTIF(Events!$B$2:$B$1000,Events!$B$2:$B$1000&amp;""))</f>
        <v>86</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A85" s="6" t="s">
        <v>1110</v>
      </c>
      <c r="B85" s="6" t="s">
        <v>1111</v>
      </c>
      <c r="C85" s="7" t="s">
        <v>4</v>
      </c>
      <c r="D85" s="6" t="s">
        <v>88</v>
      </c>
      <c r="E85" s="6" t="s">
        <v>1060</v>
      </c>
      <c r="F85" s="6" t="s">
        <v>1112</v>
      </c>
      <c r="G85" s="6" t="s">
        <v>1113</v>
      </c>
      <c r="H85" s="6" t="s">
        <v>1036</v>
      </c>
      <c r="I85" s="6" t="s">
        <v>274</v>
      </c>
      <c r="J85" s="6"/>
      <c r="K85" s="6" t="s">
        <v>60</v>
      </c>
      <c r="L85" s="6" t="s">
        <v>61</v>
      </c>
      <c r="M85" s="6" t="s">
        <v>1114</v>
      </c>
      <c r="N85" s="6" t="s">
        <v>1115</v>
      </c>
      <c r="O85" s="8" t="s">
        <v>1116</v>
      </c>
      <c r="P85" s="6" t="n">
        <f aca="false">IF(O85="","",VALUE(LEFT(O85,4)))</f>
        <v>1801</v>
      </c>
      <c r="Q85" s="6" t="s">
        <v>1117</v>
      </c>
      <c r="R85" s="6" t="s">
        <v>1117</v>
      </c>
      <c r="S85" s="6" t="s">
        <v>358</v>
      </c>
      <c r="T85" s="6" t="s">
        <v>1118</v>
      </c>
      <c r="U85" s="6" t="s">
        <v>69</v>
      </c>
      <c r="V85" s="6" t="s">
        <v>785</v>
      </c>
      <c r="W85" s="6" t="str">
        <f aca="false">IF(O85="","",INDEX(Lookups!$B$2:$B$85,MATCH(O85,Lookups!$A$2:$A$85,1)))</f>
        <v>Portland</v>
      </c>
      <c r="X85" s="6" t="s">
        <v>103</v>
      </c>
      <c r="Y85" s="6" t="s">
        <v>14</v>
      </c>
      <c r="Z85" s="6" t="s">
        <v>88</v>
      </c>
      <c r="AA85" s="6" t="s">
        <v>1119</v>
      </c>
      <c r="AB85" s="6" t="s">
        <v>88</v>
      </c>
      <c r="AC85" s="6" t="s">
        <v>1120</v>
      </c>
      <c r="AD85" s="6" t="s">
        <v>434</v>
      </c>
      <c r="AE85" s="6" t="s">
        <v>1121</v>
      </c>
      <c r="AF85" s="6"/>
      <c r="AG85" s="6" t="s">
        <v>1122</v>
      </c>
      <c r="AH85" s="6" t="s">
        <v>9</v>
      </c>
      <c r="AI85" s="6" t="s">
        <v>1123</v>
      </c>
    </row>
    <row r="86" customFormat="false" ht="15" hidden="false" customHeight="true" outlineLevel="0" collapsed="false">
      <c r="A86" s="6" t="s">
        <v>1124</v>
      </c>
      <c r="B86" s="6" t="s">
        <v>1125</v>
      </c>
      <c r="C86" s="9" t="s">
        <v>6</v>
      </c>
      <c r="D86" s="6" t="s">
        <v>55</v>
      </c>
      <c r="E86" s="6" t="s">
        <v>1060</v>
      </c>
      <c r="F86" s="6" t="s">
        <v>1112</v>
      </c>
      <c r="G86" s="6" t="s">
        <v>1126</v>
      </c>
      <c r="H86" s="6" t="s">
        <v>1127</v>
      </c>
      <c r="I86" s="6" t="s">
        <v>274</v>
      </c>
      <c r="J86" s="6"/>
      <c r="K86" s="6" t="s">
        <v>60</v>
      </c>
      <c r="L86" s="6" t="s">
        <v>61</v>
      </c>
      <c r="M86" s="6" t="s">
        <v>1128</v>
      </c>
      <c r="N86" s="6" t="s">
        <v>1129</v>
      </c>
      <c r="O86" s="8" t="s">
        <v>1130</v>
      </c>
      <c r="P86" s="6" t="n">
        <f aca="false">IF(O86="","",VALUE(LEFT(O86,4)))</f>
        <v>1801</v>
      </c>
      <c r="Q86" s="6" t="s">
        <v>1131</v>
      </c>
      <c r="R86" s="6" t="s">
        <v>1131</v>
      </c>
      <c r="S86" s="6" t="s">
        <v>1132</v>
      </c>
      <c r="T86" s="6" t="s">
        <v>1133</v>
      </c>
      <c r="U86" s="6" t="s">
        <v>69</v>
      </c>
      <c r="V86" s="6" t="s">
        <v>785</v>
      </c>
      <c r="W86" s="6" t="str">
        <f aca="false">IF(O86="","",INDEX(Lookups!$B$2:$B$86,MATCH(O86,Lookups!$A$2:$A$86,1)))</f>
        <v>Portland</v>
      </c>
      <c r="X86" s="6" t="s">
        <v>140</v>
      </c>
      <c r="Y86" s="6"/>
      <c r="Z86" s="6"/>
      <c r="AA86" s="6"/>
      <c r="AB86" s="6"/>
      <c r="AC86" s="6"/>
      <c r="AD86" s="6"/>
      <c r="AE86" s="6"/>
      <c r="AF86" s="6"/>
      <c r="AG86" s="6"/>
      <c r="AH86" s="6"/>
      <c r="AI86" s="6" t="s">
        <v>1134</v>
      </c>
    </row>
    <row r="87" customFormat="false" ht="15" hidden="false" customHeight="true" outlineLevel="0" collapsed="false">
      <c r="A87" s="6" t="s">
        <v>1135</v>
      </c>
      <c r="B87" s="6" t="s">
        <v>1136</v>
      </c>
      <c r="C87" s="12" t="s">
        <v>9</v>
      </c>
      <c r="D87" s="6" t="s">
        <v>88</v>
      </c>
      <c r="E87" s="6" t="s">
        <v>1060</v>
      </c>
      <c r="F87" s="6" t="s">
        <v>1137</v>
      </c>
      <c r="G87" s="6" t="s">
        <v>1138</v>
      </c>
      <c r="H87" s="6" t="s">
        <v>1139</v>
      </c>
      <c r="I87" s="6" t="s">
        <v>274</v>
      </c>
      <c r="J87" s="6"/>
      <c r="K87" s="6" t="s">
        <v>60</v>
      </c>
      <c r="L87" s="6" t="s">
        <v>61</v>
      </c>
      <c r="M87" s="6" t="s">
        <v>1140</v>
      </c>
      <c r="N87" s="6" t="s">
        <v>1141</v>
      </c>
      <c r="O87" s="8" t="s">
        <v>1142</v>
      </c>
      <c r="P87" s="6" t="n">
        <f aca="false">IF(O87="","",VALUE(LEFT(O87,4)))</f>
        <v>1801</v>
      </c>
      <c r="Q87" s="6" t="s">
        <v>1143</v>
      </c>
      <c r="R87" s="6" t="s">
        <v>1143</v>
      </c>
      <c r="S87" s="6" t="s">
        <v>705</v>
      </c>
      <c r="T87" s="6" t="s">
        <v>1144</v>
      </c>
      <c r="U87" s="6" t="s">
        <v>85</v>
      </c>
      <c r="V87" s="6" t="s">
        <v>1145</v>
      </c>
      <c r="W87" s="6" t="str">
        <f aca="false">IF(O87="","",INDEX(Lookups!$B$2:$B$87,MATCH(O87,Lookups!$A$2:$A$87,1)))</f>
        <v>Pelham</v>
      </c>
      <c r="X87" s="6" t="s">
        <v>140</v>
      </c>
      <c r="Y87" s="6" t="s">
        <v>13</v>
      </c>
      <c r="Z87" s="6" t="s">
        <v>72</v>
      </c>
      <c r="AA87" s="6" t="s">
        <v>1146</v>
      </c>
      <c r="AB87" s="6" t="s">
        <v>88</v>
      </c>
      <c r="AC87" s="6"/>
      <c r="AD87" s="6"/>
      <c r="AE87" s="6"/>
      <c r="AF87" s="6"/>
      <c r="AG87" s="6"/>
      <c r="AH87" s="6"/>
      <c r="AI87" s="6" t="s">
        <v>1147</v>
      </c>
    </row>
    <row r="88" customFormat="false" ht="15" hidden="false" customHeight="true" outlineLevel="0" collapsed="false">
      <c r="A88" s="6" t="s">
        <v>1148</v>
      </c>
      <c r="B88" s="6" t="s">
        <v>1149</v>
      </c>
      <c r="C88" s="9" t="s">
        <v>6</v>
      </c>
      <c r="D88" s="6" t="s">
        <v>88</v>
      </c>
      <c r="E88" s="6" t="s">
        <v>1060</v>
      </c>
      <c r="F88" s="6" t="s">
        <v>1150</v>
      </c>
      <c r="G88" s="6" t="s">
        <v>1151</v>
      </c>
      <c r="H88" s="6" t="s">
        <v>1152</v>
      </c>
      <c r="I88" s="6" t="s">
        <v>274</v>
      </c>
      <c r="J88" s="6"/>
      <c r="K88" s="6" t="s">
        <v>60</v>
      </c>
      <c r="L88" s="6" t="s">
        <v>61</v>
      </c>
      <c r="M88" s="6" t="s">
        <v>1153</v>
      </c>
      <c r="N88" s="6" t="s">
        <v>1154</v>
      </c>
      <c r="O88" s="8" t="s">
        <v>1155</v>
      </c>
      <c r="P88" s="6" t="n">
        <f aca="false">IF(O88="","",VALUE(LEFT(O88,4)))</f>
        <v>1801</v>
      </c>
      <c r="Q88" s="6" t="s">
        <v>1156</v>
      </c>
      <c r="R88" s="6" t="s">
        <v>1157</v>
      </c>
      <c r="S88" s="6" t="s">
        <v>172</v>
      </c>
      <c r="T88" s="6" t="s">
        <v>1158</v>
      </c>
      <c r="U88" s="6" t="s">
        <v>254</v>
      </c>
      <c r="V88" s="6" t="s">
        <v>1159</v>
      </c>
      <c r="W88" s="6" t="str">
        <f aca="false">IF(O88="","",INDEX(Lookups!$B$2:$B$88,MATCH(O88,Lookups!$A$2:$A$88,1)))</f>
        <v>Pelham</v>
      </c>
      <c r="X88" s="6" t="s">
        <v>103</v>
      </c>
      <c r="Y88" s="6"/>
      <c r="Z88" s="6"/>
      <c r="AA88" s="6"/>
      <c r="AB88" s="6"/>
      <c r="AC88" s="6"/>
      <c r="AD88" s="6"/>
      <c r="AE88" s="6"/>
      <c r="AF88" s="6"/>
      <c r="AG88" s="6"/>
      <c r="AH88" s="6"/>
      <c r="AI88" s="6" t="s">
        <v>1160</v>
      </c>
    </row>
    <row r="89" customFormat="false" ht="15" hidden="false" customHeight="true" outlineLevel="0" collapsed="false">
      <c r="A89" s="6" t="s">
        <v>1161</v>
      </c>
      <c r="B89" s="6" t="s">
        <v>1162</v>
      </c>
      <c r="C89" s="7" t="s">
        <v>4</v>
      </c>
      <c r="D89" s="6" t="s">
        <v>88</v>
      </c>
      <c r="E89" s="6" t="s">
        <v>1163</v>
      </c>
      <c r="F89" s="6" t="s">
        <v>1164</v>
      </c>
      <c r="G89" s="6" t="s">
        <v>1165</v>
      </c>
      <c r="H89" s="6" t="s">
        <v>1166</v>
      </c>
      <c r="I89" s="6" t="s">
        <v>274</v>
      </c>
      <c r="J89" s="6"/>
      <c r="K89" s="6" t="s">
        <v>60</v>
      </c>
      <c r="L89" s="6" t="s">
        <v>61</v>
      </c>
      <c r="M89" s="6" t="s">
        <v>1167</v>
      </c>
      <c r="N89" s="6" t="s">
        <v>1168</v>
      </c>
      <c r="O89" s="8" t="s">
        <v>1169</v>
      </c>
      <c r="P89" s="6" t="n">
        <f aca="false">IF(O89="","",VALUE(LEFT(O89,4)))</f>
        <v>1816</v>
      </c>
      <c r="Q89" s="6" t="s">
        <v>620</v>
      </c>
      <c r="R89" s="6" t="s">
        <v>620</v>
      </c>
      <c r="S89" s="6" t="s">
        <v>304</v>
      </c>
      <c r="T89" s="6" t="s">
        <v>1170</v>
      </c>
      <c r="U89" s="6" t="s">
        <v>85</v>
      </c>
      <c r="V89" s="6" t="s">
        <v>1171</v>
      </c>
      <c r="W89" s="6" t="str">
        <f aca="false">IF(O89="","",INDEX(Lookups!$B$2:$B$89,MATCH(O89,Lookups!$A$2:$A$89,1)))</f>
        <v>Sidmouth</v>
      </c>
      <c r="X89" s="6" t="s">
        <v>103</v>
      </c>
      <c r="Y89" s="6" t="s">
        <v>13</v>
      </c>
      <c r="Z89" s="6" t="s">
        <v>72</v>
      </c>
      <c r="AA89" s="6" t="s">
        <v>1172</v>
      </c>
      <c r="AB89" s="6" t="s">
        <v>88</v>
      </c>
      <c r="AC89" s="6"/>
      <c r="AD89" s="6"/>
      <c r="AE89" s="6"/>
      <c r="AF89" s="6"/>
      <c r="AG89" s="6"/>
      <c r="AH89" s="6"/>
      <c r="AI89" s="6" t="s">
        <v>1173</v>
      </c>
    </row>
    <row r="90" customFormat="false" ht="15" hidden="false" customHeight="true" outlineLevel="0" collapsed="false">
      <c r="A90" s="6" t="s">
        <v>1174</v>
      </c>
      <c r="B90" s="6" t="s">
        <v>1175</v>
      </c>
      <c r="C90" s="7" t="s">
        <v>4</v>
      </c>
      <c r="D90" s="6" t="s">
        <v>55</v>
      </c>
      <c r="E90" s="6" t="s">
        <v>1163</v>
      </c>
      <c r="F90" s="6" t="s">
        <v>1164</v>
      </c>
      <c r="G90" s="6" t="s">
        <v>1176</v>
      </c>
      <c r="H90" s="6" t="s">
        <v>1177</v>
      </c>
      <c r="I90" s="6" t="s">
        <v>274</v>
      </c>
      <c r="J90" s="6"/>
      <c r="K90" s="6" t="s">
        <v>60</v>
      </c>
      <c r="L90" s="6" t="s">
        <v>61</v>
      </c>
      <c r="M90" s="6" t="s">
        <v>1178</v>
      </c>
      <c r="N90" s="6" t="s">
        <v>1179</v>
      </c>
      <c r="O90" s="8" t="s">
        <v>1180</v>
      </c>
      <c r="P90" s="6" t="n">
        <f aca="false">IF(O90="","",VALUE(LEFT(O90,4)))</f>
        <v>1816</v>
      </c>
      <c r="Q90" s="6" t="s">
        <v>1181</v>
      </c>
      <c r="R90" s="6" t="s">
        <v>1182</v>
      </c>
      <c r="S90" s="6" t="s">
        <v>304</v>
      </c>
      <c r="T90" s="6" t="s">
        <v>1183</v>
      </c>
      <c r="U90" s="6" t="s">
        <v>174</v>
      </c>
      <c r="V90" s="6" t="s">
        <v>1171</v>
      </c>
      <c r="W90" s="6" t="str">
        <f aca="false">IF(O90="","",INDEX(Lookups!$B$2:$B$90,MATCH(O90,Lookups!$A$2:$A$90,1)))</f>
        <v>Sidmouth</v>
      </c>
      <c r="X90" s="6" t="s">
        <v>103</v>
      </c>
      <c r="Y90" s="6" t="s">
        <v>13</v>
      </c>
      <c r="Z90" s="6" t="s">
        <v>72</v>
      </c>
      <c r="AA90" s="6" t="s">
        <v>1184</v>
      </c>
      <c r="AB90" s="6" t="s">
        <v>88</v>
      </c>
      <c r="AC90" s="6"/>
      <c r="AD90" s="6"/>
      <c r="AE90" s="6"/>
      <c r="AF90" s="6"/>
      <c r="AG90" s="6"/>
      <c r="AH90" s="6"/>
      <c r="AI90" s="6" t="s">
        <v>1185</v>
      </c>
    </row>
    <row r="91" customFormat="false" ht="15" hidden="false" customHeight="true" outlineLevel="0" collapsed="false">
      <c r="A91" s="6" t="s">
        <v>1186</v>
      </c>
      <c r="B91" s="6" t="s">
        <v>1187</v>
      </c>
      <c r="C91" s="7" t="s">
        <v>4</v>
      </c>
      <c r="D91" s="6" t="s">
        <v>55</v>
      </c>
      <c r="E91" s="6" t="s">
        <v>1163</v>
      </c>
      <c r="F91" s="6" t="s">
        <v>1164</v>
      </c>
      <c r="G91" s="6" t="s">
        <v>1188</v>
      </c>
      <c r="H91" s="6" t="s">
        <v>1189</v>
      </c>
      <c r="I91" s="6" t="s">
        <v>274</v>
      </c>
      <c r="J91" s="6"/>
      <c r="K91" s="6" t="s">
        <v>60</v>
      </c>
      <c r="L91" s="6" t="s">
        <v>61</v>
      </c>
      <c r="M91" s="6" t="s">
        <v>1190</v>
      </c>
      <c r="N91" s="6" t="s">
        <v>1191</v>
      </c>
      <c r="O91" s="8" t="s">
        <v>1192</v>
      </c>
      <c r="P91" s="6" t="n">
        <f aca="false">IF(O91="","",VALUE(LEFT(O91,4)))</f>
        <v>1816</v>
      </c>
      <c r="Q91" s="6" t="s">
        <v>1193</v>
      </c>
      <c r="R91" s="6" t="s">
        <v>1194</v>
      </c>
      <c r="S91" s="6" t="s">
        <v>813</v>
      </c>
      <c r="T91" s="6" t="s">
        <v>1195</v>
      </c>
      <c r="U91" s="6" t="s">
        <v>69</v>
      </c>
      <c r="V91" s="6" t="s">
        <v>1171</v>
      </c>
      <c r="W91" s="6" t="str">
        <f aca="false">IF(O91="","",INDEX(Lookups!$B$2:$B$91,MATCH(O91,Lookups!$A$2:$A$91,1)))</f>
        <v>Sidmouth</v>
      </c>
      <c r="X91" s="6" t="s">
        <v>70</v>
      </c>
      <c r="Y91" s="6" t="s">
        <v>16</v>
      </c>
      <c r="Z91" s="6" t="s">
        <v>72</v>
      </c>
      <c r="AA91" s="6" t="s">
        <v>1196</v>
      </c>
      <c r="AB91" s="6" t="s">
        <v>88</v>
      </c>
      <c r="AC91" s="6"/>
      <c r="AD91" s="6"/>
      <c r="AE91" s="6"/>
      <c r="AF91" s="6"/>
      <c r="AG91" s="6"/>
      <c r="AH91" s="6"/>
      <c r="AI91" s="6" t="s">
        <v>1197</v>
      </c>
    </row>
    <row r="92" customFormat="false" ht="15" hidden="false" customHeight="true" outlineLevel="0" collapsed="false">
      <c r="A92" s="6" t="s">
        <v>1198</v>
      </c>
      <c r="B92" s="6" t="s">
        <v>1199</v>
      </c>
      <c r="C92" s="7" t="s">
        <v>4</v>
      </c>
      <c r="D92" s="6" t="s">
        <v>88</v>
      </c>
      <c r="E92" s="6" t="s">
        <v>1200</v>
      </c>
      <c r="F92" s="6" t="s">
        <v>1201</v>
      </c>
      <c r="G92" s="6" t="s">
        <v>1202</v>
      </c>
      <c r="H92" s="6" t="s">
        <v>1063</v>
      </c>
      <c r="I92" s="6" t="s">
        <v>274</v>
      </c>
      <c r="J92" s="6"/>
      <c r="K92" s="6" t="s">
        <v>60</v>
      </c>
      <c r="L92" s="6" t="s">
        <v>61</v>
      </c>
      <c r="M92" s="6" t="s">
        <v>1203</v>
      </c>
      <c r="N92" s="6" t="s">
        <v>1204</v>
      </c>
      <c r="O92" s="8" t="s">
        <v>1205</v>
      </c>
      <c r="P92" s="6" t="n">
        <f aca="false">IF(O92="","",VALUE(LEFT(O92,4)))</f>
        <v>1800</v>
      </c>
      <c r="Q92" s="6" t="s">
        <v>1206</v>
      </c>
      <c r="R92" s="6" t="s">
        <v>1207</v>
      </c>
      <c r="S92" s="6" t="s">
        <v>553</v>
      </c>
      <c r="T92" s="6" t="s">
        <v>1208</v>
      </c>
      <c r="U92" s="6" t="s">
        <v>69</v>
      </c>
      <c r="V92" s="6" t="s">
        <v>785</v>
      </c>
      <c r="W92" s="6" t="str">
        <f aca="false">IF(O92="","",INDEX(Lookups!$B$2:$B$92,MATCH(O92,Lookups!$A$2:$A$92,1)))</f>
        <v>Portland</v>
      </c>
      <c r="X92" s="6" t="s">
        <v>103</v>
      </c>
      <c r="Y92" s="6" t="s">
        <v>13</v>
      </c>
      <c r="Z92" s="6" t="s">
        <v>88</v>
      </c>
      <c r="AA92" s="6" t="s">
        <v>1209</v>
      </c>
      <c r="AB92" s="6" t="s">
        <v>88</v>
      </c>
      <c r="AC92" s="6"/>
      <c r="AD92" s="6"/>
      <c r="AE92" s="6"/>
      <c r="AF92" s="6"/>
      <c r="AG92" s="6"/>
      <c r="AH92" s="6"/>
      <c r="AI92" s="6" t="s">
        <v>1210</v>
      </c>
    </row>
    <row r="93" customFormat="false" ht="15" hidden="false" customHeight="true" outlineLevel="0" collapsed="false">
      <c r="A93" s="6" t="s">
        <v>1211</v>
      </c>
      <c r="B93" s="6" t="s">
        <v>1212</v>
      </c>
      <c r="C93" s="9" t="s">
        <v>6</v>
      </c>
      <c r="D93" s="6" t="s">
        <v>88</v>
      </c>
      <c r="E93" s="6" t="s">
        <v>1200</v>
      </c>
      <c r="F93" s="6" t="s">
        <v>1201</v>
      </c>
      <c r="G93" s="6" t="s">
        <v>1213</v>
      </c>
      <c r="H93" s="6" t="s">
        <v>1214</v>
      </c>
      <c r="I93" s="6" t="s">
        <v>274</v>
      </c>
      <c r="J93" s="6"/>
      <c r="K93" s="6" t="s">
        <v>60</v>
      </c>
      <c r="L93" s="6" t="s">
        <v>61</v>
      </c>
      <c r="M93" s="6" t="s">
        <v>1215</v>
      </c>
      <c r="N93" s="6" t="s">
        <v>1216</v>
      </c>
      <c r="O93" s="8" t="s">
        <v>1217</v>
      </c>
      <c r="P93" s="6" t="n">
        <f aca="false">IF(O93="","",VALUE(LEFT(O93,4)))</f>
        <v>1800</v>
      </c>
      <c r="Q93" s="6" t="s">
        <v>1218</v>
      </c>
      <c r="R93" s="6" t="s">
        <v>552</v>
      </c>
      <c r="S93" s="6" t="s">
        <v>553</v>
      </c>
      <c r="T93" s="6" t="s">
        <v>1219</v>
      </c>
      <c r="U93" s="6" t="s">
        <v>139</v>
      </c>
      <c r="V93" s="6" t="s">
        <v>785</v>
      </c>
      <c r="W93" s="6" t="str">
        <f aca="false">IF(O93="","",INDEX(Lookups!$B$2:$B$93,MATCH(O93,Lookups!$A$2:$A$93,1)))</f>
        <v>Portland</v>
      </c>
      <c r="X93" s="6" t="s">
        <v>103</v>
      </c>
      <c r="Y93" s="6"/>
      <c r="Z93" s="6"/>
      <c r="AA93" s="6"/>
      <c r="AB93" s="6"/>
      <c r="AC93" s="6"/>
      <c r="AD93" s="6"/>
      <c r="AE93" s="6"/>
      <c r="AF93" s="6"/>
      <c r="AG93" s="6"/>
      <c r="AH93" s="6"/>
      <c r="AI93" s="6" t="s">
        <v>1220</v>
      </c>
    </row>
    <row r="94" customFormat="false" ht="15" hidden="false" customHeight="true" outlineLevel="0" collapsed="false">
      <c r="A94" s="6" t="s">
        <v>1221</v>
      </c>
      <c r="B94" s="6" t="s">
        <v>1222</v>
      </c>
      <c r="C94" s="9" t="s">
        <v>6</v>
      </c>
      <c r="D94" s="6" t="s">
        <v>55</v>
      </c>
      <c r="E94" s="6" t="s">
        <v>1200</v>
      </c>
      <c r="F94" s="6" t="s">
        <v>1201</v>
      </c>
      <c r="G94" s="6" t="s">
        <v>1223</v>
      </c>
      <c r="H94" s="6" t="s">
        <v>1224</v>
      </c>
      <c r="I94" s="6" t="s">
        <v>274</v>
      </c>
      <c r="J94" s="6"/>
      <c r="K94" s="6" t="s">
        <v>60</v>
      </c>
      <c r="L94" s="6" t="s">
        <v>61</v>
      </c>
      <c r="M94" s="6" t="s">
        <v>1225</v>
      </c>
      <c r="N94" s="6" t="s">
        <v>1226</v>
      </c>
      <c r="O94" s="8" t="s">
        <v>1217</v>
      </c>
      <c r="P94" s="6" t="n">
        <f aca="false">IF(O94="","",VALUE(LEFT(O94,4)))</f>
        <v>1800</v>
      </c>
      <c r="Q94" s="6" t="s">
        <v>1227</v>
      </c>
      <c r="R94" s="6" t="s">
        <v>195</v>
      </c>
      <c r="S94" s="6" t="s">
        <v>196</v>
      </c>
      <c r="T94" s="6" t="s">
        <v>1228</v>
      </c>
      <c r="U94" s="6" t="s">
        <v>815</v>
      </c>
      <c r="V94" s="6" t="s">
        <v>785</v>
      </c>
      <c r="W94" s="6" t="str">
        <f aca="false">IF(O94="","",INDEX(Lookups!$B$2:$B$94,MATCH(O94,Lookups!$A$2:$A$94,1)))</f>
        <v>Portland</v>
      </c>
      <c r="X94" s="6" t="s">
        <v>103</v>
      </c>
      <c r="Y94" s="6"/>
      <c r="Z94" s="6"/>
      <c r="AA94" s="6"/>
      <c r="AB94" s="6"/>
      <c r="AC94" s="6"/>
      <c r="AD94" s="6"/>
      <c r="AE94" s="6"/>
      <c r="AF94" s="6"/>
      <c r="AG94" s="6"/>
      <c r="AH94" s="6"/>
      <c r="AI94" s="6" t="s">
        <v>1229</v>
      </c>
    </row>
    <row r="95" customFormat="false" ht="15" hidden="false" customHeight="true" outlineLevel="0" collapsed="false">
      <c r="A95" s="6" t="s">
        <v>1230</v>
      </c>
      <c r="B95" s="6" t="s">
        <v>1231</v>
      </c>
      <c r="C95" s="12" t="s">
        <v>9</v>
      </c>
      <c r="D95" s="6" t="s">
        <v>88</v>
      </c>
      <c r="E95" s="6" t="s">
        <v>1200</v>
      </c>
      <c r="F95" s="6" t="s">
        <v>1232</v>
      </c>
      <c r="G95" s="6" t="s">
        <v>1233</v>
      </c>
      <c r="H95" s="6" t="s">
        <v>1234</v>
      </c>
      <c r="I95" s="6" t="s">
        <v>274</v>
      </c>
      <c r="J95" s="6"/>
      <c r="K95" s="6" t="s">
        <v>60</v>
      </c>
      <c r="L95" s="6" t="s">
        <v>61</v>
      </c>
      <c r="M95" s="6" t="s">
        <v>1235</v>
      </c>
      <c r="N95" s="6" t="s">
        <v>1236</v>
      </c>
      <c r="O95" s="8" t="s">
        <v>1237</v>
      </c>
      <c r="P95" s="6" t="n">
        <f aca="false">IF(O95="","",VALUE(LEFT(O95,4)))</f>
        <v>1800</v>
      </c>
      <c r="Q95" s="6" t="s">
        <v>1238</v>
      </c>
      <c r="R95" s="6" t="s">
        <v>1238</v>
      </c>
      <c r="S95" s="6" t="s">
        <v>866</v>
      </c>
      <c r="T95" s="6" t="s">
        <v>1239</v>
      </c>
      <c r="U95" s="6" t="s">
        <v>217</v>
      </c>
      <c r="V95" s="6" t="s">
        <v>785</v>
      </c>
      <c r="W95" s="6" t="str">
        <f aca="false">IF(O95="","",INDEX(Lookups!$B$2:$B$95,MATCH(O95,Lookups!$A$2:$A$95,1)))</f>
        <v>Portland</v>
      </c>
      <c r="X95" s="6" t="s">
        <v>103</v>
      </c>
      <c r="Y95" s="6" t="s">
        <v>16</v>
      </c>
      <c r="Z95" s="6" t="s">
        <v>88</v>
      </c>
      <c r="AA95" s="6" t="s">
        <v>1240</v>
      </c>
      <c r="AB95" s="6" t="s">
        <v>88</v>
      </c>
      <c r="AC95" s="6"/>
      <c r="AD95" s="6"/>
      <c r="AE95" s="6"/>
      <c r="AF95" s="6"/>
      <c r="AG95" s="6"/>
      <c r="AH95" s="6"/>
      <c r="AI95" s="6" t="s">
        <v>1241</v>
      </c>
    </row>
    <row r="96" customFormat="false" ht="15" hidden="false" customHeight="true" outlineLevel="0" collapsed="false">
      <c r="A96" s="6" t="s">
        <v>1242</v>
      </c>
      <c r="B96" s="6" t="s">
        <v>1222</v>
      </c>
      <c r="C96" s="7" t="s">
        <v>4</v>
      </c>
      <c r="D96" s="6" t="s">
        <v>88</v>
      </c>
      <c r="E96" s="6" t="s">
        <v>1200</v>
      </c>
      <c r="F96" s="6" t="s">
        <v>1232</v>
      </c>
      <c r="G96" s="6" t="s">
        <v>1243</v>
      </c>
      <c r="H96" s="6" t="s">
        <v>1244</v>
      </c>
      <c r="I96" s="6" t="s">
        <v>274</v>
      </c>
      <c r="J96" s="6"/>
      <c r="K96" s="6" t="s">
        <v>60</v>
      </c>
      <c r="L96" s="6" t="s">
        <v>61</v>
      </c>
      <c r="M96" s="6" t="s">
        <v>1245</v>
      </c>
      <c r="N96" s="6" t="s">
        <v>1246</v>
      </c>
      <c r="O96" s="8" t="s">
        <v>1247</v>
      </c>
      <c r="P96" s="6" t="n">
        <f aca="false">IF(O96="","",VALUE(LEFT(O96,4)))</f>
        <v>1800</v>
      </c>
      <c r="Q96" s="6" t="s">
        <v>1248</v>
      </c>
      <c r="R96" s="6" t="s">
        <v>195</v>
      </c>
      <c r="S96" s="6" t="s">
        <v>196</v>
      </c>
      <c r="T96" s="6" t="s">
        <v>1249</v>
      </c>
      <c r="U96" s="6" t="s">
        <v>69</v>
      </c>
      <c r="V96" s="6" t="s">
        <v>1250</v>
      </c>
      <c r="W96" s="6" t="str">
        <f aca="false">IF(O96="","",INDEX(Lookups!$B$2:$B$96,MATCH(O96,Lookups!$A$2:$A$96,1)))</f>
        <v>Portland</v>
      </c>
      <c r="X96" s="6" t="s">
        <v>103</v>
      </c>
      <c r="Y96" s="6" t="s">
        <v>14</v>
      </c>
      <c r="Z96" s="6" t="s">
        <v>88</v>
      </c>
      <c r="AA96" s="6" t="s">
        <v>1251</v>
      </c>
      <c r="AB96" s="6" t="s">
        <v>88</v>
      </c>
      <c r="AC96" s="6"/>
      <c r="AD96" s="6"/>
      <c r="AE96" s="6"/>
      <c r="AF96" s="6"/>
      <c r="AG96" s="6"/>
      <c r="AH96" s="6"/>
      <c r="AI96" s="6" t="s">
        <v>1252</v>
      </c>
    </row>
    <row r="97" customFormat="false" ht="15" hidden="false" customHeight="true" outlineLevel="0" collapsed="false">
      <c r="A97" s="6" t="s">
        <v>1253</v>
      </c>
      <c r="B97" s="6" t="s">
        <v>1254</v>
      </c>
      <c r="C97" s="7" t="s">
        <v>4</v>
      </c>
      <c r="D97" s="6" t="s">
        <v>55</v>
      </c>
      <c r="E97" s="6" t="s">
        <v>1200</v>
      </c>
      <c r="F97" s="6" t="s">
        <v>1232</v>
      </c>
      <c r="G97" s="6" t="s">
        <v>1255</v>
      </c>
      <c r="H97" s="6" t="s">
        <v>1256</v>
      </c>
      <c r="I97" s="6" t="s">
        <v>274</v>
      </c>
      <c r="J97" s="6"/>
      <c r="K97" s="6" t="s">
        <v>60</v>
      </c>
      <c r="L97" s="6" t="s">
        <v>61</v>
      </c>
      <c r="M97" s="6" t="s">
        <v>1257</v>
      </c>
      <c r="N97" s="6" t="s">
        <v>1258</v>
      </c>
      <c r="O97" s="8" t="s">
        <v>1247</v>
      </c>
      <c r="P97" s="6" t="n">
        <f aca="false">IF(O97="","",VALUE(LEFT(O97,4)))</f>
        <v>1800</v>
      </c>
      <c r="Q97" s="6" t="s">
        <v>184</v>
      </c>
      <c r="R97" s="6" t="s">
        <v>184</v>
      </c>
      <c r="S97" s="6" t="s">
        <v>185</v>
      </c>
      <c r="T97" s="6" t="s">
        <v>1259</v>
      </c>
      <c r="U97" s="6" t="s">
        <v>69</v>
      </c>
      <c r="V97" s="6" t="s">
        <v>785</v>
      </c>
      <c r="W97" s="6" t="str">
        <f aca="false">IF(O97="","",INDEX(Lookups!$B$2:$B$97,MATCH(O97,Lookups!$A$2:$A$97,1)))</f>
        <v>Portland</v>
      </c>
      <c r="X97" s="6" t="s">
        <v>103</v>
      </c>
      <c r="Y97" s="6" t="s">
        <v>13</v>
      </c>
      <c r="Z97" s="6" t="s">
        <v>88</v>
      </c>
      <c r="AA97" s="6" t="s">
        <v>1260</v>
      </c>
      <c r="AB97" s="6" t="s">
        <v>88</v>
      </c>
      <c r="AC97" s="6"/>
      <c r="AD97" s="6"/>
      <c r="AE97" s="6"/>
      <c r="AF97" s="6"/>
      <c r="AG97" s="6"/>
      <c r="AH97" s="6"/>
      <c r="AI97" s="6" t="s">
        <v>1261</v>
      </c>
    </row>
    <row r="98" customFormat="false" ht="15" hidden="false" customHeight="true" outlineLevel="0" collapsed="false">
      <c r="A98" s="6" t="s">
        <v>1262</v>
      </c>
      <c r="B98" s="6" t="s">
        <v>1263</v>
      </c>
      <c r="C98" s="7" t="s">
        <v>4</v>
      </c>
      <c r="D98" s="6" t="s">
        <v>88</v>
      </c>
      <c r="E98" s="6" t="s">
        <v>1200</v>
      </c>
      <c r="F98" s="6" t="s">
        <v>1264</v>
      </c>
      <c r="G98" s="6" t="s">
        <v>1265</v>
      </c>
      <c r="H98" s="6" t="s">
        <v>1266</v>
      </c>
      <c r="I98" s="6" t="s">
        <v>274</v>
      </c>
      <c r="J98" s="6"/>
      <c r="K98" s="6" t="s">
        <v>60</v>
      </c>
      <c r="L98" s="6" t="s">
        <v>61</v>
      </c>
      <c r="M98" s="6" t="s">
        <v>1267</v>
      </c>
      <c r="N98" s="6" t="s">
        <v>1268</v>
      </c>
      <c r="O98" s="8" t="s">
        <v>1269</v>
      </c>
      <c r="P98" s="6" t="n">
        <f aca="false">IF(O98="","",VALUE(LEFT(O98,4)))</f>
        <v>1800</v>
      </c>
      <c r="Q98" s="6" t="s">
        <v>1270</v>
      </c>
      <c r="R98" s="6" t="s">
        <v>1270</v>
      </c>
      <c r="S98" s="6" t="s">
        <v>866</v>
      </c>
      <c r="T98" s="6" t="s">
        <v>1271</v>
      </c>
      <c r="U98" s="6" t="s">
        <v>254</v>
      </c>
      <c r="V98" s="6" t="s">
        <v>785</v>
      </c>
      <c r="W98" s="6" t="str">
        <f aca="false">IF(O98="","",INDEX(Lookups!$B$2:$B$98,MATCH(O98,Lookups!$A$2:$A$98,1)))</f>
        <v>Portland</v>
      </c>
      <c r="X98" s="6" t="s">
        <v>103</v>
      </c>
      <c r="Y98" s="6" t="s">
        <v>13</v>
      </c>
      <c r="Z98" s="6" t="s">
        <v>88</v>
      </c>
      <c r="AA98" s="6" t="s">
        <v>1272</v>
      </c>
      <c r="AB98" s="6" t="s">
        <v>55</v>
      </c>
      <c r="AC98" s="6"/>
      <c r="AD98" s="6"/>
      <c r="AE98" s="6"/>
      <c r="AF98" s="6"/>
      <c r="AG98" s="6"/>
      <c r="AH98" s="6"/>
      <c r="AI98" s="6" t="s">
        <v>1273</v>
      </c>
    </row>
    <row r="99" customFormat="false" ht="15" hidden="false" customHeight="true" outlineLevel="0" collapsed="false">
      <c r="A99" s="6" t="s">
        <v>1274</v>
      </c>
      <c r="B99" s="6" t="s">
        <v>1275</v>
      </c>
      <c r="C99" s="12" t="s">
        <v>9</v>
      </c>
      <c r="D99" s="6" t="s">
        <v>55</v>
      </c>
      <c r="E99" s="6" t="s">
        <v>1200</v>
      </c>
      <c r="F99" s="6" t="s">
        <v>1264</v>
      </c>
      <c r="G99" s="6" t="s">
        <v>1276</v>
      </c>
      <c r="H99" s="6" t="s">
        <v>1277</v>
      </c>
      <c r="I99" s="6" t="s">
        <v>274</v>
      </c>
      <c r="J99" s="6"/>
      <c r="K99" s="6" t="s">
        <v>60</v>
      </c>
      <c r="L99" s="6" t="s">
        <v>61</v>
      </c>
      <c r="M99" s="6" t="s">
        <v>1278</v>
      </c>
      <c r="N99" s="6" t="s">
        <v>1279</v>
      </c>
      <c r="O99" s="8" t="s">
        <v>1280</v>
      </c>
      <c r="P99" s="6" t="n">
        <f aca="false">IF(O99="","",VALUE(LEFT(O99,4)))</f>
        <v>1800</v>
      </c>
      <c r="Q99" s="6" t="s">
        <v>1281</v>
      </c>
      <c r="R99" s="6" t="s">
        <v>1282</v>
      </c>
      <c r="S99" s="6" t="s">
        <v>241</v>
      </c>
      <c r="T99" s="6" t="s">
        <v>1283</v>
      </c>
      <c r="U99" s="6" t="s">
        <v>139</v>
      </c>
      <c r="V99" s="6" t="s">
        <v>785</v>
      </c>
      <c r="W99" s="6" t="str">
        <f aca="false">IF(O99="","",INDEX(Lookups!$B$2:$B$99,MATCH(O99,Lookups!$A$2:$A$99,1)))</f>
        <v>Portland</v>
      </c>
      <c r="X99" s="6" t="s">
        <v>140</v>
      </c>
      <c r="Y99" s="6"/>
      <c r="Z99" s="6"/>
      <c r="AA99" s="6"/>
      <c r="AB99" s="6"/>
      <c r="AC99" s="6"/>
      <c r="AD99" s="6"/>
      <c r="AE99" s="6"/>
      <c r="AF99" s="6"/>
      <c r="AG99" s="6"/>
      <c r="AH99" s="6"/>
      <c r="AI99" s="6" t="s">
        <v>1284</v>
      </c>
    </row>
    <row r="100" customFormat="false" ht="15" hidden="false" customHeight="true" outlineLevel="0" collapsed="false">
      <c r="A100" s="6" t="s">
        <v>1285</v>
      </c>
      <c r="B100" s="6" t="s">
        <v>1286</v>
      </c>
      <c r="C100" s="7" t="s">
        <v>4</v>
      </c>
      <c r="D100" s="6" t="s">
        <v>88</v>
      </c>
      <c r="E100" s="6" t="s">
        <v>1200</v>
      </c>
      <c r="F100" s="6" t="s">
        <v>1287</v>
      </c>
      <c r="G100" s="6" t="s">
        <v>1288</v>
      </c>
      <c r="H100" s="6" t="s">
        <v>1289</v>
      </c>
      <c r="I100" s="6" t="s">
        <v>274</v>
      </c>
      <c r="J100" s="6"/>
      <c r="K100" s="6" t="s">
        <v>60</v>
      </c>
      <c r="L100" s="6" t="s">
        <v>61</v>
      </c>
      <c r="M100" s="6" t="s">
        <v>1290</v>
      </c>
      <c r="N100" s="6" t="s">
        <v>1291</v>
      </c>
      <c r="O100" s="8" t="s">
        <v>1292</v>
      </c>
      <c r="P100" s="6" t="n">
        <f aca="false">IF(O100="","",VALUE(LEFT(O100,4)))</f>
        <v>1800</v>
      </c>
      <c r="Q100" s="6" t="s">
        <v>1293</v>
      </c>
      <c r="R100" s="6" t="s">
        <v>227</v>
      </c>
      <c r="S100" s="6" t="s">
        <v>265</v>
      </c>
      <c r="T100" s="6" t="s">
        <v>1294</v>
      </c>
      <c r="U100" s="6" t="s">
        <v>85</v>
      </c>
      <c r="V100" s="6" t="s">
        <v>785</v>
      </c>
      <c r="W100" s="6" t="str">
        <f aca="false">IF(O100="","",INDEX(Lookups!$B$2:$B$100,MATCH(O100,Lookups!$A$2:$A$100,1)))</f>
        <v>Portland</v>
      </c>
      <c r="X100" s="6" t="s">
        <v>103</v>
      </c>
      <c r="Y100" s="6" t="s">
        <v>13</v>
      </c>
      <c r="Z100" s="6" t="s">
        <v>72</v>
      </c>
      <c r="AA100" s="6" t="s">
        <v>1295</v>
      </c>
      <c r="AB100" s="6" t="s">
        <v>88</v>
      </c>
      <c r="AC100" s="6"/>
      <c r="AD100" s="6"/>
      <c r="AE100" s="6"/>
      <c r="AF100" s="6"/>
      <c r="AG100" s="6"/>
      <c r="AH100" s="6"/>
      <c r="AI100" s="6" t="s">
        <v>1296</v>
      </c>
    </row>
    <row r="101" customFormat="false" ht="15" hidden="false" customHeight="true" outlineLevel="0" collapsed="false">
      <c r="A101" s="6" t="s">
        <v>1297</v>
      </c>
      <c r="B101" s="6" t="s">
        <v>1298</v>
      </c>
      <c r="C101" s="9" t="s">
        <v>6</v>
      </c>
      <c r="D101" s="6" t="s">
        <v>55</v>
      </c>
      <c r="E101" s="6" t="s">
        <v>1200</v>
      </c>
      <c r="F101" s="6" t="s">
        <v>1287</v>
      </c>
      <c r="G101" s="6" t="s">
        <v>1299</v>
      </c>
      <c r="H101" s="6" t="s">
        <v>1300</v>
      </c>
      <c r="I101" s="6" t="s">
        <v>274</v>
      </c>
      <c r="J101" s="6"/>
      <c r="K101" s="6" t="s">
        <v>60</v>
      </c>
      <c r="L101" s="6" t="s">
        <v>61</v>
      </c>
      <c r="M101" s="6" t="s">
        <v>1301</v>
      </c>
      <c r="N101" s="6" t="s">
        <v>1302</v>
      </c>
      <c r="O101" s="8" t="s">
        <v>1303</v>
      </c>
      <c r="P101" s="6" t="n">
        <f aca="false">IF(O101="","",VALUE(LEFT(O101,4)))</f>
        <v>1800</v>
      </c>
      <c r="Q101" s="6" t="s">
        <v>1304</v>
      </c>
      <c r="R101" s="6" t="s">
        <v>1305</v>
      </c>
      <c r="S101" s="6" t="s">
        <v>866</v>
      </c>
      <c r="T101" s="6" t="s">
        <v>1306</v>
      </c>
      <c r="U101" s="6" t="s">
        <v>139</v>
      </c>
      <c r="V101" s="6" t="s">
        <v>1307</v>
      </c>
      <c r="W101" s="6" t="str">
        <f aca="false">IF(O101="","",INDEX(Lookups!$B$2:$B$101,MATCH(O101,Lookups!$A$2:$A$101,1)))</f>
        <v>Portland</v>
      </c>
      <c r="X101" s="6" t="s">
        <v>103</v>
      </c>
      <c r="Y101" s="6"/>
      <c r="Z101" s="6"/>
      <c r="AA101" s="6"/>
      <c r="AB101" s="6"/>
      <c r="AC101" s="6"/>
      <c r="AD101" s="6"/>
      <c r="AE101" s="6"/>
      <c r="AF101" s="6"/>
      <c r="AG101" s="6"/>
      <c r="AH101" s="6"/>
      <c r="AI101" s="6" t="s">
        <v>1308</v>
      </c>
    </row>
    <row r="102" customFormat="false" ht="15" hidden="false" customHeight="true" outlineLevel="0" collapsed="false">
      <c r="A102" s="6" t="s">
        <v>1309</v>
      </c>
      <c r="B102" s="6" t="s">
        <v>1310</v>
      </c>
      <c r="C102" s="7" t="s">
        <v>4</v>
      </c>
      <c r="D102" s="6" t="s">
        <v>55</v>
      </c>
      <c r="E102" s="6" t="s">
        <v>1200</v>
      </c>
      <c r="F102" s="6" t="s">
        <v>1311</v>
      </c>
      <c r="G102" s="6" t="s">
        <v>579</v>
      </c>
      <c r="H102" s="6" t="s">
        <v>1312</v>
      </c>
      <c r="I102" s="6" t="s">
        <v>274</v>
      </c>
      <c r="J102" s="6"/>
      <c r="K102" s="6" t="s">
        <v>60</v>
      </c>
      <c r="L102" s="6" t="s">
        <v>61</v>
      </c>
      <c r="M102" s="6" t="s">
        <v>1313</v>
      </c>
      <c r="N102" s="6" t="s">
        <v>1314</v>
      </c>
      <c r="O102" s="8" t="s">
        <v>1315</v>
      </c>
      <c r="P102" s="6" t="n">
        <f aca="false">IF(O102="","",VALUE(LEFT(O102,4)))</f>
        <v>1800</v>
      </c>
      <c r="Q102" s="6" t="s">
        <v>369</v>
      </c>
      <c r="R102" s="6" t="s">
        <v>369</v>
      </c>
      <c r="S102" s="6" t="s">
        <v>370</v>
      </c>
      <c r="T102" s="6" t="s">
        <v>1316</v>
      </c>
      <c r="U102" s="6" t="s">
        <v>174</v>
      </c>
      <c r="V102" s="6" t="s">
        <v>785</v>
      </c>
      <c r="W102" s="6" t="str">
        <f aca="false">IF(O102="","",INDEX(Lookups!$B$2:$B$102,MATCH(O102,Lookups!$A$2:$A$102,1)))</f>
        <v>Portland</v>
      </c>
      <c r="X102" s="6" t="s">
        <v>103</v>
      </c>
      <c r="Y102" s="6" t="s">
        <v>16</v>
      </c>
      <c r="Z102" s="6" t="s">
        <v>88</v>
      </c>
      <c r="AA102" s="6" t="s">
        <v>1317</v>
      </c>
      <c r="AB102" s="6" t="s">
        <v>88</v>
      </c>
      <c r="AC102" s="6"/>
      <c r="AD102" s="6"/>
      <c r="AE102" s="6"/>
      <c r="AF102" s="6"/>
      <c r="AG102" s="6"/>
      <c r="AH102" s="6"/>
      <c r="AI102" s="6" t="s">
        <v>1318</v>
      </c>
    </row>
    <row r="103" customFormat="false" ht="15" hidden="false" customHeight="true" outlineLevel="0" collapsed="false">
      <c r="A103" s="6" t="s">
        <v>1319</v>
      </c>
      <c r="B103" s="6" t="s">
        <v>1320</v>
      </c>
      <c r="C103" s="7" t="s">
        <v>4</v>
      </c>
      <c r="D103" s="6" t="s">
        <v>55</v>
      </c>
      <c r="E103" s="6" t="s">
        <v>1200</v>
      </c>
      <c r="F103" s="6" t="s">
        <v>1311</v>
      </c>
      <c r="G103" s="6" t="s">
        <v>1321</v>
      </c>
      <c r="H103" s="6" t="s">
        <v>1322</v>
      </c>
      <c r="I103" s="6" t="s">
        <v>274</v>
      </c>
      <c r="J103" s="6"/>
      <c r="K103" s="6" t="s">
        <v>60</v>
      </c>
      <c r="L103" s="6" t="s">
        <v>61</v>
      </c>
      <c r="M103" s="6" t="s">
        <v>1323</v>
      </c>
      <c r="N103" s="6" t="s">
        <v>1314</v>
      </c>
      <c r="O103" s="8" t="s">
        <v>1315</v>
      </c>
      <c r="P103" s="6" t="n">
        <f aca="false">IF(O103="","",VALUE(LEFT(O103,4)))</f>
        <v>1800</v>
      </c>
      <c r="Q103" s="6" t="s">
        <v>1324</v>
      </c>
      <c r="R103" s="6" t="s">
        <v>1325</v>
      </c>
      <c r="S103" s="6" t="s">
        <v>101</v>
      </c>
      <c r="T103" s="6" t="s">
        <v>1326</v>
      </c>
      <c r="U103" s="6" t="s">
        <v>85</v>
      </c>
      <c r="V103" s="6" t="s">
        <v>785</v>
      </c>
      <c r="W103" s="6" t="str">
        <f aca="false">IF(O103="","",INDEX(Lookups!$B$2:$B$103,MATCH(O103,Lookups!$A$2:$A$103,1)))</f>
        <v>Portland</v>
      </c>
      <c r="X103" s="6" t="s">
        <v>103</v>
      </c>
      <c r="Y103" s="6" t="s">
        <v>15</v>
      </c>
      <c r="Z103" s="6" t="s">
        <v>55</v>
      </c>
      <c r="AA103" s="6" t="s">
        <v>1327</v>
      </c>
      <c r="AB103" s="6" t="s">
        <v>88</v>
      </c>
      <c r="AC103" s="6"/>
      <c r="AD103" s="6"/>
      <c r="AE103" s="6"/>
      <c r="AF103" s="6"/>
      <c r="AG103" s="6"/>
      <c r="AH103" s="6"/>
      <c r="AI103" s="6" t="s">
        <v>1328</v>
      </c>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103"/>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1329</v>
      </c>
      <c r="B1" s="5" t="s">
        <v>2</v>
      </c>
      <c r="C1" s="5" t="s">
        <v>1330</v>
      </c>
      <c r="D1" s="5" t="s">
        <v>37</v>
      </c>
      <c r="E1" s="5" t="s">
        <v>34</v>
      </c>
      <c r="F1" s="5" t="s">
        <v>1331</v>
      </c>
      <c r="G1" s="5" t="s">
        <v>1332</v>
      </c>
      <c r="H1" s="5" t="s">
        <v>1333</v>
      </c>
      <c r="I1" s="5" t="s">
        <v>1334</v>
      </c>
      <c r="J1" s="5" t="s">
        <v>1335</v>
      </c>
      <c r="K1" s="5" t="s">
        <v>1336</v>
      </c>
    </row>
    <row r="2" customFormat="false" ht="57" hidden="false" customHeight="true" outlineLevel="0" collapsed="false">
      <c r="A2" s="6" t="s">
        <v>1337</v>
      </c>
      <c r="B2" s="6" t="s">
        <v>4</v>
      </c>
      <c r="C2" s="6" t="s">
        <v>1238</v>
      </c>
      <c r="D2" s="6" t="s">
        <v>866</v>
      </c>
      <c r="E2" s="8" t="s">
        <v>1338</v>
      </c>
      <c r="F2" s="6" t="s">
        <v>1339</v>
      </c>
      <c r="G2" s="6" t="s">
        <v>1340</v>
      </c>
      <c r="H2" s="6" t="s">
        <v>1341</v>
      </c>
      <c r="I2" s="6" t="s">
        <v>55</v>
      </c>
      <c r="J2" s="6" t="s">
        <v>1342</v>
      </c>
      <c r="K2" s="6" t="s">
        <v>1343</v>
      </c>
    </row>
    <row r="3" customFormat="false" ht="23.25" hidden="false" customHeight="true" outlineLevel="0" collapsed="false">
      <c r="A3" s="6" t="s">
        <v>1344</v>
      </c>
      <c r="B3" s="6" t="s">
        <v>4</v>
      </c>
      <c r="C3" s="6" t="s">
        <v>1270</v>
      </c>
      <c r="D3" s="6" t="s">
        <v>866</v>
      </c>
      <c r="E3" s="8" t="s">
        <v>1345</v>
      </c>
      <c r="F3" s="6" t="s">
        <v>1346</v>
      </c>
      <c r="G3" s="6" t="s">
        <v>1347</v>
      </c>
      <c r="H3" s="6" t="s">
        <v>1348</v>
      </c>
      <c r="I3" s="6" t="s">
        <v>1349</v>
      </c>
      <c r="J3" s="6" t="s">
        <v>1342</v>
      </c>
      <c r="K3" s="6" t="s">
        <v>1350</v>
      </c>
    </row>
    <row r="4" customFormat="false" ht="23.25" hidden="false" customHeight="true" outlineLevel="0" collapsed="false">
      <c r="A4" s="6" t="s">
        <v>1351</v>
      </c>
      <c r="B4" s="6" t="s">
        <v>4</v>
      </c>
      <c r="C4" s="6" t="s">
        <v>184</v>
      </c>
      <c r="D4" s="6" t="s">
        <v>185</v>
      </c>
      <c r="E4" s="8" t="s">
        <v>1352</v>
      </c>
      <c r="F4" s="6" t="s">
        <v>1353</v>
      </c>
      <c r="G4" s="6" t="s">
        <v>1354</v>
      </c>
      <c r="H4" s="6" t="s">
        <v>1355</v>
      </c>
      <c r="I4" s="6" t="s">
        <v>55</v>
      </c>
      <c r="J4" s="6" t="s">
        <v>1356</v>
      </c>
      <c r="K4" s="6" t="s">
        <v>1357</v>
      </c>
    </row>
    <row r="5" customFormat="false" ht="34.5" hidden="false" customHeight="true" outlineLevel="0" collapsed="false">
      <c r="A5" s="6" t="s">
        <v>1358</v>
      </c>
      <c r="B5" s="6" t="s">
        <v>9</v>
      </c>
      <c r="C5" s="6" t="s">
        <v>1054</v>
      </c>
      <c r="D5" s="6" t="s">
        <v>1026</v>
      </c>
      <c r="E5" s="8" t="s">
        <v>1292</v>
      </c>
      <c r="F5" s="6" t="s">
        <v>1359</v>
      </c>
      <c r="G5" s="6" t="s">
        <v>1360</v>
      </c>
      <c r="H5" s="6" t="s">
        <v>1355</v>
      </c>
      <c r="I5" s="6" t="s">
        <v>55</v>
      </c>
      <c r="J5" s="6" t="s">
        <v>1361</v>
      </c>
      <c r="K5" s="6" t="s">
        <v>1362</v>
      </c>
    </row>
    <row r="6" customFormat="false" ht="23.25" hidden="false" customHeight="true" outlineLevel="0" collapsed="false">
      <c r="A6" s="6" t="s">
        <v>1363</v>
      </c>
      <c r="B6" s="6" t="s">
        <v>6</v>
      </c>
      <c r="C6" s="6" t="s">
        <v>1364</v>
      </c>
      <c r="D6" s="6" t="s">
        <v>866</v>
      </c>
      <c r="E6" s="8" t="s">
        <v>1345</v>
      </c>
      <c r="F6" s="6" t="s">
        <v>1365</v>
      </c>
      <c r="G6" s="6" t="s">
        <v>1366</v>
      </c>
      <c r="H6" s="6" t="s">
        <v>1348</v>
      </c>
      <c r="I6" s="6" t="s">
        <v>55</v>
      </c>
      <c r="J6" s="6" t="s">
        <v>1356</v>
      </c>
      <c r="K6" s="6"/>
    </row>
    <row r="7" customFormat="false" ht="34.5" hidden="false" customHeight="true" outlineLevel="0" collapsed="false">
      <c r="A7" s="6" t="s">
        <v>1367</v>
      </c>
      <c r="B7" s="6" t="s">
        <v>6</v>
      </c>
      <c r="C7" s="6" t="s">
        <v>1368</v>
      </c>
      <c r="D7" s="6" t="s">
        <v>252</v>
      </c>
      <c r="E7" s="8" t="s">
        <v>1369</v>
      </c>
      <c r="F7" s="6" t="s">
        <v>1370</v>
      </c>
      <c r="G7" s="6" t="s">
        <v>1371</v>
      </c>
      <c r="H7" s="6" t="s">
        <v>1348</v>
      </c>
      <c r="I7" s="6" t="s">
        <v>55</v>
      </c>
      <c r="J7" s="6" t="s">
        <v>1356</v>
      </c>
      <c r="K7" s="6" t="s">
        <v>1372</v>
      </c>
    </row>
    <row r="8" customFormat="false" ht="23.25" hidden="false" customHeight="true" outlineLevel="0" collapsed="false">
      <c r="A8" s="6" t="s">
        <v>1373</v>
      </c>
      <c r="B8" s="6" t="s">
        <v>4</v>
      </c>
      <c r="C8" s="6" t="s">
        <v>1374</v>
      </c>
      <c r="D8" s="6" t="s">
        <v>1375</v>
      </c>
      <c r="E8" s="8" t="s">
        <v>1376</v>
      </c>
      <c r="F8" s="6" t="s">
        <v>1377</v>
      </c>
      <c r="G8" s="6" t="s">
        <v>1378</v>
      </c>
      <c r="H8" s="6" t="s">
        <v>1348</v>
      </c>
      <c r="I8" s="6" t="s">
        <v>55</v>
      </c>
      <c r="J8" s="6" t="s">
        <v>1342</v>
      </c>
      <c r="K8" s="6" t="s">
        <v>1379</v>
      </c>
    </row>
    <row r="9" customFormat="false" ht="23.25" hidden="false" customHeight="true" outlineLevel="0" collapsed="false">
      <c r="A9" s="6" t="s">
        <v>1380</v>
      </c>
      <c r="B9" s="6" t="s">
        <v>4</v>
      </c>
      <c r="C9" s="6" t="s">
        <v>1381</v>
      </c>
      <c r="D9" s="6" t="s">
        <v>172</v>
      </c>
      <c r="E9" s="8" t="s">
        <v>1382</v>
      </c>
      <c r="F9" s="6" t="s">
        <v>1383</v>
      </c>
      <c r="G9" s="6" t="s">
        <v>1384</v>
      </c>
      <c r="H9" s="6" t="s">
        <v>1348</v>
      </c>
      <c r="I9" s="6" t="s">
        <v>55</v>
      </c>
      <c r="J9" s="6" t="s">
        <v>1342</v>
      </c>
      <c r="K9" s="6"/>
    </row>
    <row r="10" customFormat="false" ht="23.25" hidden="false" customHeight="true" outlineLevel="0" collapsed="false">
      <c r="A10" s="6" t="s">
        <v>1385</v>
      </c>
      <c r="B10" s="6" t="s">
        <v>9</v>
      </c>
      <c r="C10" s="6" t="s">
        <v>195</v>
      </c>
      <c r="D10" s="6" t="s">
        <v>196</v>
      </c>
      <c r="E10" s="8" t="s">
        <v>1386</v>
      </c>
      <c r="F10" s="6" t="s">
        <v>1387</v>
      </c>
      <c r="G10" s="6" t="s">
        <v>1388</v>
      </c>
      <c r="H10" s="6" t="s">
        <v>1348</v>
      </c>
      <c r="I10" s="6" t="s">
        <v>55</v>
      </c>
      <c r="J10" s="6" t="s">
        <v>1356</v>
      </c>
      <c r="K10" s="6" t="s">
        <v>1389</v>
      </c>
    </row>
    <row r="11" customFormat="false" ht="34.5" hidden="false" customHeight="true" outlineLevel="0" collapsed="false">
      <c r="A11" s="6" t="s">
        <v>1390</v>
      </c>
      <c r="B11" s="6" t="s">
        <v>5</v>
      </c>
      <c r="C11" s="6" t="s">
        <v>1391</v>
      </c>
      <c r="D11" s="6" t="s">
        <v>1392</v>
      </c>
      <c r="E11" s="8" t="s">
        <v>1393</v>
      </c>
      <c r="F11" s="6" t="s">
        <v>1394</v>
      </c>
      <c r="G11" s="6" t="s">
        <v>1395</v>
      </c>
      <c r="H11" s="6" t="s">
        <v>1348</v>
      </c>
      <c r="I11" s="6" t="s">
        <v>55</v>
      </c>
      <c r="J11" s="6" t="s">
        <v>1356</v>
      </c>
      <c r="K11" s="6" t="s">
        <v>1396</v>
      </c>
    </row>
    <row r="12" customFormat="false" ht="23.25" hidden="false" customHeight="true" outlineLevel="0" collapsed="false">
      <c r="A12" s="6" t="s">
        <v>1397</v>
      </c>
      <c r="B12" s="6" t="s">
        <v>5</v>
      </c>
      <c r="C12" s="6" t="s">
        <v>1398</v>
      </c>
      <c r="D12" s="6" t="s">
        <v>252</v>
      </c>
      <c r="E12" s="8" t="s">
        <v>1399</v>
      </c>
      <c r="F12" s="6" t="s">
        <v>1400</v>
      </c>
      <c r="G12" s="6" t="s">
        <v>1401</v>
      </c>
      <c r="H12" s="6" t="s">
        <v>1348</v>
      </c>
      <c r="I12" s="6" t="s">
        <v>55</v>
      </c>
      <c r="J12" s="6" t="s">
        <v>1356</v>
      </c>
      <c r="K12" s="6" t="s">
        <v>1402</v>
      </c>
    </row>
    <row r="13" customFormat="false" ht="23.25" hidden="false" customHeight="true" outlineLevel="0" collapsed="false">
      <c r="A13" s="6" t="s">
        <v>1403</v>
      </c>
      <c r="B13" s="6" t="s">
        <v>6</v>
      </c>
      <c r="C13" s="6" t="s">
        <v>1404</v>
      </c>
      <c r="D13" s="6" t="s">
        <v>1405</v>
      </c>
      <c r="E13" s="8" t="s">
        <v>1406</v>
      </c>
      <c r="F13" s="6" t="s">
        <v>1407</v>
      </c>
      <c r="G13" s="6" t="s">
        <v>1408</v>
      </c>
      <c r="H13" s="6" t="s">
        <v>1348</v>
      </c>
      <c r="I13" s="6" t="s">
        <v>55</v>
      </c>
      <c r="J13" s="6" t="s">
        <v>1361</v>
      </c>
      <c r="K13" s="6" t="s">
        <v>1409</v>
      </c>
    </row>
    <row r="14" customFormat="false" ht="23.25" hidden="false" customHeight="true" outlineLevel="0" collapsed="false">
      <c r="A14" s="6" t="s">
        <v>1410</v>
      </c>
      <c r="B14" s="6" t="s">
        <v>6</v>
      </c>
      <c r="C14" s="6" t="s">
        <v>1411</v>
      </c>
      <c r="D14" s="6" t="s">
        <v>185</v>
      </c>
      <c r="E14" s="8" t="s">
        <v>1412</v>
      </c>
      <c r="F14" s="6" t="s">
        <v>1413</v>
      </c>
      <c r="G14" s="6" t="s">
        <v>1414</v>
      </c>
      <c r="H14" s="6" t="s">
        <v>1348</v>
      </c>
      <c r="I14" s="6" t="s">
        <v>55</v>
      </c>
      <c r="J14" s="6" t="s">
        <v>1361</v>
      </c>
      <c r="K14" s="6" t="s">
        <v>1415</v>
      </c>
    </row>
    <row r="15" customFormat="false" ht="34.5" hidden="false" customHeight="true" outlineLevel="0" collapsed="false">
      <c r="A15" s="6" t="s">
        <v>1416</v>
      </c>
      <c r="B15" s="6" t="s">
        <v>9</v>
      </c>
      <c r="C15" s="6" t="s">
        <v>1417</v>
      </c>
      <c r="D15" s="6" t="s">
        <v>1418</v>
      </c>
      <c r="E15" s="8" t="s">
        <v>1419</v>
      </c>
      <c r="F15" s="6" t="s">
        <v>1420</v>
      </c>
      <c r="G15" s="6" t="s">
        <v>1421</v>
      </c>
      <c r="H15" s="6" t="s">
        <v>1348</v>
      </c>
      <c r="I15" s="6" t="s">
        <v>55</v>
      </c>
      <c r="J15" s="6" t="s">
        <v>1356</v>
      </c>
      <c r="K15" s="6" t="s">
        <v>1422</v>
      </c>
    </row>
    <row r="16" customFormat="false" ht="34.5" hidden="false" customHeight="true" outlineLevel="0" collapsed="false">
      <c r="A16" s="6" t="s">
        <v>1423</v>
      </c>
      <c r="B16" s="6" t="s">
        <v>9</v>
      </c>
      <c r="C16" s="6" t="s">
        <v>1417</v>
      </c>
      <c r="D16" s="6" t="s">
        <v>1418</v>
      </c>
      <c r="E16" s="8" t="s">
        <v>1424</v>
      </c>
      <c r="F16" s="6" t="s">
        <v>1425</v>
      </c>
      <c r="G16" s="6" t="s">
        <v>1426</v>
      </c>
      <c r="H16" s="6" t="s">
        <v>1348</v>
      </c>
      <c r="I16" s="6" t="s">
        <v>55</v>
      </c>
      <c r="J16" s="6" t="s">
        <v>1356</v>
      </c>
      <c r="K16" s="6" t="s">
        <v>1427</v>
      </c>
    </row>
    <row r="17" customFormat="false" ht="34.5" hidden="false" customHeight="true" outlineLevel="0" collapsed="false">
      <c r="A17" s="6" t="s">
        <v>1428</v>
      </c>
      <c r="B17" s="6" t="s">
        <v>4</v>
      </c>
      <c r="C17" s="6" t="s">
        <v>227</v>
      </c>
      <c r="D17" s="6" t="s">
        <v>228</v>
      </c>
      <c r="E17" s="8" t="s">
        <v>1429</v>
      </c>
      <c r="F17" s="6" t="s">
        <v>1430</v>
      </c>
      <c r="G17" s="6" t="s">
        <v>1431</v>
      </c>
      <c r="H17" s="6" t="s">
        <v>1348</v>
      </c>
      <c r="I17" s="6" t="s">
        <v>55</v>
      </c>
      <c r="J17" s="6" t="s">
        <v>1342</v>
      </c>
      <c r="K17" s="6" t="s">
        <v>1432</v>
      </c>
    </row>
    <row r="18" customFormat="false" ht="45.75" hidden="false" customHeight="true" outlineLevel="0" collapsed="false">
      <c r="A18" s="6" t="s">
        <v>1433</v>
      </c>
      <c r="B18" s="6" t="s">
        <v>4</v>
      </c>
      <c r="C18" s="6" t="s">
        <v>227</v>
      </c>
      <c r="D18" s="6" t="s">
        <v>241</v>
      </c>
      <c r="E18" s="8" t="s">
        <v>1434</v>
      </c>
      <c r="F18" s="6" t="s">
        <v>1435</v>
      </c>
      <c r="G18" s="6" t="s">
        <v>1436</v>
      </c>
      <c r="H18" s="6" t="s">
        <v>1348</v>
      </c>
      <c r="I18" s="6" t="s">
        <v>55</v>
      </c>
      <c r="J18" s="6" t="s">
        <v>1356</v>
      </c>
      <c r="K18" s="6" t="s">
        <v>1437</v>
      </c>
    </row>
    <row r="19" customFormat="false" ht="23.25" hidden="false" customHeight="true" outlineLevel="0" collapsed="false">
      <c r="A19" s="6" t="s">
        <v>1438</v>
      </c>
      <c r="B19" s="6" t="s">
        <v>9</v>
      </c>
      <c r="C19" s="6" t="s">
        <v>1439</v>
      </c>
      <c r="D19" s="6" t="s">
        <v>1418</v>
      </c>
      <c r="E19" s="8" t="s">
        <v>1440</v>
      </c>
      <c r="F19" s="6" t="s">
        <v>1441</v>
      </c>
      <c r="G19" s="6" t="s">
        <v>1442</v>
      </c>
      <c r="H19" s="6" t="s">
        <v>1348</v>
      </c>
      <c r="I19" s="6" t="s">
        <v>55</v>
      </c>
      <c r="J19" s="6" t="s">
        <v>1342</v>
      </c>
      <c r="K19" s="6" t="s">
        <v>1443</v>
      </c>
    </row>
    <row r="20" customFormat="false" ht="34.5" hidden="false" customHeight="true" outlineLevel="0" collapsed="false">
      <c r="A20" s="6" t="s">
        <v>1444</v>
      </c>
      <c r="B20" s="6" t="s">
        <v>9</v>
      </c>
      <c r="C20" s="6" t="s">
        <v>1381</v>
      </c>
      <c r="D20" s="6" t="s">
        <v>172</v>
      </c>
      <c r="E20" s="8" t="s">
        <v>1445</v>
      </c>
      <c r="F20" s="6" t="s">
        <v>1446</v>
      </c>
      <c r="G20" s="6" t="s">
        <v>1447</v>
      </c>
      <c r="H20" s="6" t="s">
        <v>1448</v>
      </c>
      <c r="I20" s="6" t="s">
        <v>1349</v>
      </c>
      <c r="J20" s="6" t="s">
        <v>1356</v>
      </c>
      <c r="K20" s="6" t="s">
        <v>1449</v>
      </c>
    </row>
    <row r="21" customFormat="false" ht="45.75" hidden="false" customHeight="true" outlineLevel="0" collapsed="false">
      <c r="A21" s="6" t="s">
        <v>1450</v>
      </c>
      <c r="B21" s="6" t="s">
        <v>9</v>
      </c>
      <c r="C21" s="6" t="s">
        <v>1451</v>
      </c>
      <c r="D21" s="6" t="s">
        <v>1452</v>
      </c>
      <c r="E21" s="8" t="s">
        <v>1453</v>
      </c>
      <c r="F21" s="6" t="s">
        <v>1454</v>
      </c>
      <c r="G21" s="6" t="s">
        <v>1455</v>
      </c>
      <c r="H21" s="6" t="s">
        <v>1448</v>
      </c>
      <c r="I21" s="6" t="s">
        <v>88</v>
      </c>
      <c r="J21" s="6" t="s">
        <v>1361</v>
      </c>
      <c r="K21" s="6" t="s">
        <v>1456</v>
      </c>
    </row>
    <row r="22" customFormat="false" ht="34.5" hidden="false" customHeight="true" outlineLevel="0" collapsed="false">
      <c r="A22" s="6" t="s">
        <v>1457</v>
      </c>
      <c r="B22" s="6" t="s">
        <v>9</v>
      </c>
      <c r="C22" s="6" t="s">
        <v>1458</v>
      </c>
      <c r="D22" s="6" t="s">
        <v>196</v>
      </c>
      <c r="E22" s="8" t="s">
        <v>1459</v>
      </c>
      <c r="F22" s="6" t="s">
        <v>1460</v>
      </c>
      <c r="G22" s="6" t="s">
        <v>1461</v>
      </c>
      <c r="H22" s="6" t="s">
        <v>1462</v>
      </c>
      <c r="I22" s="6" t="s">
        <v>88</v>
      </c>
      <c r="J22" s="6" t="s">
        <v>1361</v>
      </c>
      <c r="K22" s="6" t="s">
        <v>1463</v>
      </c>
    </row>
    <row r="23" customFormat="false" ht="34.5" hidden="false" customHeight="true" outlineLevel="0" collapsed="false">
      <c r="A23" s="6" t="s">
        <v>1464</v>
      </c>
      <c r="B23" s="6" t="s">
        <v>9</v>
      </c>
      <c r="C23" s="6" t="s">
        <v>1465</v>
      </c>
      <c r="D23" s="6" t="s">
        <v>1452</v>
      </c>
      <c r="E23" s="8" t="s">
        <v>1466</v>
      </c>
      <c r="F23" s="6" t="s">
        <v>1467</v>
      </c>
      <c r="G23" s="6" t="s">
        <v>1468</v>
      </c>
      <c r="H23" s="6" t="s">
        <v>1462</v>
      </c>
      <c r="I23" s="6" t="s">
        <v>88</v>
      </c>
      <c r="J23" s="6" t="s">
        <v>1361</v>
      </c>
      <c r="K23" s="6" t="s">
        <v>1469</v>
      </c>
    </row>
    <row r="24" customFormat="false" ht="79.5" hidden="false" customHeight="true" outlineLevel="0" collapsed="false">
      <c r="A24" s="6" t="s">
        <v>1470</v>
      </c>
      <c r="B24" s="6" t="s">
        <v>4</v>
      </c>
      <c r="C24" s="6" t="s">
        <v>184</v>
      </c>
      <c r="D24" s="6" t="s">
        <v>185</v>
      </c>
      <c r="E24" s="8" t="s">
        <v>1471</v>
      </c>
      <c r="F24" s="6" t="s">
        <v>1472</v>
      </c>
      <c r="G24" s="6" t="s">
        <v>1473</v>
      </c>
      <c r="H24" s="6" t="s">
        <v>1462</v>
      </c>
      <c r="I24" s="6" t="s">
        <v>1349</v>
      </c>
      <c r="J24" s="6" t="s">
        <v>1356</v>
      </c>
      <c r="K24" s="6" t="s">
        <v>1474</v>
      </c>
    </row>
    <row r="25" customFormat="false" ht="34.5" hidden="false" customHeight="true" outlineLevel="0" collapsed="false">
      <c r="A25" s="6" t="s">
        <v>1475</v>
      </c>
      <c r="B25" s="6" t="s">
        <v>9</v>
      </c>
      <c r="C25" s="6" t="s">
        <v>227</v>
      </c>
      <c r="D25" s="6" t="s">
        <v>241</v>
      </c>
      <c r="E25" s="8" t="s">
        <v>1476</v>
      </c>
      <c r="F25" s="6" t="s">
        <v>1477</v>
      </c>
      <c r="G25" s="6" t="s">
        <v>1478</v>
      </c>
      <c r="H25" s="6" t="s">
        <v>1462</v>
      </c>
      <c r="I25" s="6" t="s">
        <v>88</v>
      </c>
      <c r="J25" s="6" t="s">
        <v>1361</v>
      </c>
      <c r="K25" s="6" t="s">
        <v>1479</v>
      </c>
    </row>
    <row r="26" customFormat="false" ht="45.75" hidden="false" customHeight="true" outlineLevel="0" collapsed="false">
      <c r="A26" s="6" t="s">
        <v>1480</v>
      </c>
      <c r="B26" s="6" t="s">
        <v>9</v>
      </c>
      <c r="C26" s="6" t="s">
        <v>1481</v>
      </c>
      <c r="D26" s="6" t="s">
        <v>121</v>
      </c>
      <c r="E26" s="8" t="s">
        <v>1482</v>
      </c>
      <c r="F26" s="6" t="s">
        <v>1483</v>
      </c>
      <c r="G26" s="6" t="s">
        <v>1484</v>
      </c>
      <c r="H26" s="6" t="s">
        <v>1462</v>
      </c>
      <c r="I26" s="6" t="s">
        <v>88</v>
      </c>
      <c r="J26" s="6" t="s">
        <v>1356</v>
      </c>
      <c r="K26" s="6" t="s">
        <v>1485</v>
      </c>
    </row>
    <row r="27" customFormat="false" ht="68.25" hidden="false" customHeight="true" outlineLevel="0" collapsed="false">
      <c r="A27" s="6" t="s">
        <v>1486</v>
      </c>
      <c r="B27" s="6" t="s">
        <v>9</v>
      </c>
      <c r="C27" s="6" t="s">
        <v>542</v>
      </c>
      <c r="D27" s="6" t="s">
        <v>447</v>
      </c>
      <c r="E27" s="8" t="s">
        <v>1487</v>
      </c>
      <c r="F27" s="6" t="s">
        <v>1488</v>
      </c>
      <c r="G27" s="6" t="s">
        <v>1489</v>
      </c>
      <c r="H27" s="6" t="s">
        <v>1462</v>
      </c>
      <c r="I27" s="6" t="s">
        <v>1349</v>
      </c>
      <c r="J27" s="6" t="s">
        <v>1356</v>
      </c>
      <c r="K27" s="6" t="s">
        <v>1490</v>
      </c>
    </row>
    <row r="28" customFormat="false" ht="57" hidden="false" customHeight="true" outlineLevel="0" collapsed="false">
      <c r="A28" s="6" t="s">
        <v>1491</v>
      </c>
      <c r="B28" s="6" t="s">
        <v>9</v>
      </c>
      <c r="C28" s="6" t="s">
        <v>1492</v>
      </c>
      <c r="D28" s="6" t="s">
        <v>634</v>
      </c>
      <c r="E28" s="8" t="s">
        <v>1493</v>
      </c>
      <c r="F28" s="6" t="s">
        <v>1494</v>
      </c>
      <c r="G28" s="6" t="s">
        <v>1495</v>
      </c>
      <c r="H28" s="6" t="s">
        <v>1496</v>
      </c>
      <c r="I28" s="6" t="s">
        <v>88</v>
      </c>
      <c r="J28" s="6" t="s">
        <v>1356</v>
      </c>
      <c r="K28" s="6" t="s">
        <v>1497</v>
      </c>
    </row>
    <row r="29" customFormat="false" ht="68.25" hidden="false" customHeight="true" outlineLevel="0" collapsed="false">
      <c r="A29" s="6" t="s">
        <v>1498</v>
      </c>
      <c r="B29" s="6" t="s">
        <v>9</v>
      </c>
      <c r="C29" s="6" t="s">
        <v>1499</v>
      </c>
      <c r="D29" s="6" t="s">
        <v>1500</v>
      </c>
      <c r="E29" s="8" t="s">
        <v>1501</v>
      </c>
      <c r="F29" s="6" t="s">
        <v>1502</v>
      </c>
      <c r="G29" s="6" t="s">
        <v>1503</v>
      </c>
      <c r="H29" s="6" t="s">
        <v>1496</v>
      </c>
      <c r="I29" s="6" t="s">
        <v>88</v>
      </c>
      <c r="J29" s="6" t="s">
        <v>1356</v>
      </c>
      <c r="K29" s="6" t="s">
        <v>1504</v>
      </c>
    </row>
    <row r="30" customFormat="false" ht="68.25" hidden="false" customHeight="true" outlineLevel="0" collapsed="false">
      <c r="A30" s="6" t="s">
        <v>1505</v>
      </c>
      <c r="B30" s="6" t="s">
        <v>9</v>
      </c>
      <c r="C30" s="6" t="s">
        <v>1506</v>
      </c>
      <c r="D30" s="6" t="s">
        <v>1500</v>
      </c>
      <c r="E30" s="8" t="s">
        <v>1507</v>
      </c>
      <c r="F30" s="6" t="s">
        <v>1508</v>
      </c>
      <c r="G30" s="6" t="s">
        <v>1509</v>
      </c>
      <c r="H30" s="6" t="s">
        <v>1510</v>
      </c>
      <c r="I30" s="6" t="s">
        <v>1349</v>
      </c>
      <c r="J30" s="6" t="s">
        <v>1356</v>
      </c>
      <c r="K30" s="6" t="s">
        <v>1511</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1512</v>
      </c>
      <c r="B1" s="15"/>
    </row>
    <row r="2" customFormat="false" ht="15" hidden="false" customHeight="true" outlineLevel="0" collapsed="false">
      <c r="A2" s="16"/>
      <c r="B2" s="15"/>
    </row>
    <row r="3" customFormat="false" ht="15" hidden="false" customHeight="true" outlineLevel="0" collapsed="false">
      <c r="A3" s="16" t="s">
        <v>1513</v>
      </c>
      <c r="B3" s="15" t="s">
        <v>1514</v>
      </c>
    </row>
    <row r="4" customFormat="false" ht="23.25" hidden="false" customHeight="true" outlineLevel="0" collapsed="false">
      <c r="A4" s="16" t="s">
        <v>1335</v>
      </c>
      <c r="B4" s="15" t="s">
        <v>1515</v>
      </c>
    </row>
    <row r="5" customFormat="false" ht="23.25" hidden="false" customHeight="true" outlineLevel="0" collapsed="false">
      <c r="A5" s="16" t="s">
        <v>1516</v>
      </c>
      <c r="B5" s="15" t="s">
        <v>1517</v>
      </c>
    </row>
    <row r="6" customFormat="false" ht="15" hidden="false" customHeight="true" outlineLevel="0" collapsed="false">
      <c r="A6" s="16" t="s">
        <v>1518</v>
      </c>
      <c r="B6" s="15" t="s">
        <v>1519</v>
      </c>
    </row>
    <row r="7" customFormat="false" ht="15" hidden="false" customHeight="true" outlineLevel="0" collapsed="false">
      <c r="A7" s="16"/>
      <c r="B7" s="15"/>
    </row>
    <row r="8" customFormat="false" ht="15" hidden="false" customHeight="true" outlineLevel="0" collapsed="false">
      <c r="A8" s="16" t="s">
        <v>1520</v>
      </c>
      <c r="B8" s="15"/>
    </row>
    <row r="9" customFormat="false" ht="15" hidden="false" customHeight="true" outlineLevel="0" collapsed="false">
      <c r="A9" s="16" t="s">
        <v>4</v>
      </c>
      <c r="B9" s="15" t="s">
        <v>1521</v>
      </c>
    </row>
    <row r="10" customFormat="false" ht="15" hidden="false" customHeight="true" outlineLevel="0" collapsed="false">
      <c r="A10" s="16" t="s">
        <v>5</v>
      </c>
      <c r="B10" s="15" t="s">
        <v>1522</v>
      </c>
    </row>
    <row r="11" customFormat="false" ht="15" hidden="false" customHeight="true" outlineLevel="0" collapsed="false">
      <c r="A11" s="16" t="s">
        <v>6</v>
      </c>
      <c r="B11" s="15" t="s">
        <v>1523</v>
      </c>
    </row>
    <row r="12" customFormat="false" ht="15" hidden="false" customHeight="true" outlineLevel="0" collapsed="false">
      <c r="A12" s="16" t="s">
        <v>7</v>
      </c>
      <c r="B12" s="15" t="s">
        <v>1524</v>
      </c>
    </row>
    <row r="13" customFormat="false" ht="15" hidden="false" customHeight="true" outlineLevel="0" collapsed="false">
      <c r="A13" s="16" t="s">
        <v>8</v>
      </c>
      <c r="B13" s="15" t="s">
        <v>1525</v>
      </c>
    </row>
    <row r="14" customFormat="false" ht="15" hidden="false" customHeight="true" outlineLevel="0" collapsed="false">
      <c r="A14" s="16"/>
      <c r="B14" s="15"/>
    </row>
    <row r="15" customFormat="false" ht="15" hidden="false" customHeight="true" outlineLevel="0" collapsed="false">
      <c r="A15" s="16" t="s">
        <v>1526</v>
      </c>
      <c r="B15" s="15"/>
    </row>
    <row r="16" customFormat="false" ht="15" hidden="false" customHeight="true" outlineLevel="0" collapsed="false">
      <c r="A16" s="16" t="s">
        <v>1527</v>
      </c>
      <c r="B16" s="15" t="s">
        <v>1528</v>
      </c>
    </row>
    <row r="17" customFormat="false" ht="15" hidden="false" customHeight="true" outlineLevel="0" collapsed="false">
      <c r="A17" s="16" t="s">
        <v>1529</v>
      </c>
      <c r="B17" s="15" t="s">
        <v>1530</v>
      </c>
    </row>
    <row r="18" customFormat="false" ht="15" hidden="false" customHeight="true" outlineLevel="0" collapsed="false">
      <c r="A18" s="16" t="s">
        <v>1531</v>
      </c>
      <c r="B18" s="15" t="s">
        <v>1532</v>
      </c>
    </row>
    <row r="19" customFormat="false" ht="15" hidden="false" customHeight="true" outlineLevel="0" collapsed="false">
      <c r="A19" s="16" t="s">
        <v>1533</v>
      </c>
      <c r="B19" s="15" t="s">
        <v>1534</v>
      </c>
    </row>
    <row r="20" customFormat="false" ht="15" hidden="false" customHeight="true" outlineLevel="0" collapsed="false">
      <c r="A20" s="16" t="s">
        <v>1535</v>
      </c>
      <c r="B20" s="15" t="s">
        <v>1536</v>
      </c>
    </row>
    <row r="21" customFormat="false" ht="15" hidden="false" customHeight="true" outlineLevel="0" collapsed="false">
      <c r="A21" s="16" t="s">
        <v>1537</v>
      </c>
      <c r="B21" s="15" t="s">
        <v>1538</v>
      </c>
    </row>
    <row r="22" customFormat="false" ht="15" hidden="false" customHeight="true" outlineLevel="0" collapsed="false">
      <c r="A22" s="16" t="s">
        <v>1539</v>
      </c>
      <c r="B22" s="15" t="s">
        <v>1540</v>
      </c>
    </row>
    <row r="23" customFormat="false" ht="15" hidden="false" customHeight="true" outlineLevel="0" collapsed="false">
      <c r="A23" s="16"/>
      <c r="B23" s="15"/>
    </row>
    <row r="24" customFormat="false" ht="15" hidden="false" customHeight="true" outlineLevel="0" collapsed="false">
      <c r="A24" s="16" t="s">
        <v>1541</v>
      </c>
      <c r="B24" s="15" t="s">
        <v>1542</v>
      </c>
    </row>
    <row r="25" customFormat="false" ht="23.25" hidden="false" customHeight="true" outlineLevel="0" collapsed="false">
      <c r="A25" s="16" t="s">
        <v>1543</v>
      </c>
      <c r="B25" s="15" t="s">
        <v>1544</v>
      </c>
    </row>
    <row r="26" customFormat="false" ht="15" hidden="false" customHeight="true" outlineLevel="0" collapsed="false">
      <c r="A26" s="16" t="s">
        <v>1545</v>
      </c>
      <c r="B26" s="15" t="s">
        <v>1546</v>
      </c>
    </row>
    <row r="27" customFormat="false" ht="23.25" hidden="false" customHeight="true" outlineLevel="0" collapsed="false">
      <c r="A27" s="16" t="s">
        <v>1547</v>
      </c>
      <c r="B27" s="15" t="s">
        <v>1548</v>
      </c>
    </row>
    <row r="28" customFormat="false" ht="23.25" hidden="false" customHeight="true" outlineLevel="0" collapsed="false">
      <c r="A28" s="16" t="s">
        <v>1549</v>
      </c>
      <c r="B28" s="15" t="s">
        <v>1550</v>
      </c>
    </row>
    <row r="29" customFormat="false" ht="15" hidden="false" customHeight="true" outlineLevel="0" collapsed="false">
      <c r="A29" s="16"/>
      <c r="B29" s="15"/>
    </row>
    <row r="30" customFormat="false" ht="15" hidden="false" customHeight="true" outlineLevel="0" collapsed="false">
      <c r="A30" s="16" t="s">
        <v>1551</v>
      </c>
      <c r="B30" s="15"/>
    </row>
    <row r="31" customFormat="false" ht="15" hidden="false" customHeight="true" outlineLevel="0" collapsed="false">
      <c r="A31" s="16" t="s">
        <v>1552</v>
      </c>
      <c r="B31" s="15" t="s">
        <v>1553</v>
      </c>
    </row>
    <row r="32" customFormat="false" ht="34.5" hidden="false" customHeight="true" outlineLevel="0" collapsed="false">
      <c r="A32" s="16" t="s">
        <v>1554</v>
      </c>
      <c r="B32" s="15" t="s">
        <v>1555</v>
      </c>
    </row>
    <row r="34" customFormat="false" ht="23.25" hidden="false" customHeight="true" outlineLevel="0" collapsed="false">
      <c r="A34" s="3" t="s">
        <v>1556</v>
      </c>
      <c r="B34" s="15" t="s">
        <v>1557</v>
      </c>
    </row>
    <row r="36" customFormat="false" ht="45.75" hidden="false" customHeight="true" outlineLevel="0" collapsed="false">
      <c r="A36" s="17" t="s">
        <v>1558</v>
      </c>
      <c r="B36" s="15" t="s">
        <v>1559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1560</v>
      </c>
      <c r="B1" s="3" t="s">
        <v>1561</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1562</v>
      </c>
      <c r="B2" s="4" t="s">
        <v>1563</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1564</v>
      </c>
      <c r="B3" s="4" t="s">
        <v>1565</v>
      </c>
      <c r="C3" s="4"/>
      <c r="D3" s="4" t="s">
        <v>5</v>
      </c>
      <c r="E3" s="4" t="s">
        <v>55</v>
      </c>
      <c r="F3" s="4" t="s">
        <v>1566</v>
      </c>
      <c r="G3" s="4" t="s">
        <v>1567</v>
      </c>
      <c r="H3" s="4" t="s">
        <v>116</v>
      </c>
      <c r="I3" s="4" t="s">
        <v>85</v>
      </c>
      <c r="J3" s="4" t="s">
        <v>206</v>
      </c>
      <c r="K3" s="4" t="s">
        <v>14</v>
      </c>
      <c r="L3" s="4" t="s">
        <v>55</v>
      </c>
      <c r="M3" s="4" t="s">
        <v>55</v>
      </c>
      <c r="N3" s="4" t="s">
        <v>434</v>
      </c>
      <c r="O3" s="4" t="s">
        <v>1568</v>
      </c>
    </row>
    <row r="4" customFormat="false" ht="15" hidden="false" customHeight="true" outlineLevel="0" collapsed="false">
      <c r="A4" s="18" t="s">
        <v>1569</v>
      </c>
      <c r="B4" s="4" t="s">
        <v>1570</v>
      </c>
      <c r="C4" s="4"/>
      <c r="D4" s="4" t="s">
        <v>6</v>
      </c>
      <c r="E4" s="4"/>
      <c r="F4" s="4" t="s">
        <v>59</v>
      </c>
      <c r="G4" s="4" t="s">
        <v>1571</v>
      </c>
      <c r="H4" s="4" t="s">
        <v>1572</v>
      </c>
      <c r="I4" s="4" t="s">
        <v>815</v>
      </c>
      <c r="J4" s="4" t="s">
        <v>70</v>
      </c>
      <c r="K4" s="4" t="s">
        <v>15</v>
      </c>
      <c r="L4" s="4" t="s">
        <v>72</v>
      </c>
      <c r="M4" s="4" t="s">
        <v>141</v>
      </c>
      <c r="N4" s="4" t="s">
        <v>1573</v>
      </c>
      <c r="O4" s="4" t="s">
        <v>9</v>
      </c>
    </row>
    <row r="5" customFormat="false" ht="15" hidden="false" customHeight="true" outlineLevel="0" collapsed="false">
      <c r="A5" s="18" t="s">
        <v>1574</v>
      </c>
      <c r="B5" s="4" t="s">
        <v>1575</v>
      </c>
      <c r="C5" s="4"/>
      <c r="D5" s="4" t="s">
        <v>7</v>
      </c>
      <c r="E5" s="4"/>
      <c r="F5" s="4"/>
      <c r="G5" s="4" t="s">
        <v>73</v>
      </c>
      <c r="H5" s="4" t="s">
        <v>1576</v>
      </c>
      <c r="I5" s="4" t="s">
        <v>174</v>
      </c>
      <c r="J5" s="4" t="s">
        <v>87</v>
      </c>
      <c r="K5" s="4" t="s">
        <v>16</v>
      </c>
      <c r="L5" s="4"/>
      <c r="M5" s="4" t="s">
        <v>72</v>
      </c>
      <c r="N5" s="4" t="s">
        <v>90</v>
      </c>
      <c r="O5" s="4" t="s">
        <v>1577</v>
      </c>
    </row>
    <row r="6" customFormat="false" ht="15" hidden="false" customHeight="true" outlineLevel="0" collapsed="false">
      <c r="A6" s="18" t="s">
        <v>1578</v>
      </c>
      <c r="B6" s="4" t="s">
        <v>1579</v>
      </c>
      <c r="C6" s="4"/>
      <c r="D6" s="4" t="s">
        <v>8</v>
      </c>
      <c r="E6" s="4"/>
      <c r="F6" s="4"/>
      <c r="G6" s="4"/>
      <c r="H6" s="4" t="s">
        <v>1580</v>
      </c>
      <c r="I6" s="4" t="s">
        <v>139</v>
      </c>
      <c r="J6" s="4" t="s">
        <v>267</v>
      </c>
      <c r="K6" s="4"/>
      <c r="L6" s="4"/>
      <c r="M6" s="4"/>
      <c r="N6" s="4" t="s">
        <v>73</v>
      </c>
      <c r="O6" s="4"/>
    </row>
    <row r="7" customFormat="false" ht="15" hidden="false" customHeight="true" outlineLevel="0" collapsed="false">
      <c r="A7" s="18" t="s">
        <v>1581</v>
      </c>
      <c r="B7" s="4" t="s">
        <v>1582</v>
      </c>
      <c r="C7" s="4"/>
      <c r="D7" s="4" t="s">
        <v>9</v>
      </c>
      <c r="E7" s="4"/>
      <c r="F7" s="4"/>
      <c r="G7" s="4"/>
      <c r="H7" s="4"/>
      <c r="I7" s="4" t="s">
        <v>187</v>
      </c>
      <c r="J7" s="4" t="s">
        <v>231</v>
      </c>
      <c r="K7" s="4"/>
      <c r="L7" s="4"/>
      <c r="M7" s="4"/>
      <c r="N7" s="4" t="s">
        <v>736</v>
      </c>
      <c r="O7" s="4"/>
    </row>
    <row r="8" customFormat="false" ht="15" hidden="false" customHeight="true" outlineLevel="0" collapsed="false">
      <c r="A8" s="18" t="s">
        <v>1583</v>
      </c>
      <c r="B8" s="4" t="s">
        <v>1584</v>
      </c>
      <c r="C8" s="4"/>
      <c r="D8" s="4"/>
      <c r="E8" s="4"/>
      <c r="F8" s="4"/>
      <c r="G8" s="4"/>
      <c r="H8" s="4"/>
      <c r="I8" s="4" t="s">
        <v>279</v>
      </c>
      <c r="J8" s="4" t="s">
        <v>1028</v>
      </c>
      <c r="K8" s="4"/>
      <c r="L8" s="4"/>
      <c r="M8" s="4"/>
      <c r="N8" s="4"/>
      <c r="O8" s="4"/>
    </row>
    <row r="9" customFormat="false" ht="15" hidden="false" customHeight="true" outlineLevel="0" collapsed="false">
      <c r="A9" s="18" t="s">
        <v>1585</v>
      </c>
      <c r="B9" s="4" t="s">
        <v>1582</v>
      </c>
      <c r="C9" s="4"/>
      <c r="D9" s="4"/>
      <c r="E9" s="4"/>
      <c r="F9" s="4"/>
      <c r="G9" s="4"/>
      <c r="H9" s="4"/>
      <c r="I9" s="4" t="s">
        <v>254</v>
      </c>
      <c r="J9" s="4" t="s">
        <v>124</v>
      </c>
      <c r="K9" s="4"/>
      <c r="L9" s="4"/>
      <c r="M9" s="4"/>
      <c r="N9" s="4"/>
      <c r="O9" s="4"/>
    </row>
    <row r="10" customFormat="false" ht="15" hidden="false" customHeight="true" outlineLevel="0" collapsed="false">
      <c r="A10" s="18" t="s">
        <v>1586</v>
      </c>
      <c r="B10" s="4" t="s">
        <v>1587</v>
      </c>
      <c r="C10" s="4"/>
      <c r="D10" s="4"/>
      <c r="E10" s="4"/>
      <c r="F10" s="4"/>
      <c r="G10" s="4"/>
      <c r="H10" s="4"/>
      <c r="I10" s="4" t="s">
        <v>217</v>
      </c>
      <c r="J10" s="4" t="s">
        <v>395</v>
      </c>
      <c r="K10" s="4"/>
      <c r="L10" s="4"/>
      <c r="M10" s="4"/>
      <c r="N10" s="4"/>
      <c r="O10" s="4"/>
    </row>
    <row r="11" customFormat="false" ht="15" hidden="false" customHeight="true" outlineLevel="0" collapsed="false">
      <c r="A11" s="18" t="s">
        <v>1588</v>
      </c>
      <c r="B11" s="4" t="s">
        <v>1589</v>
      </c>
      <c r="C11" s="4"/>
      <c r="D11" s="4"/>
      <c r="E11" s="4"/>
      <c r="F11" s="4"/>
      <c r="G11" s="4"/>
      <c r="H11" s="4"/>
      <c r="I11" s="4"/>
      <c r="J11" s="4" t="s">
        <v>140</v>
      </c>
      <c r="K11" s="4"/>
      <c r="L11" s="4"/>
      <c r="M11" s="4"/>
      <c r="N11" s="4"/>
      <c r="O11" s="4"/>
    </row>
    <row r="12" customFormat="false" ht="15" hidden="false" customHeight="true" outlineLevel="0" collapsed="false">
      <c r="A12" s="18" t="s">
        <v>1590</v>
      </c>
      <c r="B12" s="4" t="s">
        <v>1591</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1592</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2026-10-31T01:24:57Z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