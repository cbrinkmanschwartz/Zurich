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Events!$A$1:$AI$99</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<sst xmlns="http://schemas.openxmlformats.org/spreadsheetml/2006/main" count="3032" uniqueCount="1550">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</sst>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59</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11</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8</v>
      </c>
    </row>
    <row r="11" customFormat="false" ht="15" hidden="false" customHeight="true" outlineLevel="0" collapsed="false">
      <c r="A11" s="3" t="s">
        <v>10</v>
      </c>
      <c r="B11" s="3" t="n">
        <f aca="false">SUM(B5:B10)</f>
        <v>98</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22</v>
      </c>
    </row>
    <row r="16" customFormat="false" ht="15" hidden="false" customHeight="true" outlineLevel="0" collapsed="false">
      <c r="A16" s="4" t="s">
        <v>14</v>
      </c>
      <c r="B16" s="4" t="n">
        <f aca="false">COUNTIFS(Events!$C$2:$C$1000,"Request for troops",Events!$Y$2:$Y$1000,A16)</f>
        <v>24</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9</v>
      </c>
    </row>
    <row r="19" customFormat="false" ht="15" hidden="false" customHeight="true" outlineLevel="0" collapsed="false">
      <c r="A19" s="3" t="s">
        <v>10</v>
      </c>
      <c r="B19" s="3" t="n">
        <f aca="false">SUM(B15:B18)</f>
        <v>59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8</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95</v>
      </c>
    </row>
    <row r="38" customFormat="false" ht="15" hidden="false" customHeight="true" outlineLevel="0" collapsed="false">
      <c r="A38" s="3" t="s">
        <v>19</v>
      </c>
      <c r="B38" s="4" t="n">
        <f aca="false">SUMPRODUCT((Events!$B$2:$B$1000&lt;&gt;"")/COUNTIF(Events!$B$2:$B$1000,Events!$B$2:$B$1000&amp;""))</f>
        <v>82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99"/>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1285</v>
      </c>
      <c r="B1" s="5" t="s">
        <v>2</v>
      </c>
      <c r="C1" s="5" t="s">
        <v>1286</v>
      </c>
      <c r="D1" s="5" t="s">
        <v>37</v>
      </c>
      <c r="E1" s="5" t="s">
        <v>34</v>
      </c>
      <c r="F1" s="5" t="s">
        <v>1287</v>
      </c>
      <c r="G1" s="5" t="s">
        <v>1288</v>
      </c>
      <c r="H1" s="5" t="s">
        <v>1289</v>
      </c>
      <c r="I1" s="5" t="s">
        <v>1290</v>
      </c>
      <c r="J1" s="5" t="s">
        <v>1291</v>
      </c>
      <c r="K1" s="5" t="s">
        <v>1292</v>
      </c>
    </row>
    <row r="2" customFormat="false" ht="57" hidden="false" customHeight="true" outlineLevel="0" collapsed="false">
      <c r="A2" s="6" t="s">
        <v>1293</v>
      </c>
      <c r="B2" s="6" t="s">
        <v>4</v>
      </c>
      <c r="C2" s="6" t="s">
        <v>1238</v>
      </c>
      <c r="D2" s="6" t="s">
        <v>866</v>
      </c>
      <c r="E2" s="8" t="s">
        <v>1294</v>
      </c>
      <c r="F2" s="6" t="s">
        <v>1295</v>
      </c>
      <c r="G2" s="6" t="s">
        <v>1296</v>
      </c>
      <c r="H2" s="6" t="s">
        <v>1297</v>
      </c>
      <c r="I2" s="6" t="s">
        <v>55</v>
      </c>
      <c r="J2" s="6" t="s">
        <v>1298</v>
      </c>
      <c r="K2" s="6" t="s">
        <v>1299</v>
      </c>
    </row>
    <row r="3" customFormat="false" ht="23.25" hidden="false" customHeight="true" outlineLevel="0" collapsed="false">
      <c r="A3" s="6" t="s">
        <v>1300</v>
      </c>
      <c r="B3" s="6" t="s">
        <v>4</v>
      </c>
      <c r="C3" s="6" t="s">
        <v>1270</v>
      </c>
      <c r="D3" s="6" t="s">
        <v>866</v>
      </c>
      <c r="E3" s="8" t="s">
        <v>1301</v>
      </c>
      <c r="F3" s="6" t="s">
        <v>1302</v>
      </c>
      <c r="G3" s="6" t="s">
        <v>1303</v>
      </c>
      <c r="H3" s="6" t="s">
        <v>1304</v>
      </c>
      <c r="I3" s="6" t="s">
        <v>1305</v>
      </c>
      <c r="J3" s="6" t="s">
        <v>1298</v>
      </c>
      <c r="K3" s="6" t="s">
        <v>1306</v>
      </c>
    </row>
    <row r="4" customFormat="false" ht="23.25" hidden="false" customHeight="true" outlineLevel="0" collapsed="false">
      <c r="A4" s="6" t="s">
        <v>1307</v>
      </c>
      <c r="B4" s="6" t="s">
        <v>4</v>
      </c>
      <c r="C4" s="6" t="s">
        <v>184</v>
      </c>
      <c r="D4" s="6" t="s">
        <v>185</v>
      </c>
      <c r="E4" s="8" t="s">
        <v>1308</v>
      </c>
      <c r="F4" s="6" t="s">
        <v>1309</v>
      </c>
      <c r="G4" s="6" t="s">
        <v>1310</v>
      </c>
      <c r="H4" s="6" t="s">
        <v>1311</v>
      </c>
      <c r="I4" s="6" t="s">
        <v>55</v>
      </c>
      <c r="J4" s="6" t="s">
        <v>1312</v>
      </c>
      <c r="K4" s="6" t="s">
        <v>1313</v>
      </c>
    </row>
    <row r="5" customFormat="false" ht="34.5" hidden="false" customHeight="true" outlineLevel="0" collapsed="false">
      <c r="A5" s="6" t="s">
        <v>1314</v>
      </c>
      <c r="B5" s="6" t="s">
        <v>9</v>
      </c>
      <c r="C5" s="6" t="s">
        <v>1054</v>
      </c>
      <c r="D5" s="6" t="s">
        <v>1026</v>
      </c>
      <c r="E5" s="8" t="s">
        <v>1315</v>
      </c>
      <c r="F5" s="6" t="s">
        <v>1316</v>
      </c>
      <c r="G5" s="6" t="s">
        <v>1317</v>
      </c>
      <c r="H5" s="6" t="s">
        <v>1311</v>
      </c>
      <c r="I5" s="6" t="s">
        <v>55</v>
      </c>
      <c r="J5" s="6" t="s">
        <v>1318</v>
      </c>
      <c r="K5" s="6" t="s">
        <v>1319</v>
      </c>
    </row>
    <row r="6" customFormat="false" ht="23.25" hidden="false" customHeight="true" outlineLevel="0" collapsed="false">
      <c r="A6" s="6" t="s">
        <v>1320</v>
      </c>
      <c r="B6" s="6" t="s">
        <v>6</v>
      </c>
      <c r="C6" s="6" t="s">
        <v>1321</v>
      </c>
      <c r="D6" s="6" t="s">
        <v>866</v>
      </c>
      <c r="E6" s="8" t="s">
        <v>1301</v>
      </c>
      <c r="F6" s="6" t="s">
        <v>1322</v>
      </c>
      <c r="G6" s="6" t="s">
        <v>1323</v>
      </c>
      <c r="H6" s="6" t="s">
        <v>1304</v>
      </c>
      <c r="I6" s="6" t="s">
        <v>55</v>
      </c>
      <c r="J6" s="6" t="s">
        <v>1312</v>
      </c>
      <c r="K6" s="6"/>
    </row>
    <row r="7" customFormat="false" ht="34.5" hidden="false" customHeight="true" outlineLevel="0" collapsed="false">
      <c r="A7" s="6" t="s">
        <v>1324</v>
      </c>
      <c r="B7" s="6" t="s">
        <v>6</v>
      </c>
      <c r="C7" s="6" t="s">
        <v>1325</v>
      </c>
      <c r="D7" s="6" t="s">
        <v>252</v>
      </c>
      <c r="E7" s="8" t="s">
        <v>1326</v>
      </c>
      <c r="F7" s="6" t="s">
        <v>1327</v>
      </c>
      <c r="G7" s="6" t="s">
        <v>1328</v>
      </c>
      <c r="H7" s="6" t="s">
        <v>1304</v>
      </c>
      <c r="I7" s="6" t="s">
        <v>55</v>
      </c>
      <c r="J7" s="6" t="s">
        <v>1312</v>
      </c>
      <c r="K7" s="6" t="s">
        <v>1329</v>
      </c>
    </row>
    <row r="8" customFormat="false" ht="23.25" hidden="false" customHeight="true" outlineLevel="0" collapsed="false">
      <c r="A8" s="6" t="s">
        <v>1330</v>
      </c>
      <c r="B8" s="6" t="s">
        <v>4</v>
      </c>
      <c r="C8" s="6" t="s">
        <v>1331</v>
      </c>
      <c r="D8" s="6" t="s">
        <v>1332</v>
      </c>
      <c r="E8" s="8" t="s">
        <v>1333</v>
      </c>
      <c r="F8" s="6" t="s">
        <v>1334</v>
      </c>
      <c r="G8" s="6" t="s">
        <v>1335</v>
      </c>
      <c r="H8" s="6" t="s">
        <v>1304</v>
      </c>
      <c r="I8" s="6" t="s">
        <v>55</v>
      </c>
      <c r="J8" s="6" t="s">
        <v>1298</v>
      </c>
      <c r="K8" s="6" t="s">
        <v>1336</v>
      </c>
    </row>
    <row r="9" customFormat="false" ht="23.25" hidden="false" customHeight="true" outlineLevel="0" collapsed="false">
      <c r="A9" s="6" t="s">
        <v>1337</v>
      </c>
      <c r="B9" s="6" t="s">
        <v>4</v>
      </c>
      <c r="C9" s="6" t="s">
        <v>1338</v>
      </c>
      <c r="D9" s="6" t="s">
        <v>172</v>
      </c>
      <c r="E9" s="8" t="s">
        <v>1339</v>
      </c>
      <c r="F9" s="6" t="s">
        <v>1340</v>
      </c>
      <c r="G9" s="6" t="s">
        <v>1341</v>
      </c>
      <c r="H9" s="6" t="s">
        <v>1304</v>
      </c>
      <c r="I9" s="6" t="s">
        <v>55</v>
      </c>
      <c r="J9" s="6" t="s">
        <v>1298</v>
      </c>
      <c r="K9" s="6"/>
    </row>
    <row r="10" customFormat="false" ht="23.25" hidden="false" customHeight="true" outlineLevel="0" collapsed="false">
      <c r="A10" s="6" t="s">
        <v>1342</v>
      </c>
      <c r="B10" s="6" t="s">
        <v>9</v>
      </c>
      <c r="C10" s="6" t="s">
        <v>195</v>
      </c>
      <c r="D10" s="6" t="s">
        <v>196</v>
      </c>
      <c r="E10" s="8" t="s">
        <v>1343</v>
      </c>
      <c r="F10" s="6" t="s">
        <v>1344</v>
      </c>
      <c r="G10" s="6" t="s">
        <v>1345</v>
      </c>
      <c r="H10" s="6" t="s">
        <v>1304</v>
      </c>
      <c r="I10" s="6" t="s">
        <v>55</v>
      </c>
      <c r="J10" s="6" t="s">
        <v>1312</v>
      </c>
      <c r="K10" s="6" t="s">
        <v>1346</v>
      </c>
    </row>
    <row r="11" customFormat="false" ht="34.5" hidden="false" customHeight="true" outlineLevel="0" collapsed="false">
      <c r="A11" s="6" t="s">
        <v>1347</v>
      </c>
      <c r="B11" s="6" t="s">
        <v>5</v>
      </c>
      <c r="C11" s="6" t="s">
        <v>1348</v>
      </c>
      <c r="D11" s="6" t="s">
        <v>1349</v>
      </c>
      <c r="E11" s="8" t="s">
        <v>1350</v>
      </c>
      <c r="F11" s="6" t="s">
        <v>1351</v>
      </c>
      <c r="G11" s="6" t="s">
        <v>1352</v>
      </c>
      <c r="H11" s="6" t="s">
        <v>1304</v>
      </c>
      <c r="I11" s="6" t="s">
        <v>55</v>
      </c>
      <c r="J11" s="6" t="s">
        <v>1312</v>
      </c>
      <c r="K11" s="6" t="s">
        <v>1353</v>
      </c>
    </row>
    <row r="12" customFormat="false" ht="23.25" hidden="false" customHeight="true" outlineLevel="0" collapsed="false">
      <c r="A12" s="6" t="s">
        <v>1354</v>
      </c>
      <c r="B12" s="6" t="s">
        <v>5</v>
      </c>
      <c r="C12" s="6" t="s">
        <v>1355</v>
      </c>
      <c r="D12" s="6" t="s">
        <v>252</v>
      </c>
      <c r="E12" s="8" t="s">
        <v>1356</v>
      </c>
      <c r="F12" s="6" t="s">
        <v>1357</v>
      </c>
      <c r="G12" s="6" t="s">
        <v>1358</v>
      </c>
      <c r="H12" s="6" t="s">
        <v>1304</v>
      </c>
      <c r="I12" s="6" t="s">
        <v>55</v>
      </c>
      <c r="J12" s="6" t="s">
        <v>1312</v>
      </c>
      <c r="K12" s="6" t="s">
        <v>1359</v>
      </c>
    </row>
    <row r="13" customFormat="false" ht="23.25" hidden="false" customHeight="true" outlineLevel="0" collapsed="false">
      <c r="A13" s="6" t="s">
        <v>1360</v>
      </c>
      <c r="B13" s="6" t="s">
        <v>6</v>
      </c>
      <c r="C13" s="6" t="s">
        <v>1361</v>
      </c>
      <c r="D13" s="6" t="s">
        <v>1362</v>
      </c>
      <c r="E13" s="8" t="s">
        <v>1363</v>
      </c>
      <c r="F13" s="6" t="s">
        <v>1364</v>
      </c>
      <c r="G13" s="6" t="s">
        <v>1365</v>
      </c>
      <c r="H13" s="6" t="s">
        <v>1304</v>
      </c>
      <c r="I13" s="6" t="s">
        <v>55</v>
      </c>
      <c r="J13" s="6" t="s">
        <v>1318</v>
      </c>
      <c r="K13" s="6" t="s">
        <v>1366</v>
      </c>
    </row>
    <row r="14" customFormat="false" ht="23.25" hidden="false" customHeight="true" outlineLevel="0" collapsed="false">
      <c r="A14" s="6" t="s">
        <v>1367</v>
      </c>
      <c r="B14" s="6" t="s">
        <v>6</v>
      </c>
      <c r="C14" s="6" t="s">
        <v>1368</v>
      </c>
      <c r="D14" s="6" t="s">
        <v>185</v>
      </c>
      <c r="E14" s="8" t="s">
        <v>1369</v>
      </c>
      <c r="F14" s="6" t="s">
        <v>1370</v>
      </c>
      <c r="G14" s="6" t="s">
        <v>1371</v>
      </c>
      <c r="H14" s="6" t="s">
        <v>1304</v>
      </c>
      <c r="I14" s="6" t="s">
        <v>55</v>
      </c>
      <c r="J14" s="6" t="s">
        <v>1318</v>
      </c>
      <c r="K14" s="6" t="s">
        <v>1372</v>
      </c>
    </row>
    <row r="15" customFormat="false" ht="34.5" hidden="false" customHeight="true" outlineLevel="0" collapsed="false">
      <c r="A15" s="6" t="s">
        <v>1373</v>
      </c>
      <c r="B15" s="6" t="s">
        <v>9</v>
      </c>
      <c r="C15" s="6" t="s">
        <v>1374</v>
      </c>
      <c r="D15" s="6" t="s">
        <v>1375</v>
      </c>
      <c r="E15" s="8" t="s">
        <v>1376</v>
      </c>
      <c r="F15" s="6" t="s">
        <v>1377</v>
      </c>
      <c r="G15" s="6" t="s">
        <v>1378</v>
      </c>
      <c r="H15" s="6" t="s">
        <v>1304</v>
      </c>
      <c r="I15" s="6" t="s">
        <v>55</v>
      </c>
      <c r="J15" s="6" t="s">
        <v>1312</v>
      </c>
      <c r="K15" s="6" t="s">
        <v>1379</v>
      </c>
    </row>
    <row r="16" customFormat="false" ht="34.5" hidden="false" customHeight="true" outlineLevel="0" collapsed="false">
      <c r="A16" s="6" t="s">
        <v>1380</v>
      </c>
      <c r="B16" s="6" t="s">
        <v>9</v>
      </c>
      <c r="C16" s="6" t="s">
        <v>1374</v>
      </c>
      <c r="D16" s="6" t="s">
        <v>1375</v>
      </c>
      <c r="E16" s="8" t="s">
        <v>1381</v>
      </c>
      <c r="F16" s="6" t="s">
        <v>1382</v>
      </c>
      <c r="G16" s="6" t="s">
        <v>1383</v>
      </c>
      <c r="H16" s="6" t="s">
        <v>1304</v>
      </c>
      <c r="I16" s="6" t="s">
        <v>55</v>
      </c>
      <c r="J16" s="6" t="s">
        <v>1312</v>
      </c>
      <c r="K16" s="6" t="s">
        <v>1384</v>
      </c>
    </row>
    <row r="17" customFormat="false" ht="34.5" hidden="false" customHeight="true" outlineLevel="0" collapsed="false">
      <c r="A17" s="6" t="s">
        <v>1385</v>
      </c>
      <c r="B17" s="6" t="s">
        <v>4</v>
      </c>
      <c r="C17" s="6" t="s">
        <v>227</v>
      </c>
      <c r="D17" s="6" t="s">
        <v>228</v>
      </c>
      <c r="E17" s="8" t="s">
        <v>1386</v>
      </c>
      <c r="F17" s="6" t="s">
        <v>1387</v>
      </c>
      <c r="G17" s="6" t="s">
        <v>1388</v>
      </c>
      <c r="H17" s="6" t="s">
        <v>1304</v>
      </c>
      <c r="I17" s="6" t="s">
        <v>55</v>
      </c>
      <c r="J17" s="6" t="s">
        <v>1298</v>
      </c>
      <c r="K17" s="6" t="s">
        <v>1389</v>
      </c>
    </row>
    <row r="18" customFormat="false" ht="45.75" hidden="false" customHeight="true" outlineLevel="0" collapsed="false">
      <c r="A18" s="6" t="s">
        <v>1390</v>
      </c>
      <c r="B18" s="6" t="s">
        <v>4</v>
      </c>
      <c r="C18" s="6" t="s">
        <v>227</v>
      </c>
      <c r="D18" s="6" t="s">
        <v>241</v>
      </c>
      <c r="E18" s="8" t="s">
        <v>1391</v>
      </c>
      <c r="F18" s="6" t="s">
        <v>1392</v>
      </c>
      <c r="G18" s="6" t="s">
        <v>1393</v>
      </c>
      <c r="H18" s="6" t="s">
        <v>1304</v>
      </c>
      <c r="I18" s="6" t="s">
        <v>55</v>
      </c>
      <c r="J18" s="6" t="s">
        <v>1312</v>
      </c>
      <c r="K18" s="6" t="s">
        <v>1394</v>
      </c>
    </row>
    <row r="19" customFormat="false" ht="23.25" hidden="false" customHeight="true" outlineLevel="0" collapsed="false">
      <c r="A19" s="6" t="s">
        <v>1395</v>
      </c>
      <c r="B19" s="6" t="s">
        <v>9</v>
      </c>
      <c r="C19" s="6" t="s">
        <v>1396</v>
      </c>
      <c r="D19" s="6" t="s">
        <v>1375</v>
      </c>
      <c r="E19" s="8" t="s">
        <v>1397</v>
      </c>
      <c r="F19" s="6" t="s">
        <v>1398</v>
      </c>
      <c r="G19" s="6" t="s">
        <v>1399</v>
      </c>
      <c r="H19" s="6" t="s">
        <v>1304</v>
      </c>
      <c r="I19" s="6" t="s">
        <v>55</v>
      </c>
      <c r="J19" s="6" t="s">
        <v>1298</v>
      </c>
      <c r="K19" s="6" t="s">
        <v>1400</v>
      </c>
    </row>
    <row r="20" customFormat="false" ht="34.5" hidden="false" customHeight="true" outlineLevel="0" collapsed="false">
      <c r="A20" s="6" t="s">
        <v>1401</v>
      </c>
      <c r="B20" s="6" t="s">
        <v>9</v>
      </c>
      <c r="C20" s="6" t="s">
        <v>1338</v>
      </c>
      <c r="D20" s="6" t="s">
        <v>172</v>
      </c>
      <c r="E20" s="8" t="s">
        <v>1402</v>
      </c>
      <c r="F20" s="6" t="s">
        <v>1403</v>
      </c>
      <c r="G20" s="6" t="s">
        <v>1404</v>
      </c>
      <c r="H20" s="6" t="s">
        <v>1405</v>
      </c>
      <c r="I20" s="6" t="s">
        <v>1305</v>
      </c>
      <c r="J20" s="6" t="s">
        <v>1312</v>
      </c>
      <c r="K20" s="6" t="s">
        <v>1406</v>
      </c>
    </row>
    <row r="21" customFormat="false" ht="45.75" hidden="false" customHeight="true" outlineLevel="0" collapsed="false">
      <c r="A21" s="6" t="s">
        <v>1407</v>
      </c>
      <c r="B21" s="6" t="s">
        <v>9</v>
      </c>
      <c r="C21" s="6" t="s">
        <v>1408</v>
      </c>
      <c r="D21" s="6" t="s">
        <v>1409</v>
      </c>
      <c r="E21" s="8" t="s">
        <v>1410</v>
      </c>
      <c r="F21" s="6" t="s">
        <v>1411</v>
      </c>
      <c r="G21" s="6" t="s">
        <v>1412</v>
      </c>
      <c r="H21" s="6" t="s">
        <v>1405</v>
      </c>
      <c r="I21" s="6" t="s">
        <v>88</v>
      </c>
      <c r="J21" s="6" t="s">
        <v>1318</v>
      </c>
      <c r="K21" s="6" t="s">
        <v>1413</v>
      </c>
    </row>
    <row r="22" customFormat="false" ht="34.5" hidden="false" customHeight="true" outlineLevel="0" collapsed="false">
      <c r="A22" s="6" t="s">
        <v>1414</v>
      </c>
      <c r="B22" s="6" t="s">
        <v>9</v>
      </c>
      <c r="C22" s="6" t="s">
        <v>1415</v>
      </c>
      <c r="D22" s="6" t="s">
        <v>196</v>
      </c>
      <c r="E22" s="8" t="s">
        <v>1416</v>
      </c>
      <c r="F22" s="6" t="s">
        <v>1417</v>
      </c>
      <c r="G22" s="6" t="s">
        <v>1418</v>
      </c>
      <c r="H22" s="6" t="s">
        <v>1419</v>
      </c>
      <c r="I22" s="6" t="s">
        <v>88</v>
      </c>
      <c r="J22" s="6" t="s">
        <v>1318</v>
      </c>
      <c r="K22" s="6" t="s">
        <v>1420</v>
      </c>
    </row>
    <row r="23" customFormat="false" ht="34.5" hidden="false" customHeight="true" outlineLevel="0" collapsed="false">
      <c r="A23" s="6" t="s">
        <v>1421</v>
      </c>
      <c r="B23" s="6" t="s">
        <v>9</v>
      </c>
      <c r="C23" s="6" t="s">
        <v>1422</v>
      </c>
      <c r="D23" s="6" t="s">
        <v>1409</v>
      </c>
      <c r="E23" s="8" t="s">
        <v>1423</v>
      </c>
      <c r="F23" s="6" t="s">
        <v>1424</v>
      </c>
      <c r="G23" s="6" t="s">
        <v>1425</v>
      </c>
      <c r="H23" s="6" t="s">
        <v>1419</v>
      </c>
      <c r="I23" s="6" t="s">
        <v>88</v>
      </c>
      <c r="J23" s="6" t="s">
        <v>1318</v>
      </c>
      <c r="K23" s="6" t="s">
        <v>1426</v>
      </c>
    </row>
    <row r="24" customFormat="false" ht="79.5" hidden="false" customHeight="true" outlineLevel="0" collapsed="false">
      <c r="A24" s="6" t="s">
        <v>1427</v>
      </c>
      <c r="B24" s="6" t="s">
        <v>4</v>
      </c>
      <c r="C24" s="6" t="s">
        <v>184</v>
      </c>
      <c r="D24" s="6" t="s">
        <v>185</v>
      </c>
      <c r="E24" s="8" t="s">
        <v>1428</v>
      </c>
      <c r="F24" s="6" t="s">
        <v>1429</v>
      </c>
      <c r="G24" s="6" t="s">
        <v>1430</v>
      </c>
      <c r="H24" s="6" t="s">
        <v>1419</v>
      </c>
      <c r="I24" s="6" t="s">
        <v>1305</v>
      </c>
      <c r="J24" s="6" t="s">
        <v>1312</v>
      </c>
      <c r="K24" s="6" t="s">
        <v>1431</v>
      </c>
    </row>
    <row r="25" customFormat="false" ht="34.5" hidden="false" customHeight="true" outlineLevel="0" collapsed="false">
      <c r="A25" s="6" t="s">
        <v>1432</v>
      </c>
      <c r="B25" s="6" t="s">
        <v>9</v>
      </c>
      <c r="C25" s="6" t="s">
        <v>227</v>
      </c>
      <c r="D25" s="6" t="s">
        <v>241</v>
      </c>
      <c r="E25" s="8" t="s">
        <v>1433</v>
      </c>
      <c r="F25" s="6" t="s">
        <v>1434</v>
      </c>
      <c r="G25" s="6" t="s">
        <v>1435</v>
      </c>
      <c r="H25" s="6" t="s">
        <v>1419</v>
      </c>
      <c r="I25" s="6" t="s">
        <v>88</v>
      </c>
      <c r="J25" s="6" t="s">
        <v>1318</v>
      </c>
      <c r="K25" s="6" t="s">
        <v>1436</v>
      </c>
    </row>
    <row r="26" customFormat="false" ht="45.75" hidden="false" customHeight="true" outlineLevel="0" collapsed="false">
      <c r="A26" s="6" t="s">
        <v>1437</v>
      </c>
      <c r="B26" s="6" t="s">
        <v>9</v>
      </c>
      <c r="C26" s="6" t="s">
        <v>1438</v>
      </c>
      <c r="D26" s="6" t="s">
        <v>121</v>
      </c>
      <c r="E26" s="8" t="s">
        <v>1439</v>
      </c>
      <c r="F26" s="6" t="s">
        <v>1440</v>
      </c>
      <c r="G26" s="6" t="s">
        <v>1441</v>
      </c>
      <c r="H26" s="6" t="s">
        <v>1419</v>
      </c>
      <c r="I26" s="6" t="s">
        <v>88</v>
      </c>
      <c r="J26" s="6" t="s">
        <v>1312</v>
      </c>
      <c r="K26" s="6" t="s">
        <v>1442</v>
      </c>
    </row>
    <row r="27" customFormat="false" ht="68.25" hidden="false" customHeight="true" outlineLevel="0" collapsed="false">
      <c r="A27" s="6" t="s">
        <v>1443</v>
      </c>
      <c r="B27" s="6" t="s">
        <v>9</v>
      </c>
      <c r="C27" s="6" t="s">
        <v>542</v>
      </c>
      <c r="D27" s="6" t="s">
        <v>447</v>
      </c>
      <c r="E27" s="8" t="s">
        <v>1444</v>
      </c>
      <c r="F27" s="6" t="s">
        <v>1445</v>
      </c>
      <c r="G27" s="6" t="s">
        <v>1446</v>
      </c>
      <c r="H27" s="6" t="s">
        <v>1419</v>
      </c>
      <c r="I27" s="6" t="s">
        <v>1305</v>
      </c>
      <c r="J27" s="6" t="s">
        <v>1312</v>
      </c>
      <c r="K27" s="6" t="s">
        <v>1447</v>
      </c>
    </row>
    <row r="28" customFormat="false" ht="57" hidden="false" customHeight="true" outlineLevel="0" collapsed="false">
      <c r="A28" s="6" t="s">
        <v>1448</v>
      </c>
      <c r="B28" s="6" t="s">
        <v>9</v>
      </c>
      <c r="C28" s="6" t="s">
        <v>1449</v>
      </c>
      <c r="D28" s="6" t="s">
        <v>634</v>
      </c>
      <c r="E28" s="8" t="s">
        <v>1450</v>
      </c>
      <c r="F28" s="6" t="s">
        <v>1451</v>
      </c>
      <c r="G28" s="6" t="s">
        <v>1452</v>
      </c>
      <c r="H28" s="6" t="s">
        <v>1453</v>
      </c>
      <c r="I28" s="6" t="s">
        <v>88</v>
      </c>
      <c r="J28" s="6" t="s">
        <v>1312</v>
      </c>
      <c r="K28" s="6" t="s">
        <v>1454</v>
      </c>
    </row>
    <row r="29" customFormat="false" ht="68.25" hidden="false" customHeight="true" outlineLevel="0" collapsed="false">
      <c r="A29" s="6" t="s">
        <v>1455</v>
      </c>
      <c r="B29" s="6" t="s">
        <v>9</v>
      </c>
      <c r="C29" s="6" t="s">
        <v>1456</v>
      </c>
      <c r="D29" s="6" t="s">
        <v>1457</v>
      </c>
      <c r="E29" s="8" t="s">
        <v>1458</v>
      </c>
      <c r="F29" s="6" t="s">
        <v>1459</v>
      </c>
      <c r="G29" s="6" t="s">
        <v>1460</v>
      </c>
      <c r="H29" s="6" t="s">
        <v>1453</v>
      </c>
      <c r="I29" s="6" t="s">
        <v>88</v>
      </c>
      <c r="J29" s="6" t="s">
        <v>1312</v>
      </c>
      <c r="K29" s="6" t="s">
        <v>1461</v>
      </c>
    </row>
    <row r="30" customFormat="false" ht="68.25" hidden="false" customHeight="true" outlineLevel="0" collapsed="false">
      <c r="A30" s="6" t="s">
        <v>1462</v>
      </c>
      <c r="B30" s="6" t="s">
        <v>9</v>
      </c>
      <c r="C30" s="6" t="s">
        <v>1463</v>
      </c>
      <c r="D30" s="6" t="s">
        <v>1457</v>
      </c>
      <c r="E30" s="8" t="s">
        <v>1464</v>
      </c>
      <c r="F30" s="6" t="s">
        <v>1465</v>
      </c>
      <c r="G30" s="6" t="s">
        <v>1466</v>
      </c>
      <c r="H30" s="6" t="s">
        <v>1467</v>
      </c>
      <c r="I30" s="6" t="s">
        <v>1305</v>
      </c>
      <c r="J30" s="6" t="s">
        <v>1312</v>
      </c>
      <c r="K30" s="6" t="s">
        <v>1468</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1469</v>
      </c>
      <c r="B1" s="15"/>
    </row>
    <row r="2" customFormat="false" ht="15" hidden="false" customHeight="true" outlineLevel="0" collapsed="false">
      <c r="A2" s="16"/>
      <c r="B2" s="15"/>
    </row>
    <row r="3" customFormat="false" ht="15" hidden="false" customHeight="true" outlineLevel="0" collapsed="false">
      <c r="A3" s="16" t="s">
        <v>1470</v>
      </c>
      <c r="B3" s="15" t="s">
        <v>1471</v>
      </c>
    </row>
    <row r="4" customFormat="false" ht="23.25" hidden="false" customHeight="true" outlineLevel="0" collapsed="false">
      <c r="A4" s="16" t="s">
        <v>1291</v>
      </c>
      <c r="B4" s="15" t="s">
        <v>1472</v>
      </c>
    </row>
    <row r="5" customFormat="false" ht="23.25" hidden="false" customHeight="true" outlineLevel="0" collapsed="false">
      <c r="A5" s="16" t="s">
        <v>1473</v>
      </c>
      <c r="B5" s="15" t="s">
        <v>1474</v>
      </c>
    </row>
    <row r="6" customFormat="false" ht="15" hidden="false" customHeight="true" outlineLevel="0" collapsed="false">
      <c r="A6" s="16" t="s">
        <v>1475</v>
      </c>
      <c r="B6" s="15" t="s">
        <v>1476</v>
      </c>
    </row>
    <row r="7" customFormat="false" ht="15" hidden="false" customHeight="true" outlineLevel="0" collapsed="false">
      <c r="A7" s="16"/>
      <c r="B7" s="15"/>
    </row>
    <row r="8" customFormat="false" ht="15" hidden="false" customHeight="true" outlineLevel="0" collapsed="false">
      <c r="A8" s="16" t="s">
        <v>1477</v>
      </c>
      <c r="B8" s="15"/>
    </row>
    <row r="9" customFormat="false" ht="15" hidden="false" customHeight="true" outlineLevel="0" collapsed="false">
      <c r="A9" s="16" t="s">
        <v>4</v>
      </c>
      <c r="B9" s="15" t="s">
        <v>1478</v>
      </c>
    </row>
    <row r="10" customFormat="false" ht="15" hidden="false" customHeight="true" outlineLevel="0" collapsed="false">
      <c r="A10" s="16" t="s">
        <v>5</v>
      </c>
      <c r="B10" s="15" t="s">
        <v>1479</v>
      </c>
    </row>
    <row r="11" customFormat="false" ht="15" hidden="false" customHeight="true" outlineLevel="0" collapsed="false">
      <c r="A11" s="16" t="s">
        <v>6</v>
      </c>
      <c r="B11" s="15" t="s">
        <v>1480</v>
      </c>
    </row>
    <row r="12" customFormat="false" ht="15" hidden="false" customHeight="true" outlineLevel="0" collapsed="false">
      <c r="A12" s="16" t="s">
        <v>7</v>
      </c>
      <c r="B12" s="15" t="s">
        <v>1481</v>
      </c>
    </row>
    <row r="13" customFormat="false" ht="15" hidden="false" customHeight="true" outlineLevel="0" collapsed="false">
      <c r="A13" s="16" t="s">
        <v>8</v>
      </c>
      <c r="B13" s="15" t="s">
        <v>1482</v>
      </c>
    </row>
    <row r="14" customFormat="false" ht="15" hidden="false" customHeight="true" outlineLevel="0" collapsed="false">
      <c r="A14" s="16"/>
      <c r="B14" s="15"/>
    </row>
    <row r="15" customFormat="false" ht="15" hidden="false" customHeight="true" outlineLevel="0" collapsed="false">
      <c r="A15" s="16" t="s">
        <v>1483</v>
      </c>
      <c r="B15" s="15"/>
    </row>
    <row r="16" customFormat="false" ht="15" hidden="false" customHeight="true" outlineLevel="0" collapsed="false">
      <c r="A16" s="16" t="s">
        <v>1484</v>
      </c>
      <c r="B16" s="15" t="s">
        <v>1485</v>
      </c>
    </row>
    <row r="17" customFormat="false" ht="15" hidden="false" customHeight="true" outlineLevel="0" collapsed="false">
      <c r="A17" s="16" t="s">
        <v>1486</v>
      </c>
      <c r="B17" s="15" t="s">
        <v>1487</v>
      </c>
    </row>
    <row r="18" customFormat="false" ht="15" hidden="false" customHeight="true" outlineLevel="0" collapsed="false">
      <c r="A18" s="16" t="s">
        <v>1488</v>
      </c>
      <c r="B18" s="15" t="s">
        <v>1489</v>
      </c>
    </row>
    <row r="19" customFormat="false" ht="15" hidden="false" customHeight="true" outlineLevel="0" collapsed="false">
      <c r="A19" s="16" t="s">
        <v>1490</v>
      </c>
      <c r="B19" s="15" t="s">
        <v>1491</v>
      </c>
    </row>
    <row r="20" customFormat="false" ht="15" hidden="false" customHeight="true" outlineLevel="0" collapsed="false">
      <c r="A20" s="16" t="s">
        <v>1492</v>
      </c>
      <c r="B20" s="15" t="s">
        <v>1493</v>
      </c>
    </row>
    <row r="21" customFormat="false" ht="15" hidden="false" customHeight="true" outlineLevel="0" collapsed="false">
      <c r="A21" s="16" t="s">
        <v>1494</v>
      </c>
      <c r="B21" s="15" t="s">
        <v>1495</v>
      </c>
    </row>
    <row r="22" customFormat="false" ht="15" hidden="false" customHeight="true" outlineLevel="0" collapsed="false">
      <c r="A22" s="16" t="s">
        <v>1496</v>
      </c>
      <c r="B22" s="15" t="s">
        <v>1497</v>
      </c>
    </row>
    <row r="23" customFormat="false" ht="15" hidden="false" customHeight="true" outlineLevel="0" collapsed="false">
      <c r="A23" s="16"/>
      <c r="B23" s="15"/>
    </row>
    <row r="24" customFormat="false" ht="15" hidden="false" customHeight="true" outlineLevel="0" collapsed="false">
      <c r="A24" s="16" t="s">
        <v>1498</v>
      </c>
      <c r="B24" s="15" t="s">
        <v>1499</v>
      </c>
    </row>
    <row r="25" customFormat="false" ht="23.25" hidden="false" customHeight="true" outlineLevel="0" collapsed="false">
      <c r="A25" s="16" t="s">
        <v>1500</v>
      </c>
      <c r="B25" s="15" t="s">
        <v>1501</v>
      </c>
    </row>
    <row r="26" customFormat="false" ht="15" hidden="false" customHeight="true" outlineLevel="0" collapsed="false">
      <c r="A26" s="16" t="s">
        <v>1502</v>
      </c>
      <c r="B26" s="15" t="s">
        <v>1503</v>
      </c>
    </row>
    <row r="27" customFormat="false" ht="23.25" hidden="false" customHeight="true" outlineLevel="0" collapsed="false">
      <c r="A27" s="16" t="s">
        <v>1504</v>
      </c>
      <c r="B27" s="15" t="s">
        <v>1505</v>
      </c>
    </row>
    <row r="28" customFormat="false" ht="23.25" hidden="false" customHeight="true" outlineLevel="0" collapsed="false">
      <c r="A28" s="16" t="s">
        <v>1506</v>
      </c>
      <c r="B28" s="15" t="s">
        <v>1507</v>
      </c>
    </row>
    <row r="29" customFormat="false" ht="15" hidden="false" customHeight="true" outlineLevel="0" collapsed="false">
      <c r="A29" s="16"/>
      <c r="B29" s="15"/>
    </row>
    <row r="30" customFormat="false" ht="15" hidden="false" customHeight="true" outlineLevel="0" collapsed="false">
      <c r="A30" s="16" t="s">
        <v>1508</v>
      </c>
      <c r="B30" s="15"/>
    </row>
    <row r="31" customFormat="false" ht="15" hidden="false" customHeight="true" outlineLevel="0" collapsed="false">
      <c r="A31" s="16" t="s">
        <v>1509</v>
      </c>
      <c r="B31" s="15" t="s">
        <v>1510</v>
      </c>
    </row>
    <row r="32" customFormat="false" ht="34.5" hidden="false" customHeight="true" outlineLevel="0" collapsed="false">
      <c r="A32" s="16" t="s">
        <v>1511</v>
      </c>
      <c r="B32" s="15" t="s">
        <v>1512</v>
      </c>
    </row>
    <row r="34" customFormat="false" ht="23.25" hidden="false" customHeight="true" outlineLevel="0" collapsed="false">
      <c r="A34" s="3" t="s">
        <v>1513</v>
      </c>
      <c r="B34" s="15" t="s">
        <v>1514</v>
      </c>
    </row>
    <row r="36" customFormat="false" ht="45.75" hidden="false" customHeight="true" outlineLevel="0" collapsed="false">
      <c r="A36" s="17" t="s">
        <v>1515</v>
      </c>
      <c r="B36" s="15" t="s">
        <v>1516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1517</v>
      </c>
      <c r="B1" s="3" t="s">
        <v>1518</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1519</v>
      </c>
      <c r="B2" s="4" t="s">
        <v>1520</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1521</v>
      </c>
      <c r="B3" s="4" t="s">
        <v>1522</v>
      </c>
      <c r="C3" s="4"/>
      <c r="D3" s="4" t="s">
        <v>5</v>
      </c>
      <c r="E3" s="4" t="s">
        <v>55</v>
      </c>
      <c r="F3" s="4" t="s">
        <v>1523</v>
      </c>
      <c r="G3" s="4" t="s">
        <v>1524</v>
      </c>
      <c r="H3" s="4" t="s">
        <v>116</v>
      </c>
      <c r="I3" s="4" t="s">
        <v>85</v>
      </c>
      <c r="J3" s="4" t="s">
        <v>206</v>
      </c>
      <c r="K3" s="4" t="s">
        <v>14</v>
      </c>
      <c r="L3" s="4" t="s">
        <v>55</v>
      </c>
      <c r="M3" s="4" t="s">
        <v>55</v>
      </c>
      <c r="N3" s="4" t="s">
        <v>434</v>
      </c>
      <c r="O3" s="4" t="s">
        <v>1525</v>
      </c>
    </row>
    <row r="4" customFormat="false" ht="15" hidden="false" customHeight="true" outlineLevel="0" collapsed="false">
      <c r="A4" s="18" t="s">
        <v>1526</v>
      </c>
      <c r="B4" s="4" t="s">
        <v>1527</v>
      </c>
      <c r="C4" s="4"/>
      <c r="D4" s="4" t="s">
        <v>6</v>
      </c>
      <c r="E4" s="4"/>
      <c r="F4" s="4" t="s">
        <v>59</v>
      </c>
      <c r="G4" s="4" t="s">
        <v>1528</v>
      </c>
      <c r="H4" s="4" t="s">
        <v>1529</v>
      </c>
      <c r="I4" s="4" t="s">
        <v>815</v>
      </c>
      <c r="J4" s="4" t="s">
        <v>70</v>
      </c>
      <c r="K4" s="4" t="s">
        <v>15</v>
      </c>
      <c r="L4" s="4" t="s">
        <v>72</v>
      </c>
      <c r="M4" s="4" t="s">
        <v>141</v>
      </c>
      <c r="N4" s="4" t="s">
        <v>1530</v>
      </c>
      <c r="O4" s="4" t="s">
        <v>9</v>
      </c>
    </row>
    <row r="5" customFormat="false" ht="15" hidden="false" customHeight="true" outlineLevel="0" collapsed="false">
      <c r="A5" s="18" t="s">
        <v>1531</v>
      </c>
      <c r="B5" s="4" t="s">
        <v>1532</v>
      </c>
      <c r="C5" s="4"/>
      <c r="D5" s="4" t="s">
        <v>7</v>
      </c>
      <c r="E5" s="4"/>
      <c r="F5" s="4"/>
      <c r="G5" s="4" t="s">
        <v>73</v>
      </c>
      <c r="H5" s="4" t="s">
        <v>1533</v>
      </c>
      <c r="I5" s="4" t="s">
        <v>174</v>
      </c>
      <c r="J5" s="4" t="s">
        <v>87</v>
      </c>
      <c r="K5" s="4" t="s">
        <v>16</v>
      </c>
      <c r="L5" s="4"/>
      <c r="M5" s="4" t="s">
        <v>72</v>
      </c>
      <c r="N5" s="4" t="s">
        <v>90</v>
      </c>
      <c r="O5" s="4" t="s">
        <v>1534</v>
      </c>
    </row>
    <row r="6" customFormat="false" ht="15" hidden="false" customHeight="true" outlineLevel="0" collapsed="false">
      <c r="A6" s="18" t="s">
        <v>1535</v>
      </c>
      <c r="B6" s="4" t="s">
        <v>1536</v>
      </c>
      <c r="C6" s="4"/>
      <c r="D6" s="4" t="s">
        <v>8</v>
      </c>
      <c r="E6" s="4"/>
      <c r="F6" s="4"/>
      <c r="G6" s="4"/>
      <c r="H6" s="4" t="s">
        <v>1537</v>
      </c>
      <c r="I6" s="4" t="s">
        <v>139</v>
      </c>
      <c r="J6" s="4" t="s">
        <v>267</v>
      </c>
      <c r="K6" s="4"/>
      <c r="L6" s="4"/>
      <c r="M6" s="4"/>
      <c r="N6" s="4" t="s">
        <v>73</v>
      </c>
      <c r="O6" s="4"/>
    </row>
    <row r="7" customFormat="false" ht="15" hidden="false" customHeight="true" outlineLevel="0" collapsed="false">
      <c r="A7" s="18" t="s">
        <v>1538</v>
      </c>
      <c r="B7" s="4" t="s">
        <v>1539</v>
      </c>
      <c r="C7" s="4"/>
      <c r="D7" s="4" t="s">
        <v>9</v>
      </c>
      <c r="E7" s="4"/>
      <c r="F7" s="4"/>
      <c r="G7" s="4"/>
      <c r="H7" s="4"/>
      <c r="I7" s="4" t="s">
        <v>187</v>
      </c>
      <c r="J7" s="4" t="s">
        <v>231</v>
      </c>
      <c r="K7" s="4"/>
      <c r="L7" s="4"/>
      <c r="M7" s="4"/>
      <c r="N7" s="4" t="s">
        <v>736</v>
      </c>
      <c r="O7" s="4"/>
    </row>
    <row r="8" customFormat="false" ht="15" hidden="false" customHeight="true" outlineLevel="0" collapsed="false">
      <c r="A8" s="18" t="s">
        <v>1540</v>
      </c>
      <c r="B8" s="4" t="s">
        <v>1541</v>
      </c>
      <c r="C8" s="4"/>
      <c r="D8" s="4"/>
      <c r="E8" s="4"/>
      <c r="F8" s="4"/>
      <c r="G8" s="4"/>
      <c r="H8" s="4"/>
      <c r="I8" s="4" t="s">
        <v>279</v>
      </c>
      <c r="J8" s="4" t="s">
        <v>1028</v>
      </c>
      <c r="K8" s="4"/>
      <c r="L8" s="4"/>
      <c r="M8" s="4"/>
      <c r="N8" s="4"/>
      <c r="O8" s="4"/>
    </row>
    <row r="9" customFormat="false" ht="15" hidden="false" customHeight="true" outlineLevel="0" collapsed="false">
      <c r="A9" s="18" t="s">
        <v>1542</v>
      </c>
      <c r="B9" s="4" t="s">
        <v>1539</v>
      </c>
      <c r="C9" s="4"/>
      <c r="D9" s="4"/>
      <c r="E9" s="4"/>
      <c r="F9" s="4"/>
      <c r="G9" s="4"/>
      <c r="H9" s="4"/>
      <c r="I9" s="4" t="s">
        <v>254</v>
      </c>
      <c r="J9" s="4" t="s">
        <v>124</v>
      </c>
      <c r="K9" s="4"/>
      <c r="L9" s="4"/>
      <c r="M9" s="4"/>
      <c r="N9" s="4"/>
      <c r="O9" s="4"/>
    </row>
    <row r="10" customFormat="false" ht="15" hidden="false" customHeight="true" outlineLevel="0" collapsed="false">
      <c r="A10" s="18" t="s">
        <v>1543</v>
      </c>
      <c r="B10" s="4" t="s">
        <v>1544</v>
      </c>
      <c r="C10" s="4"/>
      <c r="D10" s="4"/>
      <c r="E10" s="4"/>
      <c r="F10" s="4"/>
      <c r="G10" s="4"/>
      <c r="H10" s="4"/>
      <c r="I10" s="4" t="s">
        <v>217</v>
      </c>
      <c r="J10" s="4" t="s">
        <v>395</v>
      </c>
      <c r="K10" s="4"/>
      <c r="L10" s="4"/>
      <c r="M10" s="4"/>
      <c r="N10" s="4"/>
      <c r="O10" s="4"/>
    </row>
    <row r="11" customFormat="false" ht="15" hidden="false" customHeight="true" outlineLevel="0" collapsed="false">
      <c r="A11" s="18" t="s">
        <v>1545</v>
      </c>
      <c r="B11" s="4" t="s">
        <v>1546</v>
      </c>
      <c r="C11" s="4"/>
      <c r="D11" s="4"/>
      <c r="E11" s="4"/>
      <c r="F11" s="4"/>
      <c r="G11" s="4"/>
      <c r="H11" s="4"/>
      <c r="I11" s="4"/>
      <c r="J11" s="4" t="s">
        <v>140</v>
      </c>
      <c r="K11" s="4"/>
      <c r="L11" s="4"/>
      <c r="M11" s="4"/>
      <c r="N11" s="4"/>
      <c r="O11" s="4"/>
    </row>
    <row r="12" customFormat="false" ht="15" hidden="false" customHeight="true" outlineLevel="0" collapsed="false">
      <c r="A12" s="18" t="s">
        <v>1547</v>
      </c>
      <c r="B12" s="4" t="s">
        <v>1548</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1549</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