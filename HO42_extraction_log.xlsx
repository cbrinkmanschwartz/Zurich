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Events!$A$1:$AI$45</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<sst xmlns="http://schemas.openxmlformats.org/spreadsheetml/2006/main" count="1542" uniqueCount="817">
  <si>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</si>
  <si>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</si>
  <si>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</si>
  <si>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</si>
  <si>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</si>
  <si>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</si>
  <si>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</si>
  <si>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</si>
  <si>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</si>
  <si>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</si>
  <si>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</si>
  <si>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</si>
  <si>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</si>
  <si>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</si>
  <si>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</si>
  <si>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</si>
  <si>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</si>
  <si>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</si>
  <si>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</si>
  <si>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</si>
  <si>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</si>
  <si>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</si>
  <si>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</si>
  <si>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</si>
  <si>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</si>
  <si>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</si>
  <si>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</si>
  <si>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</si>
  <si>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</si>
  <si>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</si>
  <si>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</si>
  <si>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</si>
  <si>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</si>
  <si>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</si>
  <si>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</si>
  <si>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</si>
  <si>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</si>
  <si>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</si>
  <si>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</si>
  <si>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</si>
  <si>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</si>
  <si>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</si>
  <si>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</si>
  <si>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</si>
  <si>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</si>
  <si>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</si>
  <si>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</si>
  <si>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</si>
  <si>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</si>
  <si>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</si>
  <si>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</si>
  <si>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</si>
  <si>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</si>
  <si>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</si>
  <si>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</si>
  <si>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</si>
  <si>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</si>
  <si>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</si>
  <si>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</si>
  <si>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</si>
  <si>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</si>
  <si>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</si>
  <si>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</si>
  <si>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</si>
  <si>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</si>
  <si>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</si>
  <si>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</si>
  <si>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</si>
  <si>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</si>
  <si>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</si>
  <si>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</si>
  <si>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</si>
  <si>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</si>
  <si>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</si>
  <si>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</si>
  <si>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</si>
  <si>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</si>
  <si>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</si>
  <si>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</si>
  <si>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</si>
  <si>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</si>
  <si>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</si>
  <si>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</si>
  <si>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</si>
  <si>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</si>
  <si>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</si>
  <si>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</si>
  <si>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</si>
  <si>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</si>
  <si>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</si>
  <si>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</si>
  <si>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</si>
  <si>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</si>
  <si>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</si>
  <si>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</si>
  <si>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</si>
  <si>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</si>
  <si>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</si>
  <si>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</si>
  <si>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</si>
  <si>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</si>
  <si>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</si>
  <si>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</si>
  <si>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</si>
  <si>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</si>
  <si>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</si>
  <si>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</si>
  <si>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</si>
  <si>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</si>
  <si>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</si>
  <si>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</si>
  <si>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</si>
  <si>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</si>
  <si>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</si>
  <si>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</si>
  <si>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</si>
  <si>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</si>
  <si>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</si>
  <si>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</si>
  <si>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</si>
  <si>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</si>
  <si>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</si>
  <si>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</si>
  <si>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</si>
  <si>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</si>
  <si>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</si>
  <si>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</si>
  <si>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</si>
  <si>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</si>
  <si>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</si>
  <si>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</si>
  <si>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</si>
  <si>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</si>
  <si>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</si>
  <si>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</si>
  <si>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</si>
  <si>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</si>
  <si>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</si>
  <si>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</si>
  <si>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</si>
  <si>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</si>
  <si>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</si>
  <si>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</si>
  <si>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</si>
  <si>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</si>
  <si>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</si>
  <si>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</si>
  <si>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</si>
  <si>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</si>
  <si>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</si>
  <si>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</si>
  <si>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</si>
  <si>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</si>
  <si>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</si>
  <si>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</si>
  <si>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</si>
  <si>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</si>
  <si>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</si>
  <si>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</si>
  <si>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</si>
  <si>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</si>
  <si>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</si>
  <si>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</si>
  <si>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</si>
  <si>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</si>
  <si>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</si>
  <si>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</si>
  <si>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</si>
  <si>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</si>
  <si>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</si>
  <si>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</si>
  <si>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</si>
  <si>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</si>
  <si>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</si>
  <si>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</si>
  <si>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</si>
  <si>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</si>
  <si>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</si>
  <si>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</si>
  <si>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</si>
  <si>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</si>
  <si>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</si>
  <si>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</si>
  <si>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</si>
  <si>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</si>
  <si>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</si>
  <si>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</si>
  <si>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</si>
  <si>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</si>
  <si>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</si>
  <si>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</si>
  <si>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</si>
  <si>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</si>
  <si>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</si>
  <si>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</si>
  <si>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</si>
  <si>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</si>
  <si>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</si>
  <si>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</si>
  <si>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</si>
  <si>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</si>
  <si>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</si>
  <si>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</si>
  <si>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</si>
  <si>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</si>
  <si>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</si>
  <si>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</si>
  <si>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</si>
  <si>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</si>
  <si>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</si>
  <si>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</si>
  <si>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</si>
  <si>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</si>
  <si>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</si>
  <si>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</si>
  <si>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</si>
  <si>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</si>
  <si>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</si>
  <si>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</si>
  <si>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</si>
  <si>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</si>
  <si>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</si>
  <si>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</si>
  <si>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</si>
  <si>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</si>
  <si>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</si>
  <si>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</si>
  <si>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</si>
  <si>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</si>
  <si>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</si>
  <si>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</si>
  <si>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</si>
  <si>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</si>
  <si>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</si>
  <si>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</si>
  <si>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</si>
  <si>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</si>
  <si>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</si>
  <si>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</si>
  <si>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</si>
  <si>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</si>
  <si>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</si>
  <si>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</si>
  <si>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</si>
  <si>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</si>
  <si>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</si>
  <si>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</si>
  <si>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</si>
  <si>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</si>
  <si>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</si>
  <si>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</si>
  <si>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</si>
  <si>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</si>
  <si>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</si>
  <si>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</si>
  <si>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</si>
  <si>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</si>
  <si>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</si>
  <si>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</si>
  <si>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</si>
  <si>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</si>
  <si>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</si>
  <si>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</si>
  <si>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</si>
  <si>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</si>
  <si>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</si>
  <si>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</si>
  <si>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</si>
  <si>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</si>
  <si>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</si>
  <si>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</si>
  <si>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</si>
  <si>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</si>
  <si>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</si>
  <si>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</si>
  <si>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</si>
  <si>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</si>
  <si>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</si>
  <si>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</si>
  <si>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</si>
  <si>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</si>
  <si>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</si>
  <si>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</si>
  <si>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</si>
  <si>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</si>
  <si>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</si>
  <si>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</si>
  <si>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</si>
  <si>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</si>
  <si>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</si>
  <si>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</si>
  <si>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</si>
  <si>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</si>
  <si>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</si>
  <si>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</si>
  <si>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</si>
  <si>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</si>
  <si>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</si>
  <si>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</si>
  <si>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</si>
  <si>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</si>
  <si>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</si>
  <si>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</si>
  <si>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</si>
  <si>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</si>
  <si>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</si>
  <si>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</si>
  <si>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</si>
  <si>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</si>
  <si>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</si>
  <si>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</si>
  <si>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</si>
  <si>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</si>
  <si>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</si>
  <si>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</si>
  <si>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</si>
  <si>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</si>
  <si>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</si>
  <si>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</si>
  <si>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</si>
  <si>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</si>
  <si>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</si>
  <si>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</si>
  <si>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</si>
  <si>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</si>
  <si>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</si>
  <si>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</si>
  <si>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</si>
  <si>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</si>
  <si>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</si>
  <si>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</si>
  <si>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</si>
  <si>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</si>
  <si>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</si>
  <si>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</si>
  <si>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</si>
  <si>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</si>
  <si>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</si>
  <si>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</si>
  <si>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</si>
  <si>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</si>
  <si>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</si>
  <si>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</si>
  <si>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</si>
  <si>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</si>
  <si>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</si>
  <si>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</si>
  <si>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</si>
  <si>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</si>
  <si>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</si>
  <si>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</si>
  <si>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</si>
  <si>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</si>
  <si>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</si>
  <si>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</si>
  <si>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</si>
  <si>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</si>
  <si>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</si>
  <si>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</si>
  <si>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</si>
  <si>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</si>
  <si>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</si>
  <si>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</si>
  <si>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</si>
  <si>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</si>
  <si>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</si>
  <si>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</si>
  <si>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</si>
  <si>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</si>
  <si>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</si>
  <si>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</si>
  <si>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</si>
  <si>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</si>
  <si>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</si>
  <si>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</si>
  <si>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</si>
  <si>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</si>
  <si>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</si>
  <si>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</si>
  <si>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</si>
  <si>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</si>
  <si>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</si>
  <si>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</si>
  <si>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</si>
  <si>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</si>
  <si>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</si>
  <si>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</si>
  <si>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</si>
  <si>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</si>
  <si>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</si>
  <si>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</si>
  <si>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</si>
  <si>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</si>
  <si>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</si>
  <si>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</si>
  <si>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</si>
  <si>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</si>
  <si>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</si>
  <si>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</si>
  <si>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</si>
  <si>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</si>
  <si>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</si>
  <si>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</si>
  <si>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</si>
  <si>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</si>
  <si>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</si>
  <si>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</si>
  <si>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</si>
  <si>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</si>
  <si>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</si>
  <si>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</si>
  <si>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</si>
  <si>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</si>
  <si>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</si>
  <si>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</si>
  <si>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</si>
  <si>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</si>
  <si>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</si>
  <si>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</si>
  <si>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</si>
  <si>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</si>
  <si>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</si>
  <si>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</si>
  <si>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</si>
  <si>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</si>
  <si>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</si>
  <si>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</si>
  <si>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</si>
  <si>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</si>
  <si>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</si>
  <si>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</si>
  <si>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</si>
  <si>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</si>
  <si>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</si>
  <si>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</si>
  <si>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</si>
  <si>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</si>
  <si>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</si>
  <si>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</si>
  <si>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</si>
  <si>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</si>
  <si>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</si>
  <si>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</si>
  <si>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</si>
  <si>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</si>
  <si>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</si>
  <si>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</si>
  <si>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</si>
  <si>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</si>
  <si>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</si>
  <si>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</si>
  <si>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</si>
  <si>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</si>
  <si>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</si>
  <si>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</si>
  <si>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</si>
  <si>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</si>
  <si>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</si>
  <si>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</si>
  <si>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</si>
  <si>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</si>
  <si>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</si>
  <si>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</si>
  <si>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</si>
  <si>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</si>
  <si>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</si>
  <si>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</si>
  <si>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</si>
  <si>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</si>
  <si>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</si>
  <si>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</si>
  <si>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</si>
  <si>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</si>
  <si>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</si>
  <si>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</si>
  <si>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</si>
  <si>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</si>
  <si>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</si>
  <si>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</si>
  <si>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</si>
  <si>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</si>
  <si>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</si>
  <si>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</si>
  <si>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</si>
  <si>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</si>
  <si>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</si>
  <si>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</si>
  <si>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</si>
  <si>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</si>
  <si>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</si>
  <si>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</si>
  <si>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</si>
  <si>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</si>
  <si>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</si>
  <si>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</si>
  <si>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</si>
  <si>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</si>
  <si>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</si>
  <si>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</si>
  <si>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</si>
  <si>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</si>
  <si>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</si>
  <si>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</si>
  <si>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</si>
  <si>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</si>
  <si>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</si>
  <si>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</si>
  <si>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</si>
  <si>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</si>
  <si>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</si>
  <si>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</si>
  <si>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</si>
  <si>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</si>
  <si>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</si>
  <si>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</si>
  <si>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</si>
  <si>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</si>
  <si>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</si>
  <si>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</si>
  <si>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</si>
  <si>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</si>
  <si>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</si>
  <si>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</si>
  <si>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</si>
  <si>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</si>
  <si>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</si>
  <si>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</si>
  <si>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</si>
  <si>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</si>
  <si>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</si>
  <si>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</si>
  <si>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</si>
  <si>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</si>
  <si>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</si>
  <si>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</si>
  <si>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</si>
  <si>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</si>
  <si>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</si>
  <si>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</si>
  <si>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</si>
  <si>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</si>
  <si>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</si>
  <si>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</si>
  <si>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</si>
  <si>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</si>
  <si>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</si>
  <si>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</si>
  <si>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</si>
  <si>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</si>
  <si>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</si>
  <si>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</si>
  <si>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</si>
  <si>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</si>
  <si>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</si>
  <si>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</si>
  <si>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</si>
  <si>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</si>
  <si>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</si>
  <si>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</si>
  <si>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</si>
  <si>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</si>
  <si>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</si>
  <si>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</si>
  <si>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</si>
  <si>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</si>
  <si>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</si>
  <si>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t>
  </si>
  <si>
    <t xml:space="preserve">109</t>
  </si>
  <si>
    <t xml:space="preserve">[unstamped, between ff.72-74]</t>
  </si>
  <si>
    <t xml:space="preserve">"A Plan of the Bull Premises Coventry. Survey'd Sept. 5th 1792 by W. Baylis." [2 acres 3 roods 5 perches, High Street / Warwick Road; signed by Col. DeLancey]</t>
  </si>
  <si>
    <t xml:space="preserve">5 Sept 1792</t>
  </si>
  <si>
    <t xml:space="preserve">1792-09-05</t>
  </si>
  <si>
    <t xml:space="preserve">Col. Oliver DeLancey (Barrack-Master)</t>
  </si>
  <si>
    <t xml:space="preserve">Unclear (filed in HO 42)</t>
  </si>
  <si>
    <t xml:space="preserve">Site plan for barracks at Coventry (Bull Inn premises) - part of 1792 programme (cf. HO42-0038 to 0041). Coventry had requested a regiment in July 1791 (HO42-0023). No covering letter found - CHECK neighbouring folios in later 21_ files.</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</si>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</sst>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24</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7</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44</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7</v>
      </c>
    </row>
    <row r="16" customFormat="false" ht="15" hidden="false" customHeight="true" outlineLevel="0" collapsed="false">
      <c r="A16" s="4" t="s">
        <v>14</v>
      </c>
      <c r="B16" s="4" t="n">
        <f aca="false">COUNTIFS(Events!$C$2:$C$1000,"Request for troops",Events!$Y$2:$Y$1000,A16)</f>
        <v>11</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24</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14</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44</v>
      </c>
    </row>
    <row r="38" customFormat="false" ht="15" hidden="false" customHeight="true" outlineLevel="0" collapsed="false">
      <c r="A38" s="3" t="s">
        <v>19</v>
      </c>
      <c r="B38" s="4" t="n">
        <f aca="false">SUMPRODUCT((Events!$B$2:$B$1000&lt;&gt;"")/COUNTIF(Events!$B$2:$B$1000,Events!$B$2:$B$1000&amp;""))</f>
        <v>37</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c r="AB43" s="6"/>
      <c r="AC43" s="6"/>
      <c r="AD43" s="6"/>
      <c r="AE43" s="6"/>
      <c r="AF43" s="6"/>
      <c r="AG43" s="6"/>
      <c r="AH43" s="6"/>
      <c r="AI43" s="6" t="s">
        <v>574</v>
      </c>
    </row>
    <row r="44" customFormat="false" ht="15" hidden="false" customHeight="true" outlineLevel="0" collapsed="false">
      <c r="A44" s="6" t="s">
        <v>575</v>
      </c>
      <c r="B44" s="6" t="s">
        <v>576</v>
      </c>
      <c r="C44" s="7" t="s">
        <v>4</v>
      </c>
      <c r="D44" s="6" t="s">
        <v>55</v>
      </c>
      <c r="E44" s="6" t="s">
        <v>565</v>
      </c>
      <c r="F44" s="6" t="s">
        <v>577</v>
      </c>
      <c r="G44" s="6" t="s">
        <v>578</v>
      </c>
      <c r="H44" s="6" t="s">
        <v>579</v>
      </c>
      <c r="I44" s="6" t="s">
        <v>274</v>
      </c>
      <c r="J44" s="6"/>
      <c r="K44" s="6" t="s">
        <v>60</v>
      </c>
      <c r="L44" s="6" t="s">
        <v>61</v>
      </c>
      <c r="M44" s="6" t="s">
        <v>580</v>
      </c>
      <c r="N44" s="6" t="s">
        <v>581</v>
      </c>
      <c r="O44" s="8" t="s">
        <v>582</v>
      </c>
      <c r="P44" s="6" t="n">
        <f aca="false">IF(O44="","",VALUE(LEFT(O44,4)))</f>
        <v>1792</v>
      </c>
      <c r="Q44" s="6" t="s">
        <v>583</v>
      </c>
      <c r="R44" s="6" t="s">
        <v>583</v>
      </c>
      <c r="S44" s="6" t="s">
        <v>67</v>
      </c>
      <c r="T44" s="6" t="s">
        <v>584</v>
      </c>
      <c r="U44" s="6" t="s">
        <v>254</v>
      </c>
      <c r="V44" s="6" t="s">
        <v>585</v>
      </c>
      <c r="W44" s="6" t="str">
        <f aca="false">IF(O44="","",INDEX(Lookups!$B$2:$B$44,MATCH(O44,Lookups!$A$2:$A$44,1)))</f>
        <v>Dundas</v>
      </c>
      <c r="X44" s="6" t="s">
        <v>206</v>
      </c>
      <c r="Y44" s="6" t="s">
        <v>14</v>
      </c>
      <c r="Z44" s="6" t="s">
        <v>72</v>
      </c>
      <c r="AA44" s="6" t="s">
        <v>586</v>
      </c>
      <c r="AB44" s="6" t="s">
        <v>88</v>
      </c>
      <c r="AC44" s="6" t="s">
        <v>587</v>
      </c>
      <c r="AD44" s="6" t="s">
        <v>106</v>
      </c>
      <c r="AE44" s="6"/>
      <c r="AF44" s="6"/>
      <c r="AG44" s="6"/>
      <c r="AH44" s="6" t="s">
        <v>9</v>
      </c>
      <c r="AI44" s="6" t="s">
        <v>588</v>
      </c>
    </row>
    <row r="45" customFormat="false" ht="15" hidden="false" customHeight="true" outlineLevel="0" collapsed="false">
      <c r="A45" s="6" t="s">
        <v>589</v>
      </c>
      <c r="B45" s="6" t="s">
        <v>576</v>
      </c>
      <c r="C45" s="12" t="s">
        <v>9</v>
      </c>
      <c r="D45" s="6" t="s">
        <v>55</v>
      </c>
      <c r="E45" s="6" t="s">
        <v>565</v>
      </c>
      <c r="F45" s="6" t="s">
        <v>577</v>
      </c>
      <c r="G45" s="6" t="s">
        <v>590</v>
      </c>
      <c r="H45" s="6" t="s">
        <v>591</v>
      </c>
      <c r="I45" s="6" t="s">
        <v>274</v>
      </c>
      <c r="J45" s="6"/>
      <c r="K45" s="6" t="s">
        <v>60</v>
      </c>
      <c r="L45" s="6" t="s">
        <v>61</v>
      </c>
      <c r="M45" s="6" t="s">
        <v>592</v>
      </c>
      <c r="N45" s="6" t="s">
        <v>593</v>
      </c>
      <c r="O45" s="8" t="s">
        <v>594</v>
      </c>
      <c r="P45" s="6" t="n">
        <f aca="false">IF(O45="","",VALUE(LEFT(O45,4)))</f>
        <v>1792</v>
      </c>
      <c r="Q45" s="6" t="s">
        <v>595</v>
      </c>
      <c r="R45" s="6" t="s">
        <v>369</v>
      </c>
      <c r="S45" s="6" t="s">
        <v>370</v>
      </c>
      <c r="T45" s="6" t="s">
        <v>596</v>
      </c>
      <c r="U45" s="6" t="s">
        <v>217</v>
      </c>
      <c r="V45" s="6" t="s">
        <v>597</v>
      </c>
      <c r="W45" s="6" t="str">
        <f aca="false">IF(O45="","",INDEX(Lookups!$B$2:$B$45,MATCH(O45,Lookups!$A$2:$A$45,1)))</f>
        <v>Dundas</v>
      </c>
      <c r="X45" s="6" t="s">
        <v>206</v>
      </c>
      <c r="Y45" s="6" t="s">
        <v>16</v>
      </c>
      <c r="Z45" s="6" t="s">
        <v>88</v>
      </c>
      <c r="AA45" s="6"/>
      <c r="AB45" s="6"/>
      <c r="AC45" s="6"/>
      <c r="AD45" s="6"/>
      <c r="AE45" s="6"/>
      <c r="AF45" s="6"/>
      <c r="AG45" s="6"/>
      <c r="AH45" s="6"/>
      <c r="AI45" s="6" t="s">
        <v>598</v>
      </c>
    </row>
    <row r="46" customFormat="false" ht="15" hidden="false" customHeight="true" outlineLevel="0" collapsed="false">
      <c r="O46" s="13"/>
    </row>
    <row r="47" customFormat="false" ht="15" hidden="false" customHeight="true" outlineLevel="0" collapsed="false">
      <c r="O47" s="13"/>
    </row>
    <row r="48" customFormat="false" ht="15" hidden="false" customHeight="true" outlineLevel="0" collapsed="false">
      <c r="O48" s="13"/>
    </row>
    <row r="49" customFormat="false" ht="15" hidden="false" customHeight="true" outlineLevel="0" collapsed="false">
      <c r="O49" s="13"/>
    </row>
    <row r="50" customFormat="false" ht="15" hidden="false" customHeight="true" outlineLevel="0" collapsed="false">
      <c r="O50" s="13"/>
    </row>
    <row r="51" customFormat="false" ht="15" hidden="false" customHeight="true" outlineLevel="0" collapsed="false">
      <c r="O51" s="13"/>
    </row>
    <row r="52" customFormat="false" ht="15" hidden="false" customHeight="true" outlineLevel="0" collapsed="false">
      <c r="O52" s="13"/>
    </row>
    <row r="53" customFormat="false" ht="15" hidden="false" customHeight="true" outlineLevel="0" collapsed="false">
      <c r="O53" s="13"/>
    </row>
    <row r="54" customFormat="false" ht="15" hidden="false" customHeight="true" outlineLevel="0" collapsed="false">
      <c r="O54" s="13"/>
    </row>
    <row r="55" customFormat="false" ht="15" hidden="false" customHeight="true" outlineLevel="0" collapsed="false">
      <c r="O55" s="13"/>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45"/>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599</v>
      </c>
      <c r="B1" s="5" t="s">
        <v>2</v>
      </c>
      <c r="C1" s="5" t="s">
        <v>600</v>
      </c>
      <c r="D1" s="5" t="s">
        <v>37</v>
      </c>
      <c r="E1" s="5" t="s">
        <v>34</v>
      </c>
      <c r="F1" s="5" t="s">
        <v>601</v>
      </c>
      <c r="G1" s="5" t="s">
        <v>602</v>
      </c>
      <c r="H1" s="5" t="s">
        <v>603</v>
      </c>
      <c r="I1" s="5" t="s">
        <v>604</v>
      </c>
      <c r="J1" s="5" t="s">
        <v>605</v>
      </c>
      <c r="K1" s="5" t="s">
        <v>606</v>
      </c>
    </row>
    <row r="2" customFormat="false" ht="57" hidden="false" customHeight="true" outlineLevel="0" collapsed="false">
      <c r="A2" s="6" t="s">
        <v>607</v>
      </c>
      <c r="B2" s="6" t="s">
        <v>4</v>
      </c>
      <c r="C2" s="6" t="s">
        <v>608</v>
      </c>
      <c r="D2" s="6" t="s">
        <v>609</v>
      </c>
      <c r="E2" s="8" t="s">
        <v>610</v>
      </c>
      <c r="F2" s="6" t="s">
        <v>611</v>
      </c>
      <c r="G2" s="6" t="s">
        <v>612</v>
      </c>
      <c r="H2" s="6" t="s">
        <v>613</v>
      </c>
      <c r="I2" s="6" t="s">
        <v>55</v>
      </c>
      <c r="J2" s="6" t="s">
        <v>614</v>
      </c>
      <c r="K2" s="6" t="s">
        <v>615</v>
      </c>
    </row>
    <row r="3" customFormat="false" ht="23.25" hidden="false" customHeight="true" outlineLevel="0" collapsed="false">
      <c r="A3" s="6" t="s">
        <v>616</v>
      </c>
      <c r="B3" s="6" t="s">
        <v>4</v>
      </c>
      <c r="C3" s="6" t="s">
        <v>617</v>
      </c>
      <c r="D3" s="6" t="s">
        <v>609</v>
      </c>
      <c r="E3" s="8" t="s">
        <v>618</v>
      </c>
      <c r="F3" s="6" t="s">
        <v>619</v>
      </c>
      <c r="G3" s="6" t="s">
        <v>620</v>
      </c>
      <c r="H3" s="6" t="s">
        <v>621</v>
      </c>
      <c r="I3" s="6" t="s">
        <v>55</v>
      </c>
      <c r="J3" s="6" t="s">
        <v>614</v>
      </c>
      <c r="K3" s="6" t="s">
        <v>622</v>
      </c>
    </row>
    <row r="4" customFormat="false" ht="23.25" hidden="false" customHeight="true" outlineLevel="0" collapsed="false">
      <c r="A4" s="6" t="s">
        <v>623</v>
      </c>
      <c r="B4" s="6" t="s">
        <v>4</v>
      </c>
      <c r="C4" s="6" t="s">
        <v>184</v>
      </c>
      <c r="D4" s="6" t="s">
        <v>185</v>
      </c>
      <c r="E4" s="8" t="s">
        <v>624</v>
      </c>
      <c r="F4" s="6" t="s">
        <v>625</v>
      </c>
      <c r="G4" s="6" t="s">
        <v>626</v>
      </c>
      <c r="H4" s="6" t="s">
        <v>627</v>
      </c>
      <c r="I4" s="6" t="s">
        <v>55</v>
      </c>
      <c r="J4" s="6" t="s">
        <v>628</v>
      </c>
      <c r="K4" s="6" t="s">
        <v>629</v>
      </c>
    </row>
    <row r="5" customFormat="false" ht="34.5" hidden="false" customHeight="true" outlineLevel="0" collapsed="false">
      <c r="A5" s="6" t="s">
        <v>630</v>
      </c>
      <c r="B5" s="6" t="s">
        <v>9</v>
      </c>
      <c r="C5" s="6" t="s">
        <v>631</v>
      </c>
      <c r="D5" s="6" t="s">
        <v>632</v>
      </c>
      <c r="E5" s="8" t="s">
        <v>633</v>
      </c>
      <c r="F5" s="6" t="s">
        <v>634</v>
      </c>
      <c r="G5" s="6" t="s">
        <v>635</v>
      </c>
      <c r="H5" s="6" t="s">
        <v>627</v>
      </c>
      <c r="I5" s="6" t="s">
        <v>55</v>
      </c>
      <c r="J5" s="6" t="s">
        <v>636</v>
      </c>
      <c r="K5" s="6" t="s">
        <v>637</v>
      </c>
    </row>
    <row r="6" customFormat="false" ht="23.25" hidden="false" customHeight="true" outlineLevel="0" collapsed="false">
      <c r="A6" s="6" t="s">
        <v>638</v>
      </c>
      <c r="B6" s="6" t="s">
        <v>6</v>
      </c>
      <c r="C6" s="6" t="s">
        <v>639</v>
      </c>
      <c r="D6" s="6" t="s">
        <v>609</v>
      </c>
      <c r="E6" s="8" t="s">
        <v>618</v>
      </c>
      <c r="F6" s="6" t="s">
        <v>640</v>
      </c>
      <c r="G6" s="6" t="s">
        <v>641</v>
      </c>
      <c r="H6" s="6" t="s">
        <v>621</v>
      </c>
      <c r="I6" s="6" t="s">
        <v>55</v>
      </c>
      <c r="J6" s="6" t="s">
        <v>628</v>
      </c>
      <c r="K6" s="6"/>
    </row>
    <row r="7" customFormat="false" ht="34.5" hidden="false" customHeight="true" outlineLevel="0" collapsed="false">
      <c r="A7" s="6" t="s">
        <v>642</v>
      </c>
      <c r="B7" s="6" t="s">
        <v>6</v>
      </c>
      <c r="C7" s="6" t="s">
        <v>643</v>
      </c>
      <c r="D7" s="6" t="s">
        <v>252</v>
      </c>
      <c r="E7" s="8" t="s">
        <v>644</v>
      </c>
      <c r="F7" s="6" t="s">
        <v>645</v>
      </c>
      <c r="G7" s="6" t="s">
        <v>646</v>
      </c>
      <c r="H7" s="6" t="s">
        <v>621</v>
      </c>
      <c r="I7" s="6" t="s">
        <v>55</v>
      </c>
      <c r="J7" s="6" t="s">
        <v>628</v>
      </c>
      <c r="K7" s="6" t="s">
        <v>647</v>
      </c>
    </row>
    <row r="8" customFormat="false" ht="23.25" hidden="false" customHeight="true" outlineLevel="0" collapsed="false">
      <c r="A8" s="6" t="s">
        <v>648</v>
      </c>
      <c r="B8" s="6" t="s">
        <v>4</v>
      </c>
      <c r="C8" s="6" t="s">
        <v>649</v>
      </c>
      <c r="D8" s="6" t="s">
        <v>650</v>
      </c>
      <c r="E8" s="8" t="s">
        <v>651</v>
      </c>
      <c r="F8" s="6" t="s">
        <v>652</v>
      </c>
      <c r="G8" s="6" t="s">
        <v>653</v>
      </c>
      <c r="H8" s="6" t="s">
        <v>621</v>
      </c>
      <c r="I8" s="6" t="s">
        <v>55</v>
      </c>
      <c r="J8" s="6" t="s">
        <v>614</v>
      </c>
      <c r="K8" s="6" t="s">
        <v>654</v>
      </c>
    </row>
    <row r="9" customFormat="false" ht="23.25" hidden="false" customHeight="true" outlineLevel="0" collapsed="false">
      <c r="A9" s="6" t="s">
        <v>655</v>
      </c>
      <c r="B9" s="6" t="s">
        <v>4</v>
      </c>
      <c r="C9" s="6" t="s">
        <v>656</v>
      </c>
      <c r="D9" s="6" t="s">
        <v>172</v>
      </c>
      <c r="E9" s="8" t="s">
        <v>657</v>
      </c>
      <c r="F9" s="6" t="s">
        <v>658</v>
      </c>
      <c r="G9" s="6" t="s">
        <v>659</v>
      </c>
      <c r="H9" s="6" t="s">
        <v>621</v>
      </c>
      <c r="I9" s="6" t="s">
        <v>55</v>
      </c>
      <c r="J9" s="6" t="s">
        <v>614</v>
      </c>
      <c r="K9" s="6"/>
    </row>
    <row r="10" customFormat="false" ht="23.25" hidden="false" customHeight="true" outlineLevel="0" collapsed="false">
      <c r="A10" s="6" t="s">
        <v>660</v>
      </c>
      <c r="B10" s="6" t="s">
        <v>9</v>
      </c>
      <c r="C10" s="6" t="s">
        <v>195</v>
      </c>
      <c r="D10" s="6" t="s">
        <v>196</v>
      </c>
      <c r="E10" s="8" t="s">
        <v>661</v>
      </c>
      <c r="F10" s="6" t="s">
        <v>662</v>
      </c>
      <c r="G10" s="6" t="s">
        <v>663</v>
      </c>
      <c r="H10" s="6" t="s">
        <v>621</v>
      </c>
      <c r="I10" s="6" t="s">
        <v>55</v>
      </c>
      <c r="J10" s="6" t="s">
        <v>628</v>
      </c>
      <c r="K10" s="6" t="s">
        <v>664</v>
      </c>
    </row>
    <row r="11" customFormat="false" ht="34.5" hidden="false" customHeight="true" outlineLevel="0" collapsed="false">
      <c r="A11" s="6" t="s">
        <v>665</v>
      </c>
      <c r="B11" s="6" t="s">
        <v>5</v>
      </c>
      <c r="C11" s="6" t="s">
        <v>666</v>
      </c>
      <c r="D11" s="6" t="s">
        <v>667</v>
      </c>
      <c r="E11" s="8" t="s">
        <v>668</v>
      </c>
      <c r="F11" s="6" t="s">
        <v>669</v>
      </c>
      <c r="G11" s="6" t="s">
        <v>670</v>
      </c>
      <c r="H11" s="6" t="s">
        <v>621</v>
      </c>
      <c r="I11" s="6" t="s">
        <v>55</v>
      </c>
      <c r="J11" s="6" t="s">
        <v>628</v>
      </c>
      <c r="K11" s="6" t="s">
        <v>671</v>
      </c>
    </row>
    <row r="12" customFormat="false" ht="23.25" hidden="false" customHeight="true" outlineLevel="0" collapsed="false">
      <c r="A12" s="6" t="s">
        <v>672</v>
      </c>
      <c r="B12" s="6" t="s">
        <v>5</v>
      </c>
      <c r="C12" s="6" t="s">
        <v>673</v>
      </c>
      <c r="D12" s="6" t="s">
        <v>252</v>
      </c>
      <c r="E12" s="8" t="s">
        <v>674</v>
      </c>
      <c r="F12" s="6" t="s">
        <v>675</v>
      </c>
      <c r="G12" s="6" t="s">
        <v>676</v>
      </c>
      <c r="H12" s="6" t="s">
        <v>621</v>
      </c>
      <c r="I12" s="6" t="s">
        <v>55</v>
      </c>
      <c r="J12" s="6" t="s">
        <v>628</v>
      </c>
      <c r="K12" s="6" t="s">
        <v>677</v>
      </c>
    </row>
    <row r="13" customFormat="false" ht="23.25" hidden="false" customHeight="true" outlineLevel="0" collapsed="false">
      <c r="A13" s="6" t="s">
        <v>678</v>
      </c>
      <c r="B13" s="6" t="s">
        <v>6</v>
      </c>
      <c r="C13" s="6" t="s">
        <v>679</v>
      </c>
      <c r="D13" s="6" t="s">
        <v>680</v>
      </c>
      <c r="E13" s="8" t="s">
        <v>681</v>
      </c>
      <c r="F13" s="6" t="s">
        <v>682</v>
      </c>
      <c r="G13" s="6" t="s">
        <v>683</v>
      </c>
      <c r="H13" s="6" t="s">
        <v>621</v>
      </c>
      <c r="I13" s="6" t="s">
        <v>55</v>
      </c>
      <c r="J13" s="6" t="s">
        <v>636</v>
      </c>
      <c r="K13" s="6" t="s">
        <v>684</v>
      </c>
    </row>
    <row r="14" customFormat="false" ht="23.25" hidden="false" customHeight="true" outlineLevel="0" collapsed="false">
      <c r="A14" s="6" t="s">
        <v>685</v>
      </c>
      <c r="B14" s="6" t="s">
        <v>6</v>
      </c>
      <c r="C14" s="6" t="s">
        <v>686</v>
      </c>
      <c r="D14" s="6" t="s">
        <v>185</v>
      </c>
      <c r="E14" s="8" t="s">
        <v>687</v>
      </c>
      <c r="F14" s="6" t="s">
        <v>688</v>
      </c>
      <c r="G14" s="6" t="s">
        <v>689</v>
      </c>
      <c r="H14" s="6" t="s">
        <v>621</v>
      </c>
      <c r="I14" s="6" t="s">
        <v>55</v>
      </c>
      <c r="J14" s="6" t="s">
        <v>636</v>
      </c>
      <c r="K14" s="6" t="s">
        <v>690</v>
      </c>
    </row>
    <row r="15" customFormat="false" ht="34.5" hidden="false" customHeight="true" outlineLevel="0" collapsed="false">
      <c r="A15" s="6" t="s">
        <v>691</v>
      </c>
      <c r="B15" s="6" t="s">
        <v>9</v>
      </c>
      <c r="C15" s="6" t="s">
        <v>692</v>
      </c>
      <c r="D15" s="6" t="s">
        <v>693</v>
      </c>
      <c r="E15" s="8" t="s">
        <v>694</v>
      </c>
      <c r="F15" s="6" t="s">
        <v>695</v>
      </c>
      <c r="G15" s="6" t="s">
        <v>696</v>
      </c>
      <c r="H15" s="6" t="s">
        <v>621</v>
      </c>
      <c r="I15" s="6" t="s">
        <v>55</v>
      </c>
      <c r="J15" s="6" t="s">
        <v>628</v>
      </c>
      <c r="K15" s="6" t="s">
        <v>697</v>
      </c>
    </row>
    <row r="16" customFormat="false" ht="34.5" hidden="false" customHeight="true" outlineLevel="0" collapsed="false">
      <c r="A16" s="6" t="s">
        <v>698</v>
      </c>
      <c r="B16" s="6" t="s">
        <v>9</v>
      </c>
      <c r="C16" s="6" t="s">
        <v>692</v>
      </c>
      <c r="D16" s="6" t="s">
        <v>693</v>
      </c>
      <c r="E16" s="8" t="s">
        <v>699</v>
      </c>
      <c r="F16" s="6" t="s">
        <v>700</v>
      </c>
      <c r="G16" s="6" t="s">
        <v>701</v>
      </c>
      <c r="H16" s="6" t="s">
        <v>621</v>
      </c>
      <c r="I16" s="6" t="s">
        <v>55</v>
      </c>
      <c r="J16" s="6" t="s">
        <v>628</v>
      </c>
      <c r="K16" s="6" t="s">
        <v>702</v>
      </c>
    </row>
    <row r="17" customFormat="false" ht="34.5" hidden="false" customHeight="true" outlineLevel="0" collapsed="false">
      <c r="A17" s="6" t="s">
        <v>703</v>
      </c>
      <c r="B17" s="6" t="s">
        <v>4</v>
      </c>
      <c r="C17" s="6" t="s">
        <v>227</v>
      </c>
      <c r="D17" s="6" t="s">
        <v>228</v>
      </c>
      <c r="E17" s="8" t="s">
        <v>704</v>
      </c>
      <c r="F17" s="6" t="s">
        <v>705</v>
      </c>
      <c r="G17" s="6" t="s">
        <v>706</v>
      </c>
      <c r="H17" s="6" t="s">
        <v>621</v>
      </c>
      <c r="I17" s="6" t="s">
        <v>55</v>
      </c>
      <c r="J17" s="6" t="s">
        <v>614</v>
      </c>
      <c r="K17" s="6" t="s">
        <v>707</v>
      </c>
    </row>
    <row r="18" customFormat="false" ht="45.75" hidden="false" customHeight="true" outlineLevel="0" collapsed="false">
      <c r="A18" s="6" t="s">
        <v>708</v>
      </c>
      <c r="B18" s="6" t="s">
        <v>4</v>
      </c>
      <c r="C18" s="6" t="s">
        <v>227</v>
      </c>
      <c r="D18" s="6" t="s">
        <v>241</v>
      </c>
      <c r="E18" s="8" t="s">
        <v>709</v>
      </c>
      <c r="F18" s="6" t="s">
        <v>710</v>
      </c>
      <c r="G18" s="6" t="s">
        <v>711</v>
      </c>
      <c r="H18" s="6" t="s">
        <v>621</v>
      </c>
      <c r="I18" s="6" t="s">
        <v>55</v>
      </c>
      <c r="J18" s="6" t="s">
        <v>628</v>
      </c>
      <c r="K18" s="6" t="s">
        <v>712</v>
      </c>
    </row>
    <row r="19" customFormat="false" ht="23.25" hidden="false" customHeight="true" outlineLevel="0" collapsed="false">
      <c r="A19" s="6" t="s">
        <v>713</v>
      </c>
      <c r="B19" s="6" t="s">
        <v>9</v>
      </c>
      <c r="C19" s="6" t="s">
        <v>714</v>
      </c>
      <c r="D19" s="6" t="s">
        <v>693</v>
      </c>
      <c r="E19" s="8" t="s">
        <v>715</v>
      </c>
      <c r="F19" s="6" t="s">
        <v>716</v>
      </c>
      <c r="G19" s="6" t="s">
        <v>717</v>
      </c>
      <c r="H19" s="6" t="s">
        <v>621</v>
      </c>
      <c r="I19" s="6" t="s">
        <v>55</v>
      </c>
      <c r="J19" s="6" t="s">
        <v>614</v>
      </c>
      <c r="K19" s="6" t="s">
        <v>718</v>
      </c>
    </row>
    <row r="20" customFormat="false" ht="34.5" hidden="false" customHeight="true" outlineLevel="0" collapsed="false">
      <c r="A20" s="6" t="s">
        <v>719</v>
      </c>
      <c r="B20" s="6" t="s">
        <v>9</v>
      </c>
      <c r="C20" s="6" t="s">
        <v>656</v>
      </c>
      <c r="D20" s="6" t="s">
        <v>172</v>
      </c>
      <c r="E20" s="8" t="s">
        <v>720</v>
      </c>
      <c r="F20" s="6" t="s">
        <v>721</v>
      </c>
      <c r="G20" s="6" t="s">
        <v>722</v>
      </c>
      <c r="H20" s="6" t="s">
        <v>723</v>
      </c>
      <c r="I20" s="6" t="s">
        <v>724</v>
      </c>
      <c r="J20" s="6" t="s">
        <v>628</v>
      </c>
      <c r="K20" s="6" t="s">
        <v>725</v>
      </c>
    </row>
    <row r="21" customFormat="false" ht="45.75" hidden="false" customHeight="true" outlineLevel="0" collapsed="false">
      <c r="A21" s="6" t="s">
        <v>726</v>
      </c>
      <c r="B21" s="6" t="s">
        <v>9</v>
      </c>
      <c r="C21" s="6" t="s">
        <v>727</v>
      </c>
      <c r="D21" s="6" t="s">
        <v>728</v>
      </c>
      <c r="E21" s="8" t="s">
        <v>729</v>
      </c>
      <c r="F21" s="6" t="s">
        <v>730</v>
      </c>
      <c r="G21" s="6" t="s">
        <v>731</v>
      </c>
      <c r="H21" s="6" t="s">
        <v>723</v>
      </c>
      <c r="I21" s="6" t="s">
        <v>88</v>
      </c>
      <c r="J21" s="6" t="s">
        <v>636</v>
      </c>
      <c r="K21" s="6" t="s">
        <v>732</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733</v>
      </c>
      <c r="B1" s="15"/>
    </row>
    <row r="2" customFormat="false" ht="15" hidden="false" customHeight="true" outlineLevel="0" collapsed="false">
      <c r="A2" s="16"/>
      <c r="B2" s="15"/>
    </row>
    <row r="3" customFormat="false" ht="15" hidden="false" customHeight="true" outlineLevel="0" collapsed="false">
      <c r="A3" s="16" t="s">
        <v>734</v>
      </c>
      <c r="B3" s="15" t="s">
        <v>735</v>
      </c>
    </row>
    <row r="4" customFormat="false" ht="23.25" hidden="false" customHeight="true" outlineLevel="0" collapsed="false">
      <c r="A4" s="16" t="s">
        <v>605</v>
      </c>
      <c r="B4" s="15" t="s">
        <v>736</v>
      </c>
    </row>
    <row r="5" customFormat="false" ht="23.25" hidden="false" customHeight="true" outlineLevel="0" collapsed="false">
      <c r="A5" s="16" t="s">
        <v>737</v>
      </c>
      <c r="B5" s="15" t="s">
        <v>738</v>
      </c>
    </row>
    <row r="6" customFormat="false" ht="15" hidden="false" customHeight="true" outlineLevel="0" collapsed="false">
      <c r="A6" s="16" t="s">
        <v>739</v>
      </c>
      <c r="B6" s="15" t="s">
        <v>740</v>
      </c>
    </row>
    <row r="7" customFormat="false" ht="15" hidden="false" customHeight="true" outlineLevel="0" collapsed="false">
      <c r="A7" s="16"/>
      <c r="B7" s="15"/>
    </row>
    <row r="8" customFormat="false" ht="15" hidden="false" customHeight="true" outlineLevel="0" collapsed="false">
      <c r="A8" s="16" t="s">
        <v>741</v>
      </c>
      <c r="B8" s="15"/>
    </row>
    <row r="9" customFormat="false" ht="15" hidden="false" customHeight="true" outlineLevel="0" collapsed="false">
      <c r="A9" s="16" t="s">
        <v>4</v>
      </c>
      <c r="B9" s="15" t="s">
        <v>742</v>
      </c>
    </row>
    <row r="10" customFormat="false" ht="15" hidden="false" customHeight="true" outlineLevel="0" collapsed="false">
      <c r="A10" s="16" t="s">
        <v>5</v>
      </c>
      <c r="B10" s="15" t="s">
        <v>743</v>
      </c>
    </row>
    <row r="11" customFormat="false" ht="15" hidden="false" customHeight="true" outlineLevel="0" collapsed="false">
      <c r="A11" s="16" t="s">
        <v>6</v>
      </c>
      <c r="B11" s="15" t="s">
        <v>744</v>
      </c>
    </row>
    <row r="12" customFormat="false" ht="15" hidden="false" customHeight="true" outlineLevel="0" collapsed="false">
      <c r="A12" s="16" t="s">
        <v>7</v>
      </c>
      <c r="B12" s="15" t="s">
        <v>745</v>
      </c>
    </row>
    <row r="13" customFormat="false" ht="15" hidden="false" customHeight="true" outlineLevel="0" collapsed="false">
      <c r="A13" s="16" t="s">
        <v>8</v>
      </c>
      <c r="B13" s="15" t="s">
        <v>746</v>
      </c>
    </row>
    <row r="14" customFormat="false" ht="15" hidden="false" customHeight="true" outlineLevel="0" collapsed="false">
      <c r="A14" s="16"/>
      <c r="B14" s="15"/>
    </row>
    <row r="15" customFormat="false" ht="15" hidden="false" customHeight="true" outlineLevel="0" collapsed="false">
      <c r="A15" s="16" t="s">
        <v>747</v>
      </c>
      <c r="B15" s="15"/>
    </row>
    <row r="16" customFormat="false" ht="15" hidden="false" customHeight="true" outlineLevel="0" collapsed="false">
      <c r="A16" s="16" t="s">
        <v>748</v>
      </c>
      <c r="B16" s="15" t="s">
        <v>749</v>
      </c>
    </row>
    <row r="17" customFormat="false" ht="15" hidden="false" customHeight="true" outlineLevel="0" collapsed="false">
      <c r="A17" s="16" t="s">
        <v>750</v>
      </c>
      <c r="B17" s="15" t="s">
        <v>751</v>
      </c>
    </row>
    <row r="18" customFormat="false" ht="15" hidden="false" customHeight="true" outlineLevel="0" collapsed="false">
      <c r="A18" s="16" t="s">
        <v>752</v>
      </c>
      <c r="B18" s="15" t="s">
        <v>753</v>
      </c>
    </row>
    <row r="19" customFormat="false" ht="15" hidden="false" customHeight="true" outlineLevel="0" collapsed="false">
      <c r="A19" s="16" t="s">
        <v>754</v>
      </c>
      <c r="B19" s="15" t="s">
        <v>755</v>
      </c>
    </row>
    <row r="20" customFormat="false" ht="15" hidden="false" customHeight="true" outlineLevel="0" collapsed="false">
      <c r="A20" s="16" t="s">
        <v>756</v>
      </c>
      <c r="B20" s="15" t="s">
        <v>757</v>
      </c>
    </row>
    <row r="21" customFormat="false" ht="15" hidden="false" customHeight="true" outlineLevel="0" collapsed="false">
      <c r="A21" s="16" t="s">
        <v>758</v>
      </c>
      <c r="B21" s="15" t="s">
        <v>759</v>
      </c>
    </row>
    <row r="22" customFormat="false" ht="15" hidden="false" customHeight="true" outlineLevel="0" collapsed="false">
      <c r="A22" s="16" t="s">
        <v>760</v>
      </c>
      <c r="B22" s="15" t="s">
        <v>761</v>
      </c>
    </row>
    <row r="23" customFormat="false" ht="15" hidden="false" customHeight="true" outlineLevel="0" collapsed="false">
      <c r="A23" s="16"/>
      <c r="B23" s="15"/>
    </row>
    <row r="24" customFormat="false" ht="15" hidden="false" customHeight="true" outlineLevel="0" collapsed="false">
      <c r="A24" s="16" t="s">
        <v>762</v>
      </c>
      <c r="B24" s="15" t="s">
        <v>763</v>
      </c>
    </row>
    <row r="25" customFormat="false" ht="23.25" hidden="false" customHeight="true" outlineLevel="0" collapsed="false">
      <c r="A25" s="16" t="s">
        <v>764</v>
      </c>
      <c r="B25" s="15" t="s">
        <v>765</v>
      </c>
    </row>
    <row r="26" customFormat="false" ht="15" hidden="false" customHeight="true" outlineLevel="0" collapsed="false">
      <c r="A26" s="16" t="s">
        <v>766</v>
      </c>
      <c r="B26" s="15" t="s">
        <v>767</v>
      </c>
    </row>
    <row r="27" customFormat="false" ht="23.25" hidden="false" customHeight="true" outlineLevel="0" collapsed="false">
      <c r="A27" s="16" t="s">
        <v>768</v>
      </c>
      <c r="B27" s="15" t="s">
        <v>769</v>
      </c>
    </row>
    <row r="28" customFormat="false" ht="23.25" hidden="false" customHeight="true" outlineLevel="0" collapsed="false">
      <c r="A28" s="16" t="s">
        <v>770</v>
      </c>
      <c r="B28" s="15" t="s">
        <v>771</v>
      </c>
    </row>
    <row r="29" customFormat="false" ht="15" hidden="false" customHeight="true" outlineLevel="0" collapsed="false">
      <c r="A29" s="16"/>
      <c r="B29" s="15"/>
    </row>
    <row r="30" customFormat="false" ht="15" hidden="false" customHeight="true" outlineLevel="0" collapsed="false">
      <c r="A30" s="16" t="s">
        <v>772</v>
      </c>
      <c r="B30" s="15"/>
    </row>
    <row r="31" customFormat="false" ht="15" hidden="false" customHeight="true" outlineLevel="0" collapsed="false">
      <c r="A31" s="16" t="s">
        <v>773</v>
      </c>
      <c r="B31" s="15" t="s">
        <v>774</v>
      </c>
    </row>
    <row r="32" customFormat="false" ht="34.5" hidden="false" customHeight="true" outlineLevel="0" collapsed="false">
      <c r="A32" s="16" t="s">
        <v>775</v>
      </c>
      <c r="B32" s="15" t="s">
        <v>776</v>
      </c>
    </row>
    <row r="34" customFormat="false" ht="23.25" hidden="false" customHeight="true" outlineLevel="0" collapsed="false">
      <c r="A34" s="3" t="s">
        <v>777</v>
      </c>
      <c r="B34" s="15" t="s">
        <v>778</v>
      </c>
    </row>
    <row r="36" customFormat="false" ht="45.75" hidden="false" customHeight="true" outlineLevel="0" collapsed="false">
      <c r="A36" s="17" t="s">
        <v>779</v>
      </c>
      <c r="B36" s="15" t="s">
        <v>780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781</v>
      </c>
      <c r="B1" s="3" t="s">
        <v>782</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783</v>
      </c>
      <c r="B2" s="4" t="s">
        <v>784</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785</v>
      </c>
      <c r="B3" s="4" t="s">
        <v>786</v>
      </c>
      <c r="C3" s="4"/>
      <c r="D3" s="4" t="s">
        <v>5</v>
      </c>
      <c r="E3" s="4" t="s">
        <v>55</v>
      </c>
      <c r="F3" s="4" t="s">
        <v>787</v>
      </c>
      <c r="G3" s="4" t="s">
        <v>788</v>
      </c>
      <c r="H3" s="4" t="s">
        <v>116</v>
      </c>
      <c r="I3" s="4" t="s">
        <v>85</v>
      </c>
      <c r="J3" s="4" t="s">
        <v>206</v>
      </c>
      <c r="K3" s="4" t="s">
        <v>14</v>
      </c>
      <c r="L3" s="4" t="s">
        <v>55</v>
      </c>
      <c r="M3" s="4" t="s">
        <v>55</v>
      </c>
      <c r="N3" s="4" t="s">
        <v>434</v>
      </c>
      <c r="O3" s="4" t="s">
        <v>789</v>
      </c>
    </row>
    <row r="4" customFormat="false" ht="15" hidden="false" customHeight="true" outlineLevel="0" collapsed="false">
      <c r="A4" s="18" t="s">
        <v>790</v>
      </c>
      <c r="B4" s="4" t="s">
        <v>791</v>
      </c>
      <c r="C4" s="4"/>
      <c r="D4" s="4" t="s">
        <v>6</v>
      </c>
      <c r="E4" s="4"/>
      <c r="F4" s="4" t="s">
        <v>59</v>
      </c>
      <c r="G4" s="4" t="s">
        <v>792</v>
      </c>
      <c r="H4" s="4" t="s">
        <v>793</v>
      </c>
      <c r="I4" s="4" t="s">
        <v>794</v>
      </c>
      <c r="J4" s="4" t="s">
        <v>70</v>
      </c>
      <c r="K4" s="4" t="s">
        <v>15</v>
      </c>
      <c r="L4" s="4" t="s">
        <v>72</v>
      </c>
      <c r="M4" s="4" t="s">
        <v>141</v>
      </c>
      <c r="N4" s="4" t="s">
        <v>795</v>
      </c>
      <c r="O4" s="4" t="s">
        <v>9</v>
      </c>
    </row>
    <row r="5" customFormat="false" ht="15" hidden="false" customHeight="true" outlineLevel="0" collapsed="false">
      <c r="A5" s="18" t="s">
        <v>796</v>
      </c>
      <c r="B5" s="4" t="s">
        <v>797</v>
      </c>
      <c r="C5" s="4"/>
      <c r="D5" s="4" t="s">
        <v>7</v>
      </c>
      <c r="E5" s="4"/>
      <c r="F5" s="4"/>
      <c r="G5" s="4" t="s">
        <v>73</v>
      </c>
      <c r="H5" s="4" t="s">
        <v>798</v>
      </c>
      <c r="I5" s="4" t="s">
        <v>174</v>
      </c>
      <c r="J5" s="4" t="s">
        <v>87</v>
      </c>
      <c r="K5" s="4" t="s">
        <v>16</v>
      </c>
      <c r="L5" s="4"/>
      <c r="M5" s="4" t="s">
        <v>72</v>
      </c>
      <c r="N5" s="4" t="s">
        <v>90</v>
      </c>
      <c r="O5" s="4" t="s">
        <v>799</v>
      </c>
    </row>
    <row r="6" customFormat="false" ht="15" hidden="false" customHeight="true" outlineLevel="0" collapsed="false">
      <c r="A6" s="18" t="s">
        <v>800</v>
      </c>
      <c r="B6" s="4" t="s">
        <v>801</v>
      </c>
      <c r="C6" s="4"/>
      <c r="D6" s="4" t="s">
        <v>8</v>
      </c>
      <c r="E6" s="4"/>
      <c r="F6" s="4"/>
      <c r="G6" s="4"/>
      <c r="H6" s="4" t="s">
        <v>802</v>
      </c>
      <c r="I6" s="4" t="s">
        <v>139</v>
      </c>
      <c r="J6" s="4" t="s">
        <v>267</v>
      </c>
      <c r="K6" s="4"/>
      <c r="L6" s="4"/>
      <c r="M6" s="4"/>
      <c r="N6" s="4" t="s">
        <v>73</v>
      </c>
      <c r="O6" s="4"/>
    </row>
    <row r="7" customFormat="false" ht="15" hidden="false" customHeight="true" outlineLevel="0" collapsed="false">
      <c r="A7" s="18" t="s">
        <v>803</v>
      </c>
      <c r="B7" s="4" t="s">
        <v>804</v>
      </c>
      <c r="C7" s="4"/>
      <c r="D7" s="4" t="s">
        <v>9</v>
      </c>
      <c r="E7" s="4"/>
      <c r="F7" s="4"/>
      <c r="G7" s="4"/>
      <c r="H7" s="4"/>
      <c r="I7" s="4" t="s">
        <v>187</v>
      </c>
      <c r="J7" s="4" t="s">
        <v>231</v>
      </c>
      <c r="K7" s="4"/>
      <c r="L7" s="4"/>
      <c r="M7" s="4"/>
      <c r="N7" s="4" t="s">
        <v>805</v>
      </c>
      <c r="O7" s="4"/>
    </row>
    <row r="8" customFormat="false" ht="15" hidden="false" customHeight="true" outlineLevel="0" collapsed="false">
      <c r="A8" s="18" t="s">
        <v>806</v>
      </c>
      <c r="B8" s="4" t="s">
        <v>807</v>
      </c>
      <c r="C8" s="4"/>
      <c r="D8" s="4"/>
      <c r="E8" s="4"/>
      <c r="F8" s="4"/>
      <c r="G8" s="4"/>
      <c r="H8" s="4"/>
      <c r="I8" s="4" t="s">
        <v>279</v>
      </c>
      <c r="J8" s="4" t="s">
        <v>808</v>
      </c>
      <c r="K8" s="4"/>
      <c r="L8" s="4"/>
      <c r="M8" s="4"/>
      <c r="N8" s="4"/>
      <c r="O8" s="4"/>
    </row>
    <row r="9" customFormat="false" ht="15" hidden="false" customHeight="true" outlineLevel="0" collapsed="false">
      <c r="A9" s="18" t="s">
        <v>809</v>
      </c>
      <c r="B9" s="4" t="s">
        <v>804</v>
      </c>
      <c r="C9" s="4"/>
      <c r="D9" s="4"/>
      <c r="E9" s="4"/>
      <c r="F9" s="4"/>
      <c r="G9" s="4"/>
      <c r="H9" s="4"/>
      <c r="I9" s="4" t="s">
        <v>254</v>
      </c>
      <c r="J9" s="4" t="s">
        <v>124</v>
      </c>
      <c r="K9" s="4"/>
      <c r="L9" s="4"/>
      <c r="M9" s="4"/>
      <c r="N9" s="4"/>
      <c r="O9" s="4"/>
    </row>
    <row r="10" customFormat="false" ht="15" hidden="false" customHeight="true" outlineLevel="0" collapsed="false">
      <c r="A10" s="18" t="s">
        <v>810</v>
      </c>
      <c r="B10" s="4" t="s">
        <v>811</v>
      </c>
      <c r="C10" s="4"/>
      <c r="D10" s="4"/>
      <c r="E10" s="4"/>
      <c r="F10" s="4"/>
      <c r="G10" s="4"/>
      <c r="H10" s="4"/>
      <c r="I10" s="4" t="s">
        <v>217</v>
      </c>
      <c r="J10" s="4" t="s">
        <v>395</v>
      </c>
      <c r="K10" s="4"/>
      <c r="L10" s="4"/>
      <c r="M10" s="4"/>
      <c r="N10" s="4"/>
      <c r="O10" s="4"/>
    </row>
    <row r="11" customFormat="false" ht="15" hidden="false" customHeight="true" outlineLevel="0" collapsed="false">
      <c r="A11" s="18" t="s">
        <v>812</v>
      </c>
      <c r="B11" s="4" t="s">
        <v>813</v>
      </c>
      <c r="C11" s="4"/>
      <c r="D11" s="4"/>
      <c r="E11" s="4"/>
      <c r="F11" s="4"/>
      <c r="G11" s="4"/>
      <c r="H11" s="4"/>
      <c r="I11" s="4"/>
      <c r="J11" s="4" t="s">
        <v>140</v>
      </c>
      <c r="K11" s="4"/>
      <c r="L11" s="4"/>
      <c r="M11" s="4"/>
      <c r="N11" s="4"/>
      <c r="O11" s="4"/>
    </row>
    <row r="12" customFormat="false" ht="15" hidden="false" customHeight="true" outlineLevel="0" collapsed="false">
      <c r="A12" s="18" t="s">
        <v>814</v>
      </c>
      <c r="B12" s="4" t="s">
        <v>815</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816</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2026-10-26T10:56:45Z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