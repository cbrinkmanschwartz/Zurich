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Events!$A$1:$AI$78</definedName>
    <definedName function="false" hidden="true" localSheetId="2" name="_xlnm._FilterDatabase" vbProcedure="false">Leads!$A$1:$K$29</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<sst xmlns="http://schemas.openxmlformats.org/spreadsheetml/2006/main" count="2494" uniqueCount="1292">
  <si>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</si>
  <si>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</si>
  <si>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</si>
  <si>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</si>
  <si>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</si>
  <si>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</si>
  <si>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</si>
  <si>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</si>
  <si>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</si>
  <si>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</si>
  <si>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</si>
  <si>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</si>
  <si>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</si>
  <si>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</si>
  <si>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</si>
  <si>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</si>
  <si>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</si>
  <si>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</si>
  <si>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</si>
  <si>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</si>
  <si>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</si>
  <si>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</si>
  <si>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</si>
  <si>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</si>
  <si>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</si>
  <si>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</si>
  <si>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</si>
  <si>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</si>
  <si>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</si>
  <si>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</si>
  <si>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</si>
  <si>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</si>
  <si>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</si>
  <si>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</si>
  <si>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</si>
  <si>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</si>
  <si>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</si>
  <si>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</si>
  <si>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</si>
  <si>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</si>
  <si>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</si>
  <si>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</si>
  <si>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</si>
  <si>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</si>
  <si>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</si>
  <si>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</si>
  <si>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</si>
  <si>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</si>
  <si>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</si>
  <si>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</si>
  <si>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</si>
  <si>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</si>
  <si>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</si>
  <si>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</si>
  <si>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</si>
  <si>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</si>
  <si>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</si>
  <si>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</si>
  <si>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</si>
  <si>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</si>
  <si>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</si>
  <si>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</si>
  <si>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</si>
  <si>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</si>
  <si>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</si>
  <si>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</si>
  <si>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</si>
  <si>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</si>
  <si>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</si>
  <si>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</si>
  <si>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</si>
  <si>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</si>
  <si>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</si>
  <si>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</si>
  <si>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</si>
  <si>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</si>
  <si>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</si>
  <si>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</si>
  <si>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</si>
  <si>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</si>
  <si>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</si>
  <si>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</si>
  <si>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</si>
  <si>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</si>
  <si>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</si>
  <si>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</si>
  <si>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</si>
  <si>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</si>
  <si>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</si>
  <si>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</si>
  <si>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</si>
  <si>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</si>
  <si>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</si>
  <si>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</si>
  <si>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</si>
  <si>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</si>
  <si>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</si>
  <si>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</si>
  <si>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</si>
  <si>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</si>
  <si>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</si>
  <si>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</si>
  <si>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</si>
  <si>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</si>
  <si>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</si>
  <si>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</si>
  <si>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</si>
  <si>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</si>
  <si>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</si>
  <si>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</si>
  <si>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</si>
  <si>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</si>
  <si>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</si>
  <si>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</si>
  <si>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</si>
  <si>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</si>
  <si>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</si>
  <si>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</si>
  <si>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</si>
  <si>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</si>
  <si>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</si>
  <si>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</si>
  <si>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</si>
  <si>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</si>
  <si>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</si>
  <si>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</si>
  <si>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</si>
  <si>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</si>
  <si>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</si>
  <si>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</si>
  <si>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</si>
  <si>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</si>
  <si>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</si>
  <si>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</si>
  <si>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</si>
  <si>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</si>
  <si>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</si>
  <si>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</si>
  <si>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</si>
  <si>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</si>
  <si>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</si>
  <si>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</si>
  <si>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</si>
  <si>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</si>
  <si>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</si>
  <si>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</si>
  <si>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</si>
  <si>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</si>
  <si>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</si>
  <si>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</si>
  <si>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</si>
  <si>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</si>
  <si>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</si>
  <si>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</si>
  <si>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</si>
  <si>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</si>
  <si>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</si>
  <si>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</si>
  <si>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</si>
  <si>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</si>
  <si>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</si>
  <si>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</si>
  <si>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</si>
  <si>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</si>
  <si>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</si>
  <si>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</si>
  <si>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</si>
  <si>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</si>
  <si>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</si>
  <si>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</si>
  <si>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</si>
  <si>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</si>
  <si>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</si>
  <si>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</si>
  <si>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</si>
  <si>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</si>
  <si>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</si>
  <si>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</si>
  <si>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</si>
  <si>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</si>
  <si>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</si>
  <si>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</si>
  <si>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</si>
  <si>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</si>
  <si>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</si>
  <si>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</si>
  <si>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</si>
  <si>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</si>
  <si>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</si>
  <si>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</si>
  <si>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</si>
  <si>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</si>
  <si>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</si>
  <si>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</si>
  <si>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</si>
  <si>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</si>
  <si>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</si>
  <si>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</si>
  <si>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</si>
  <si>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</si>
  <si>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</si>
  <si>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</si>
  <si>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</si>
  <si>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</si>
  <si>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</si>
  <si>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</si>
  <si>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</si>
  <si>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</si>
  <si>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</si>
  <si>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</si>
  <si>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</si>
  <si>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</si>
  <si>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</si>
  <si>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</si>
  <si>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</si>
  <si>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</si>
  <si>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</si>
  <si>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</si>
  <si>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</si>
  <si>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</si>
  <si>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</si>
  <si>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</si>
  <si>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</si>
  <si>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</si>
  <si>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</si>
  <si>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</si>
  <si>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</si>
  <si>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</si>
  <si>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</si>
  <si>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</si>
  <si>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</si>
  <si>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</si>
  <si>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</si>
  <si>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</si>
  <si>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</si>
  <si>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</si>
  <si>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</si>
  <si>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</si>
  <si>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</si>
  <si>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</si>
  <si>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</si>
  <si>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</si>
  <si>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</si>
  <si>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</si>
  <si>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</si>
  <si>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</si>
  <si>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</si>
  <si>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</si>
  <si>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</si>
  <si>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</si>
  <si>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</si>
  <si>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</si>
  <si>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</si>
  <si>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</si>
  <si>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</si>
  <si>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</si>
  <si>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</si>
  <si>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</si>
  <si>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</si>
  <si>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</si>
  <si>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</si>
  <si>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</si>
  <si>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</si>
  <si>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</si>
  <si>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</si>
  <si>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</si>
  <si>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</si>
  <si>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</si>
  <si>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</si>
  <si>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</si>
  <si>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</si>
  <si>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</si>
  <si>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</si>
  <si>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</si>
  <si>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</si>
  <si>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</si>
  <si>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</si>
  <si>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</si>
  <si>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</si>
  <si>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</si>
  <si>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</si>
  <si>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</si>
  <si>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</si>
  <si>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</si>
  <si>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</si>
  <si>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</si>
  <si>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</si>
  <si>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</si>
  <si>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</si>
  <si>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</si>
  <si>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</si>
  <si>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</si>
  <si>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</si>
  <si>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</si>
  <si>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</si>
  <si>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</si>
  <si>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</si>
  <si>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</si>
  <si>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</si>
  <si>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</si>
  <si>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</si>
  <si>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</si>
  <si>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</si>
  <si>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</si>
  <si>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</si>
  <si>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</si>
  <si>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</si>
  <si>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</si>
  <si>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</si>
  <si>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</si>
  <si>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</si>
  <si>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</si>
  <si>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</si>
  <si>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</si>
  <si>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</si>
  <si>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</si>
  <si>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</si>
  <si>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</si>
  <si>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</si>
  <si>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</si>
  <si>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</si>
  <si>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</si>
  <si>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</si>
  <si>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</si>
  <si>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</si>
  <si>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</si>
  <si>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</si>
  <si>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</si>
  <si>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</si>
  <si>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</si>
  <si>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</si>
  <si>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</si>
  <si>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</si>
  <si>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</si>
  <si>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</si>
  <si>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</si>
  <si>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</si>
  <si>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</si>
  <si>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</si>
  <si>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</si>
  <si>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</si>
  <si>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</si>
  <si>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</si>
  <si>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</si>
  <si>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</si>
  <si>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</si>
  <si>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</si>
  <si>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</si>
  <si>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</si>
  <si>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</si>
  <si>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</si>
  <si>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</si>
  <si>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</si>
  <si>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</si>
  <si>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</si>
  <si>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</si>
  <si>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</si>
  <si>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</si>
  <si>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</si>
  <si>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</si>
  <si>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</si>
  <si>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</si>
  <si>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</si>
  <si>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</si>
  <si>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</si>
  <si>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</si>
  <si>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</si>
  <si>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</si>
  <si>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</si>
  <si>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</si>
  <si>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</si>
  <si>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</si>
  <si>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</si>
  <si>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</si>
  <si>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</si>
  <si>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</si>
  <si>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</si>
  <si>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</si>
  <si>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</si>
  <si>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</si>
  <si>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</si>
  <si>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</si>
  <si>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</si>
  <si>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</si>
  <si>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</si>
  <si>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</si>
  <si>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</si>
  <si>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</si>
  <si>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</si>
  <si>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</si>
  <si>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</si>
  <si>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</si>
  <si>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</si>
  <si>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</si>
  <si>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</si>
  <si>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</si>
  <si>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</si>
  <si>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</si>
  <si>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</si>
  <si>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</si>
  <si>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</si>
  <si>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</si>
  <si>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</si>
  <si>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</si>
  <si>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</si>
  <si>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</si>
  <si>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</si>
  <si>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</si>
  <si>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</si>
  <si>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</si>
  <si>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</si>
  <si>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</si>
  <si>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</si>
  <si>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</si>
  <si>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</si>
  <si>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</si>
  <si>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</si>
  <si>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</si>
  <si>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</si>
  <si>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</si>
  <si>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</si>
  <si>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</si>
  <si>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</si>
  <si>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</si>
  <si>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</si>
  <si>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</si>
  <si>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</si>
  <si>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</si>
  <si>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</si>
  <si>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</si>
  <si>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</si>
  <si>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</si>
  <si>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</si>
  <si>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</si>
  <si>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</si>
  <si>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</si>
  <si>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</si>
  <si>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</si>
  <si>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</si>
  <si>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</si>
  <si>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</si>
  <si>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</si>
  <si>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</si>
  <si>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</si>
  <si>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</si>
  <si>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</si>
  <si>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</si>
  <si>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</si>
  <si>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</si>
  <si>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</si>
  <si>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</si>
  <si>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</si>
  <si>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</si>
  <si>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</si>
  <si>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</si>
  <si>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</si>
  <si>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</si>
  <si>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</si>
  <si>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</si>
  <si>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</si>
  <si>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</si>
  <si>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</si>
  <si>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</si>
  <si>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</si>
  <si>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</si>
  <si>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</si>
  <si>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</si>
  <si>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</si>
  <si>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</si>
  <si>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</si>
  <si>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</si>
  <si>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</si>
  <si>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</si>
  <si>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</si>
  <si>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</si>
  <si>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</si>
  <si>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</si>
  <si>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</si>
  <si>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</si>
  <si>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</si>
  <si>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</si>
  <si>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</si>
  <si>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</si>
  <si>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</si>
  <si>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</si>
  <si>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</si>
  <si>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</si>
  <si>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</si>
  <si>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</si>
  <si>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</si>
  <si>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</si>
  <si>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</si>
  <si>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</si>
  <si>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</si>
  <si>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</si>
  <si>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</si>
  <si>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</si>
  <si>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</si>
  <si>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</si>
  <si>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</si>
  <si>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</si>
  <si>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</si>
  <si>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</si>
  <si>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</si>
  <si>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</si>
  <si>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</si>
  <si>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</si>
  <si>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</si>
  <si>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</si>
  <si>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</si>
  <si>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</si>
  <si>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</si>
  <si>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</si>
  <si>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</si>
  <si>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</si>
  <si>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</si>
  <si>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</si>
  <si>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</si>
  <si>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</si>
  <si>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</si>
  <si>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</si>
  <si>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</si>
  <si>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</si>
  <si>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</si>
  <si>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</si>
  <si>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</si>
  <si>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</si>
  <si>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</si>
  <si>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</si>
  <si>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</si>
  <si>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</si>
  <si>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</si>
  <si>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</si>
  <si>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</si>
  <si>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</si>
  <si>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</si>
  <si>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</si>
  <si>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</si>
  <si>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</si>
  <si>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</si>
  <si>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</si>
  <si>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</si>
  <si>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</si>
  <si>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</si>
  <si>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</si>
  <si>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</si>
  <si>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</si>
  <si>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</si>
  <si>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</si>
  <si>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</si>
  <si>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</si>
  <si>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</si>
  <si>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</si>
  <si>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</si>
  <si>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</si>
  <si>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</si>
  <si>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</si>
  <si>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</si>
  <si>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</si>
  <si>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</si>
  <si>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</si>
  <si>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</si>
  <si>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</si>
  <si>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</si>
  <si>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</si>
  <si>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</si>
  <si>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</si>
  <si>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</si>
  <si>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</si>
  <si>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</si>
  <si>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</si>
  <si>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</si>
  <si>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</si>
  <si>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</si>
  <si>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</si>
  <si>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</si>
  <si>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</si>
  <si>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</si>
  <si>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</si>
  <si>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</si>
  <si>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</si>
  <si>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</si>
  <si>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</si>
  <si>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</si>
  <si>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</si>
  <si>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</si>
  <si>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</si>
  <si>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</si>
  <si>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</si>
  <si>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</si>
  <si>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</si>
  <si>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</si>
  <si>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</si>
  <si>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</si>
  <si>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</si>
  <si>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</si>
  <si>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</si>
  <si>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</si>
  <si>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</si>
  <si>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</si>
  <si>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</si>
  <si>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</si>
  <si>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</si>
  <si>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</si>
  <si>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</si>
  <si>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</si>
  <si>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</si>
  <si>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</si>
  <si>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</si>
  <si>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</si>
  <si>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</si>
  <si>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</si>
  <si>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</si>
  <si>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</si>
  <si>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</si>
  <si>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</si>
  <si>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</si>
  <si>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</si>
  <si>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</si>
  <si>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</si>
  <si>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</si>
  <si>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</si>
  <si>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</si>
  <si>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</si>
  <si>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</si>
  <si>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</si>
  <si>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</si>
  <si>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</si>
  <si>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</si>
  <si>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</si>
  <si>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</si>
  <si>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</si>
  <si>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</si>
  <si>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</si>
  <si>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</si>
  <si>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</si>
  <si>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</si>
  <si>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</si>
  <si>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</si>
  <si>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</si>
  <si>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</si>
  <si>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</si>
  <si>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</si>
  <si>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</si>
  <si>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</si>
  <si>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</si>
  <si>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</si>
  <si>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</si>
  <si>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</si>
  <si>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</si>
  <si>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</si>
  <si>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</si>
  <si>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</si>
  <si>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</si>
  <si>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</si>
  <si>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</si>
  <si>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</si>
  <si>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</si>
  <si>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</si>
  <si>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</si>
  <si>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</si>
  <si>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</si>
  <si>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</si>
  <si>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</si>
  <si>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</si>
  <si>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</si>
  <si>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</si>
  <si>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</si>
  <si>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</si>
  <si>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</si>
  <si>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</si>
  <si>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</si>
  <si>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</si>
  <si>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</si>
  <si>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</si>
  <si>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</si>
  <si>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</si>
  <si>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</si>
  <si>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</si>
  <si>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</si>
  <si>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</si>
  <si>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</si>
  <si>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</si>
  <si>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</si>
  <si>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</si>
  <si>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</si>
  <si>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</si>
  <si>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</si>
  <si>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</si>
  <si>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</si>
  <si>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</si>
  <si>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</si>
  <si>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</si>
  <si>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</si>
  <si>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</si>
  <si>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</si>
  <si>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</si>
  <si>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</si>
  <si>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</si>
  <si>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</si>
  <si>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</si>
  <si>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</si>
  <si>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</si>
  <si>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</si>
  <si>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</si>
  <si>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</si>
  <si>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</si>
  <si>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</si>
  <si>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</si>
  <si>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</si>
  <si>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</si>
  <si>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</si>
  <si>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</si>
  <si>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</si>
  <si>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</si>
  <si>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</si>
  <si>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</si>
  <si>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</si>
  <si>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</si>
  <si>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</si>
  <si>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</si>
  <si>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</si>
  <si>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</si>
  <si>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</si>
  <si>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</si>
  <si>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</si>
  <si>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</si>
  <si>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</si>
  <si>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</si>
  <si>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</si>
  <si>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</si>
  <si>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</si>
  <si>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</si>
  <si>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</si>
  <si>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</si>
  <si>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</si>
  <si>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</si>
  <si>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</si>
  <si>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</si>
  <si>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</si>
  <si>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</si>
  <si>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</si>
  <si>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</si>
  <si>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</si>
  <si>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</si>
  <si>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</si>
  <si>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</si>
  <si>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</si>
  <si>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</si>
  <si>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</si>
  <si>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</si>
  <si>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</si>
  <si>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</si>
  <si>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</si>
  <si>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</si>
  <si>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</si>
  <si>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</si>
  <si>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</si>
  <si>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</si>
  <si>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</si>
  <si>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</si>
  <si>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</si>
  <si>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</si>
  <si>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</si>
  <si>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</si>
  <si>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</si>
  <si>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</si>
  <si>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</si>
  <si>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</si>
  <si>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</si>
  <si>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</si>
  <si>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</si>
  <si>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</si>
  <si>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</si>
  <si>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</si>
  <si>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</si>
  <si>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</si>
  <si>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</si>
  <si>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</si>
  <si>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</si>
  <si>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</si>
  <si>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</si>
  <si>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</si>
  <si>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</si>
  <si>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</si>
  <si>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</si>
  <si>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</si>
  <si>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</si>
  <si>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</si>
  <si>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</si>
  <si>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</si>
  <si>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</si>
  <si>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</si>
  <si>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</si>
  <si>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</si>
  <si>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</si>
  <si>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</si>
  <si>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</si>
  <si>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</si>
  <si>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</si>
  <si>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</si>
  <si>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</si>
  <si>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</si>
  <si>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</si>
  <si>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</si>
  <si>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</si>
  <si>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</si>
  <si>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</si>
  <si>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</si>
  <si>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</si>
  <si>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</si>
  <si>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</si>
  <si>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</si>
  <si>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</si>
  <si>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</si>
  <si>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</si>
  <si>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</si>
  <si>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</si>
  <si>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</si>
  <si>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</si>
  <si>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</si>
  <si>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</si>
  <si>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</si>
  <si>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</si>
  <si>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</si>
  <si>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</si>
  <si>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</si>
  <si>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</si>
  <si>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</si>
  <si>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</si>
  <si>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</si>
  <si>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</si>
  <si>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</si>
  <si>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</si>
  <si>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</si>
  <si>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</si>
  <si>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</si>
  <si>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</si>
  <si>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</si>
  <si>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</si>
  <si>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</si>
  <si>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</si>
  <si>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</si>
  <si>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</si>
  <si>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</si>
  <si>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</si>
  <si>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</si>
  <si>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</si>
  <si>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</si>
  <si>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</si>
  <si>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</si>
  <si>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</si>
  <si>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</si>
  <si>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</si>
  <si>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</si>
  <si>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</si>
  <si>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</si>
  <si>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</si>
  <si>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</si>
  <si>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</si>
  <si>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</si>
  <si>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</si>
  <si>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</si>
  <si>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</si>
  <si>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</si>
  <si>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</si>
  <si>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</si>
  <si>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</si>
  <si>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</si>
  <si>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</si>
  <si>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</si>
  <si>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</si>
  <si>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</si>
  <si>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</si>
  <si>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</si>
  <si>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</si>
  <si>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</si>
  <si>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</si>
  <si>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HO42-0066</t>
  </si>
  <si>
    <t xml:space="preserve">E56</t>
  </si>
  <si>
    <t xml:space="preserve">HO 42/36</t>
  </si>
  <si>
    <t xml:space="preserve">HO-42-36_02.pdf</t>
  </si>
  <si>
    <t xml:space="preserve">71-72</t>
  </si>
  <si>
    <t xml:space="preserve">ff.121-122</t>
  </si>
  <si>
    <t xml:space="preserve">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</si>
  <si>
    <t xml:space="preserve">15 Nov 1795</t>
  </si>
  <si>
    <t xml:space="preserve">1795-11-15</t>
  </si>
  <si>
    <t xml:space="preserve">Whitby (letter from Howsham)</t>
  </si>
  <si>
    <t xml:space="preserve">Whitby</t>
  </si>
  <si>
    <t xml:space="preserve">Henry Cholmley</t>
  </si>
  <si>
    <t xml:space="preserve">At least one troop stationed at Whitby</t>
  </si>
  <si>
    <t xml:space="preserve">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</si>
  <si>
    <t xml:space="preserve">HO42-0067</t>
  </si>
  <si>
    <t xml:space="preserve">E57</t>
  </si>
  <si>
    <t xml:space="preserve">HO-42-36_03.pdf</t>
  </si>
  <si>
    <t xml:space="preserve">69-70</t>
  </si>
  <si>
    <t xml:space="preserve">ff.202-203</t>
  </si>
  <si>
    <t xml:space="preserve">Hardwicke, Wimpole 18 Sep 1795: "a Riot which took place at Ely on Tuesday last, on account of the scarcity &amp; high price of Provisions. I am informed by a Letter from the Magistrates, that another is expected tomorrow, the Market day. They are very anxious to have some troops for the protection of the Place, &amp; the preservation of the Peace, and applied to me to know if I thought they had a right to demand the assistance of some Cavalry now stationed at Mildenhall, within six miles of Ely. As that place is in Suffolk, I told them it did not appear to me they had any right to call upon the officer to assist them, though I hope your Grace will give them that power, if the Cavalry remains at Mildenhall... the extraordinary Listlessness &amp; apathy, which I am sorry to say pervades this County, and has hitherto rendered every attempt to raise Volunteer Yeomanry Cavalry ineffectual."</t>
  </si>
  <si>
    <t xml:space="preserve">18 Sep 1795</t>
  </si>
  <si>
    <t xml:space="preserve">1795-09-18</t>
  </si>
  <si>
    <t xml:space="preserve">Ely (Isle of Ely)</t>
  </si>
  <si>
    <t xml:space="preserve">Ely</t>
  </si>
  <si>
    <t xml:space="preserve">Earl of Hardwicke (Lord Lieutenant), for Ely magistrates</t>
  </si>
  <si>
    <t xml:space="preserve">Authority to call cavalry stationed at Mildenhall (Suffolk), 6 miles away</t>
  </si>
  <si>
    <t xml:space="preserve">KEY: troops 6 miles away but across county line - magistrates had no right to call them without HO authority. Illustrates jurisdictional limit on local requisitions. Also: county apathy has defeated attempts to raise Yeomanry Cavalry.</t>
  </si>
  <si>
    <t xml:space="preserve">HO42-0068</t>
  </si>
  <si>
    <t xml:space="preserve">E58</t>
  </si>
  <si>
    <t xml:space="preserve">40-41</t>
  </si>
  <si>
    <t xml:space="preserve">"my apprehensions respecting the Rioting of the Miners (of which I had the honor of mentioning to you in a former Letter) is now almost come to a Crisis... I have, and will, do every thing in my power to keep them quiet but I am afraid all will be fruitless unless something is done to lower the price of Corn soon".</t>
  </si>
  <si>
    <t xml:space="preserve">5 Nov 1795</t>
  </si>
  <si>
    <t xml:space="preserve">1795-11-05</t>
  </si>
  <si>
    <t xml:space="preserve">Harewood [Cornwall?]</t>
  </si>
  <si>
    <t xml:space="preserve">Harewood</t>
  </si>
  <si>
    <t xml:space="preserve">[CHECK]</t>
  </si>
  <si>
    <t xml:space="preserve">J. H. Foote(?)</t>
  </si>
  <si>
    <t xml:space="preserve">Home Office (Under-Secretary)</t>
  </si>
  <si>
    <t xml:space="preserve">Miners threatening riot over corn prices; enclosure from mine captain. No explicit troop request on these pages. CHECK location (Harewood near Calstock, Cornwall/Devon border?) and writer; earlier letter referred to.</t>
  </si>
  <si>
    <t xml:space="preserve">HO42-0069</t>
  </si>
  <si>
    <t xml:space="preserve">E59</t>
  </si>
  <si>
    <t xml:space="preserve">HO 42/37</t>
  </si>
  <si>
    <t xml:space="preserve">HO-42-37_04.pdf</t>
  </si>
  <si>
    <t xml:space="preserve">92-93</t>
  </si>
  <si>
    <t xml:space="preserve">ff.306-307</t>
  </si>
  <si>
    <t xml:space="preserve">"A great many Women supported by a number of other persons had for some days past in the most riotous manner prevented the Shipping of Flour for the Capital... I previously order'd a Company of the Pembroke Militia from Holt to Warham about a Mile distant to wait for Orders - Upon our arrival at Wells, after Mr Hoste had twice warned them... and having twice read the Proclamation, amidst Clamour and Menaces, I order'd the Company of the Pembrokeshire to march in, whose behaviour was equally Active, as prudent, after driving the Mob off with Bayonets they secured and protected the Flour and Ship".</t>
  </si>
  <si>
    <t xml:space="preserve">16 Dec 1795</t>
  </si>
  <si>
    <t xml:space="preserve">1795-12-14</t>
  </si>
  <si>
    <t xml:space="preserve">Wells (next the Sea)</t>
  </si>
  <si>
    <t xml:space="preserve">Wells-next-the-Sea</t>
  </si>
  <si>
    <t xml:space="preserve">Marquis Townshend (Lord Lieutenant), with Rev. Mr Hoste (JP)</t>
  </si>
  <si>
    <t xml:space="preserve">A company of Pembrokeshire Militia from Holt (ordered locally by Lord Lieutenant)</t>
  </si>
  <si>
    <t xml:space="preserve">Militia drove crowd off with bayonets; flour shipped; Coke and magistrates settled poor allowances.</t>
  </si>
  <si>
    <t xml:space="preserve">ROUTE: Lord Lieutenant ordered nearby militia himself; reported to HO. Women-led riot against flour shipping to London. Date of riot approx. (several days before 16 Dec).</t>
  </si>
  <si>
    <t xml:space="preserve">HO42-0070</t>
  </si>
  <si>
    <t xml:space="preserve">96-97</t>
  </si>
  <si>
    <t xml:space="preserve">ff.308-309</t>
  </si>
  <si>
    <t xml:space="preserve">"the Evil is increasing since I had the honor to inform your Grace of what had pass'd at Wells; in those parts where there is Yeomanry Corps they are quiet. I have however desired them to be prepared in their several Hundreds as from such examples the total communication of this County with the Sea Ports may be intercepted - It may be necessary to alter the Quarters of Troops according to Circumstances, &amp; if a Detachment of some Light Cavalry, or of the Horse Artillery could be stationed on the Coast, I conceive it would be of great service, for the Military at Norwich should not be too much weakened... If the Evil increases, I request the Orders of Government".</t>
  </si>
  <si>
    <t xml:space="preserve">22 Dec 1795</t>
  </si>
  <si>
    <t xml:space="preserve">1795-12-22</t>
  </si>
  <si>
    <t xml:space="preserve">Norfolk coast (letter from Raynham)</t>
  </si>
  <si>
    <t xml:space="preserve">[North Norfolk coast]</t>
  </si>
  <si>
    <t xml:space="preserve">Marquis Townshend (Lord Lieutenant)</t>
  </si>
  <si>
    <t xml:space="preserve">Detachment of light cavalry or horse artillery stationed on the coast</t>
  </si>
  <si>
    <t xml:space="preserve">KEY: 'where there is Yeomanry Corps they are quiet' - yeomanry as deterrent. Also asks Admiralty to deal with sailors joining commotions in sea-port towns.</t>
  </si>
  <si>
    <t xml:space="preserve">HO42-0071</t>
  </si>
  <si>
    <t xml:space="preserve">E60</t>
  </si>
  <si>
    <t xml:space="preserve">100-108</t>
  </si>
  <si>
    <t xml:space="preserve">ff.310-314</t>
  </si>
  <si>
    <t xml:space="preserve">Jodrell, Bayfield 22 Dec 1795 (to Townshend): "in consequence of the Requisition of Mr Collyer &amp; myself Major Genl Leland dispatched Cornet Bower with Thirty of the Inniskillen Dragoons, who reached Holt early on the same Morning... a Mob intended to assemble &amp; take away the Flour which was left at the Publick House on Sherrington Common... I sent out Notices to the High Constables of the Hundred... the Farmers &amp; the Yeomanry of the different Parishes to assemble... nearly 300 respectable Farmers &amp; Yeomanry". Townshend 23 Dec: "the Farmers and others of Property are forming such an Association in support of the Civil Power as will in some degree supply the defect of a Corps of Yeomanry... I have consented to a small Detachment of Cavalry continuing at Holt till this body is form'd".</t>
  </si>
  <si>
    <t xml:space="preserve">20-23 Dec 1795</t>
  </si>
  <si>
    <t xml:space="preserve">1795-12-20</t>
  </si>
  <si>
    <t xml:space="preserve">Holt / Sheringham Common</t>
  </si>
  <si>
    <t xml:space="preserve">Holt</t>
  </si>
  <si>
    <t xml:space="preserve">H. Jodrell &amp; Mr Collyer (JPs); fwd by Marquis Townshend</t>
  </si>
  <si>
    <t xml:space="preserve">Maj-Gen Leland (requisition); report to Townshend, fwd to Portland</t>
  </si>
  <si>
    <t xml:space="preserve">Requisition to Maj-Gen Leland: 30 Inniskilling Dragoons sent</t>
  </si>
  <si>
    <t xml:space="preserve">30 dragoons sent by district general; ringleader taken; ~300 farmers and yeomen assembled; flour forwarded to Lynn.</t>
  </si>
  <si>
    <t xml:space="preserve">ROUTE: local requisition to district general. ALSO A CORPS EVENT: farmers forming an 'Association in support of the Civil Power' to substitute for missing yeomanry - KEY QUOTE for corps question.</t>
  </si>
  <si>
    <t xml:space="preserve">HO42-0072</t>
  </si>
  <si>
    <t xml:space="preserve">E61</t>
  </si>
  <si>
    <t xml:space="preserve">HO-42-37_05.pdf</t>
  </si>
  <si>
    <t xml:space="preserve">38-39</t>
  </si>
  <si>
    <t xml:space="preserve">Townshend, Yarmouth 4 Dec 1795: "the Barracks which had been badly smash'd, by the Huntingdon especially, and all would have been demolished but by the activity of the Officers, and Sir Thos Hyde Page, and Captain Hook of the Artillery who directed several Pieces of Ordnance upon the Rioters... a second violence was intended but the arrival of the two Troops of the Inniskilling Dragoons from Norwich and the vigilance of the Artillery prevented it. Their pretence was the shutting the Barrack Gates an hour sooner... it is imputed to their frequenting low Alehouses where they are instigated by the Dissenters of which there are many in the Regiment". Militia at Norwich, the Cambridge especially, expressed readiness to suppress the outrage.</t>
  </si>
  <si>
    <t xml:space="preserve">4 Dec 1795</t>
  </si>
  <si>
    <t xml:space="preserve">1795-12-03</t>
  </si>
  <si>
    <t xml:space="preserve">Great Yarmouth (barracks)</t>
  </si>
  <si>
    <t xml:space="preserve">2 troops Inniskilling Dragoons from Norwich (called in); artillery turned guns on rioters</t>
  </si>
  <si>
    <t xml:space="preserve">MILITIA MUTINY/RIOT (Huntingdonshire Militia attacking Yarmouth barracks) - troops used against troops. Requester of dragoons not stated (probably local commanders) - CHECK. Relevant to militia reliability and to barracks as flashpoints.</t>
  </si>
  <si>
    <t xml:space="preserve">HO42-0073</t>
  </si>
  <si>
    <t xml:space="preserve">E62</t>
  </si>
  <si>
    <t xml:space="preserve">HO 42/38</t>
  </si>
  <si>
    <t xml:space="preserve">HO-42-38_02.pdf</t>
  </si>
  <si>
    <t xml:space="preserve">46-49</t>
  </si>
  <si>
    <t xml:space="preserve">ff.114-117</t>
  </si>
  <si>
    <t xml:space="preserve">"the Opinion of the Meeting: 1st That there is reason to apprehend disturbances and Riots within the Metropolis. 2d That some additional measures ought to be adopted for its security and Defence. That these measures should consist 1st In strengthening the Civil Power 2dly In raising a Military Force. The Civil Power is proposed to be strengthened by appointing an additional Number of special Constables in every Parish... a proportion of such special Constables to act on Horseback... The Military Force is proposed to consist of the known Inhabitants of the several Parishes formed into Volunteer Companies either of Infantry or Cavalry to serve at any place".</t>
  </si>
  <si>
    <t xml:space="preserve">[1795-96]</t>
  </si>
  <si>
    <t xml:space="preserve">1796-01</t>
  </si>
  <si>
    <t xml:space="preserve">London (Metropolis)</t>
  </si>
  <si>
    <t xml:space="preserve">[Unsigned report of a meeting of London association committees]</t>
  </si>
  <si>
    <t xml:space="preserve">KEY QUOTE: plan to raise parish volunteer companies explicitly against riots in London. Date and authorship uncertain (filed with Jan 1796 papers) - CHECK. Precursor of the 1797-98 armed associations.</t>
  </si>
  <si>
    <t xml:space="preserve">HO42-0074</t>
  </si>
  <si>
    <t xml:space="preserve">51-52</t>
  </si>
  <si>
    <t xml:space="preserve">ff.118-119</t>
  </si>
  <si>
    <t xml:space="preserve">Townshend, Raynham 1 Jan 1796: sailors at Wells "declare publickly that they wish'd they had been stronger when the Military were lately there, &amp; that as they now are, if any Military comes there they will drive them out... It was generally believed at the last Riot that the Sailors had loaded their Guns &amp; Swivels to have fired on the Magistrates &amp; the Troops"; asks that a press tender with a proper force be ordered to Wells to cooperate with the troops.</t>
  </si>
  <si>
    <t xml:space="preserve">1 Jan 1796</t>
  </si>
  <si>
    <t xml:space="preserve">1796-01-01</t>
  </si>
  <si>
    <t xml:space="preserve">Follow-up to E59; request is for NAVAL force (press tender), Pembroke Fencibles ordered from Brentwood to Wells. Coded Other (not land troops).</t>
  </si>
  <si>
    <t xml:space="preserve">HO42-0075</t>
  </si>
  <si>
    <t xml:space="preserve">E63</t>
  </si>
  <si>
    <t xml:space="preserve">HO-42-38_03.pdf</t>
  </si>
  <si>
    <t xml:space="preserve">69-72</t>
  </si>
  <si>
    <t xml:space="preserve">ff.190-193</t>
  </si>
  <si>
    <t xml:space="preserve">Portland to Mount Edgcumbe, 11 Apr 1796: "a large Body of Tinners (about 3000) entered Truro on the 8th Instant in the morning but were instantly driven out by the Military under the command of Major St John of the Worcestershire Regiment of Militia... the Riot Act was immediately read... upon firing a Field Piece loaded with Case Shot, they retired... nine were taken... a Reinforcement of 400 Men with two Field Pieces had been sent by General Morris from Plymouth to Truro... It seems to me that it may be proper for the Magistrates to communicate and settle with General Morris some previous Plan of proceeding". Major St John, Truro 10 Apr: tinners near Helston/Penzance "actually hung up two respectable Farmers who refused to supply them with Corn at their own price"; marching 4 companies and 2 field pieces to Helston.</t>
  </si>
  <si>
    <t xml:space="preserve">8-11 Apr 1796</t>
  </si>
  <si>
    <t xml:space="preserve">1796-04-08</t>
  </si>
  <si>
    <t xml:space="preserve">Truro; Helston; Penzance</t>
  </si>
  <si>
    <t xml:space="preserve">Truro</t>
  </si>
  <si>
    <t xml:space="preserve">Major St John (Worcestershire Militia) to Lt-Gen Morris; Duke of Portland to Earl of Mount Edgcumbe</t>
  </si>
  <si>
    <t xml:space="preserve">Lt-Gen Morris (Plymouth); HO informed via Duke of York</t>
  </si>
  <si>
    <t xml:space="preserve">Militia in quarters used; 400 men + 2 field pieces reinforcement; detachment to Helston</t>
  </si>
  <si>
    <t xml:space="preserve">Portland urges magistrates to agree a plan with General Morris in advance for military aid to civil authority.</t>
  </si>
  <si>
    <t xml:space="preserve">1796-04-11</t>
  </si>
  <si>
    <t xml:space="preserve">Cornish tinners' food riots Apr 1796; troops stationed locally acted; information reached HO via the Duke of York (military channel), not magistrates. Royal Lancashire Volunteers (fencibles) also arriving. Requester not explicit - CHECK magistrates' requisition.</t>
  </si>
  <si>
    <t xml:space="preserve">HO42-0076</t>
  </si>
  <si>
    <t xml:space="preserve">HO-42-38_04.pdf</t>
  </si>
  <si>
    <t xml:space="preserve">8, 27</t>
  </si>
  <si>
    <t xml:space="preserve">ff.211, 228</t>
  </si>
  <si>
    <t xml:space="preserve">Sir Francis Basset, 20 Apr 1796 (copy, to Portland): "a considerable ferment still prevails in that Country, &amp; that many of the Miners seem strongly tinged with Jacobinical Principles... the Worcestershire Militia have been in that Neighbourhood, from whence they went back to Truro, to relieve the Lancashire, who are returned to Plymouth, he thinks an hundred men necessary at Helston, &amp; that there ought to be two light Field Pieces. Helston is 18 Miles from Truro, before the Military could arrive therefore from the latter Place, much mischief might be done". 27 Apr (f.228): Wiltshire Regiment arrived and dispersed throughout the county, two field pieces at Helston, tranquillity restored.</t>
  </si>
  <si>
    <t xml:space="preserve">20-27 Apr 1796</t>
  </si>
  <si>
    <t xml:space="preserve">1796-04-20</t>
  </si>
  <si>
    <t xml:space="preserve">Helston</t>
  </si>
  <si>
    <t xml:space="preserve">Sir Francis Basset (forwarding Sir John St Aubyn's steward at Helston)</t>
  </si>
  <si>
    <t xml:space="preserve">Duke of Portland (copy to Lt-Col Brownrigg)</t>
  </si>
  <si>
    <t xml:space="preserve">100 men and two light field pieces stationed at Helston</t>
  </si>
  <si>
    <t xml:space="preserve">Wiltshire Regiment (militia) dispersed throughout county; field pieces at Helston; HO 16 Apr suggests county reward for discovery of those who hanged the farmers.</t>
  </si>
  <si>
    <t xml:space="preserve">1796-04-27</t>
  </si>
  <si>
    <t xml:space="preserve">Distance argument (troops 18 miles away too slow) - stationing rationale. Same episode E63 (Cornwall tinners, Apr 1796).</t>
  </si>
  <si>
    <t xml:space="preserve">HO42-0077</t>
  </si>
  <si>
    <t xml:space="preserve">E64</t>
  </si>
  <si>
    <t xml:space="preserve">HO 42/39</t>
  </si>
  <si>
    <t xml:space="preserve">HO-42-39_04.pdf</t>
  </si>
  <si>
    <t xml:space="preserve">ff.217-218</t>
  </si>
  <si>
    <t xml:space="preserve">Berkeley (Lord Lieutenant), General meeting of Lieutenancy, Gloucester 12 Dec 1796: "a Riot which happen'd at one of the Subdivision meetings for hearing appeals to the new Supplementary Militia at Stow in this County on Thursday last the 8th inst. and the only one obstruction to the meetings in this County which has happen'd... the People have only taken the lists from the Constables who were there present to produce them &amp; tore them... If your Grace will order a Troop of Horse to attend at Stow on the Wold on or before Thursday the 29th inst. (the day fix'd again for appeals) to assist the Deputy Lts. &amp; Magistrates if necessary, I make no doubt that the business will be gone thro' quietly. It is at the request of the following Magistrates of the district".</t>
  </si>
  <si>
    <t xml:space="preserve">12 Dec 1796</t>
  </si>
  <si>
    <t xml:space="preserve">1796-12-12</t>
  </si>
  <si>
    <t xml:space="preserve">Stow on the Wold</t>
  </si>
  <si>
    <t xml:space="preserve">Stow-on-the-Wold</t>
  </si>
  <si>
    <t xml:space="preserve">Gloucestershire</t>
  </si>
  <si>
    <t xml:space="preserve">Earl of Berkeley (Lord Lieutenant), at request of magistrates Rev. Hippisley (Stow), Rev. Leigh (Adlestrop), Wm Bateson, Rev. Martin, Geo. Talbot, Powell Snell</t>
  </si>
  <si>
    <t xml:space="preserve">Militia ballot</t>
  </si>
  <si>
    <t xml:space="preserve">A troop of horse at Stow on 29 Dec</t>
  </si>
  <si>
    <t xml:space="preserve">SUPPLEMENTARY MILITIA BALLOT RIOT (Dec 1796): crowd seized and tore the constables' lists. Request for troops to protect the next appeal meeting. Route: magistrates -&gt; Lord Lieutenant -&gt; HO.</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</si>
  <si>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</si>
  <si>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</si>
  <si>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</si>
  <si>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</si>
  <si>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</si>
  <si>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</si>
  <si>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</si>
  <si>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</si>
  <si>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</si>
  <si>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</si>
  <si>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</si>
  <si>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</si>
  <si>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</si>
  <si>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</si>
  <si>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</si>
  <si>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</si>
  <si>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</si>
  <si>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</si>
  <si>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</si>
  <si>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</si>
  <si>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</si>
  <si>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</si>
  <si>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</si>
  <si>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</si>
  <si>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</si>
  <si>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</si>
  <si>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</si>
  <si>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</si>
  <si>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</si>
  <si>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</si>
  <si>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</si>
  <si>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</si>
  <si>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</si>
  <si>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</si>
  <si>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</si>
  <si>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</si>
  <si>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</si>
  <si>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</si>
  <si>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</si>
  <si>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</si>
  <si>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</si>
  <si>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</si>
  <si>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</si>
  <si>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</si>
  <si>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</si>
  <si>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</si>
  <si>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</si>
  <si>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</si>
  <si>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</si>
  <si>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</si>
  <si>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</si>
  <si>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</si>
  <si>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</si>
  <si>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</si>
  <si>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</si>
  <si>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</si>
  <si>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</si>
  <si>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</si>
  <si>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</si>
  <si>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</si>
  <si>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</si>
  <si>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</si>
  <si>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</si>
  <si>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</si>
  <si>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</si>
  <si>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</si>
  <si>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</si>
  <si>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</si>
  <si>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</si>
  <si>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</si>
  <si>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</si>
  <si>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</si>
  <si>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</si>
  <si>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</si>
  <si>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</si>
  <si>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</si>
  <si>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</si>
  <si>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</si>
  <si>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</si>
  <si>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</si>
  <si>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</si>
  <si>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</si>
  <si>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</si>
  <si>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</si>
  <si>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</si>
  <si>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</si>
  <si>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</si>
  <si>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</si>
  <si>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</si>
  <si>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</si>
  <si>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</si>
  <si>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</si>
  <si>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</si>
  <si>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</si>
  <si>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</si>
  <si>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</si>
  <si>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</si>
  <si>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</si>
  <si>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</si>
  <si>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</si>
  <si>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</si>
  <si>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</si>
  <si>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</si>
  <si>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</si>
  <si>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</si>
  <si>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</si>
  <si>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</si>
  <si>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</si>
  <si>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</si>
  <si>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</si>
  <si>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</si>
  <si>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</si>
  <si>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</si>
  <si>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</si>
  <si>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</si>
  <si>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</si>
  <si>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</si>
  <si>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</si>
  <si>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</si>
  <si>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</si>
  <si>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</si>
  <si>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</si>
  <si>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</si>
  <si>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</si>
  <si>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</si>
  <si>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</si>
  <si>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</si>
  <si>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</si>
  <si>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</si>
  <si>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</si>
  <si>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</si>
  <si>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</si>
  <si>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</si>
  <si>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</si>
  <si>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</si>
  <si>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</si>
  <si>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</si>
  <si>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</si>
  <si>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</si>
  <si>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</si>
  <si>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</si>
  <si>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</si>
  <si>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</si>
  <si>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</si>
  <si>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</si>
  <si>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</si>
  <si>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</si>
  <si>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</si>
  <si>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</si>
  <si>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</si>
  <si>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</si>
  <si>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</si>
  <si>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</si>
  <si>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</si>
  <si>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</si>
  <si>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</si>
  <si>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</si>
  <si>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</si>
  <si>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</si>
  <si>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</si>
  <si>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</si>
  <si>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</si>
  <si>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</si>
  <si>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</si>
  <si>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</si>
  <si>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</si>
  <si>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L027</t>
  </si>
  <si>
    <t xml:space="preserve">England (county returns)</t>
  </si>
  <si>
    <t xml:space="preserve">1795-11</t>
  </si>
  <si>
    <t xml:space="preserve">Magistrates' returns to Portland's Oct-Nov 1795 circular on the 1795 harvest: crop yields (wheat, barley, oats, pease) by hundred/parish vs average years, for many counties (Cornwall, Devon, Northants, Lancashire, Kent, Surrey, Middlesex...).</t>
  </si>
  <si>
    <t xml:space="preserve">HO 42/36_01 ff.1-66 (and probably further 36_ files)</t>
  </si>
  <si>
    <t xml:space="preserve">HO 42 read 30 Oct 2026</t>
  </si>
  <si>
    <t xml:space="preserve">Possible HARVEST-SHORTFALL data by locality (Nov 1795) - a candidate control variable for JV. Not events.</t>
  </si>
  <si>
    <t xml:space="preserve">L028</t>
  </si>
  <si>
    <t xml:space="preserve">Westmorland &amp; Cumberland</t>
  </si>
  <si>
    <t xml:space="preserve">Cumberland</t>
  </si>
  <si>
    <t xml:space="preserve">1796-08-09</t>
  </si>
  <si>
    <t xml:space="preserve">Lord Lonsdale (Lord Lieutenant) replies to HO circular of 6 Aug 1796: "The Counties of Westmorland &amp; Cumberland have not a Corps of Yeomanry Cavalry nor Volunteer Infantry".</t>
  </si>
  <si>
    <t xml:space="preserve">HO 42/39_01 f.52</t>
  </si>
  <si>
    <t xml:space="preserve">ZERO-CORPS observation by county (Aug 1796). The 6 Aug 1796 circular evidently asked each Lord Lieutenant to list corps - other replies may give a county census of yeomanry/volunteers. Look for replies in HO 42/39-40 and HO 50.</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</si>
  <si>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</si>
  <si>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</si>
  <si>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</si>
  <si>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</si>
  <si>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</si>
  <si>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</si>
  <si>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</si>
  <si>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</si>
  <si>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</si>
  <si>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</si>
  <si>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</si>
  <si>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</si>
  <si>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</si>
  <si>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</si>
  <si>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</si>
  <si>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</si>
  <si>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</si>
  <si>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</si>
  <si>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</si>
  <si>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</si>
  <si>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</si>
  <si>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</si>
  <si>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</si>
  <si>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</si>
  <si>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</si>
  <si>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</si>
  <si>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</si>
  <si>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</si>
  <si>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</si>
  <si>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</si>
  <si>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</si>
  <si>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</si>
  <si>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</si>
  <si>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</si>
  <si>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</si>
  <si>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</si>
  <si>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</si>
  <si>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</si>
  <si>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</si>
  <si>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</si>
  <si>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</si>
  <si>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</si>
  <si>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</si>
  <si>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 | HO 42/36_03 (Sep-Nov 1795) read: Ely request via Hardwicke (cross-county troop limit); Harewood miners (Other); bread rising near Bristol (f.156, magistrate pacified, no troops); Ashford French prisoners affray - Knatchbull asks their removal (f.214, Kent); Nootka/Vancouver accounts; harvest returns. | HO 42/36_04 (Nov 1795) read: no new events (loyal addresses re Two Acts incl. York internal-defence volunteers' address f.226; Rolvenden (Kent) yeomanry captain offers service after anonymous letter f.258; govt corn to Plymouth/Penzance; Bristol market relief). | HO 42/37_01 (Dec 1795) read: no events (Colchester loyal petition; parish/hundred harvest returns - Notts, Kent, Hants, Northants, Sussex, Isle of Wight etc.). | HO 42/37_04 (Dec 1795) read: Norfolk flour-shipping riots (Wells, Holt) and Townshend coast request; Holt farmers' association; otherwise harvest returns (Notts, Hants, Surrey, Wales, Northumberland, Lincs) and Cambridge college petition. | HO 42/37_02 (Dec 1795) read: no events (harvest returns - Cheshire, Middlesex, Shropshire, Lancashire, Gloucs). | HO 42/37_03 (Dec 1795) read: no events (harvest returns - Lancs, Bucks, Derbys, Essex, Kent, Northumberland, Notts, Dorset/Kent via Duke of Dorset). | HO 42/37_05 (Dec 1795) read: Yarmouth barracks riot by Huntingdon Militia (HO42-0072); Fishguard vessel/butter (Wales, not logged); Huddersfield? loyal meeting reports; Kirkby Stephen/Westmorland; addresses; Hackney Rocks/Gosport association; McMahon memorial; Sudbury/Penrith addresses; Shoreham? - Lanstinan (Wales). | HO 42/37_06 (Nov-Dec 1795) read: no events (informers' reports of London Corresponding Society / debating society meetings; Coopersale (Essex) magistrate on farmer hoarding wheat). HO 42/37 COMPLETE. | HO 42/38_01-02 (Jan 1796) read: London parish volunteer-company plan (HO42-0073); Wells sailors follow-up (HO42-0074); Warwick and other harvest returns; Montgomeryshire (Wales) troop letters not logged. | HO 42/38_01 (Jan 1796) read: no new events (loyal addresses on King's escape; Lynn fire-conspiracy letter - volunteers &amp; East York Militia on duty (Townshend 5 Jan, context); Newtown/Montgomeryshire troops &amp; Welshpool barley (Wales, not logged); Two Acts/bread-economy resolutions; harvest/import returns). | HO 42/38_03 (Feb-Apr 1796) read: Cornwall tinners (Truro/Helston, Apr 1796); Croydon handbill on forestalling; Westminster Militia court-martial memorial; Pembroke riots (Wales, not logged); harvest returns. | HO 42/38_04 (Apr 1796) read: Helston request (Basset); Cornwall depositions (Truro riot minutes); otherwise county returns of fines under 35 Geo III (militia/navy quota) and harvest returns. HO 42/38 COMPLETE. | HO 42/39_01 (May-Aug 1796) read: no new events (county returns of fines for not raising navy/army quota men; Pembroke JPs dispute (Wales); Reeves police-office accounts; Lonsdale no-corps reply (lead); Aug 1796 county plans for driving livestock in case of invasion; Stratford mixed bread). | HO 42/39_02 (Aug-Nov 1796) read: no events (Aug 1796 county plans for driving livestock/invasion (Suffolk etc.); half-pay officer returns by county; 150,000-man defence distribution table (context); Caernarvon militia augmentation by subscription (Wales, not logged); Deputy Lieutenant nominations; Harwich French privateer prisoners; Liverpool merchants' memorial on prizes; livestock tables by parish). | HO 42/39_03 (Nov-Dec 1796) read: no events (Deputy Lieutenant nominations for Supplementary Militia; Minchinhampton Yeomanry offers general service (invasion, f.159); cavalry for Ireland offer; Spanish/Nootka papers; merchants' meeting on French spoliations). | HO 42/39_04 (Dec 1796) read: Stow-on-the-Wold militia-ballot riot request (HO42-0077); Deputy Lieutenant lists (Lincs: Ancaster 'troublesome times', meetings lost for want of attendance); Bantry Bay French fleet news; Ireland defence plans; Pembroke? harvest returns. HO 42/39 COMPLETE. | HO 42/40_01 (Feb-May 1797) read: no events (Chichester mutiny handbills to soldiers, Goodwood 21 May; Liphook yeomanry inspection; quota-act fines; royal marriage papers; Fife harbour (Scotland); Glamorgan quota (Wales); 1797 state of forces table; supplementary militia district numbers).</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</si>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</sst>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46</v>
      </c>
    </row>
    <row r="6" customFormat="false" ht="15" hidden="false" customHeight="true" outlineLevel="0" collapsed="false">
      <c r="A6" s="4" t="s">
        <v>5</v>
      </c>
      <c r="B6" s="4" t="n">
        <f aca="false">COUNTIF(Events!$C$2:$C$1000,A6)</f>
        <v>9</v>
      </c>
    </row>
    <row r="7" customFormat="false" ht="15" hidden="false" customHeight="true" outlineLevel="0" collapsed="false">
      <c r="A7" s="4" t="s">
        <v>6</v>
      </c>
      <c r="B7" s="4" t="n">
        <f aca="false">COUNTIF(Events!$C$2:$C$1000,A7)</f>
        <v>7</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5</v>
      </c>
    </row>
    <row r="11" customFormat="false" ht="15" hidden="false" customHeight="true" outlineLevel="0" collapsed="false">
      <c r="A11" s="3" t="s">
        <v>10</v>
      </c>
      <c r="B11" s="3" t="n">
        <f aca="false">SUM(B5:B10)</f>
        <v>77</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17</v>
      </c>
    </row>
    <row r="16" customFormat="false" ht="15" hidden="false" customHeight="true" outlineLevel="0" collapsed="false">
      <c r="A16" s="4" t="s">
        <v>14</v>
      </c>
      <c r="B16" s="4" t="n">
        <f aca="false">COUNTIFS(Events!$C$2:$C$1000,"Request for troops",Events!$Y$2:$Y$1000,A16)</f>
        <v>19</v>
      </c>
    </row>
    <row r="17" customFormat="false" ht="15" hidden="false" customHeight="true" outlineLevel="0" collapsed="false">
      <c r="A17" s="4" t="s">
        <v>15</v>
      </c>
      <c r="B17" s="4" t="n">
        <f aca="false">COUNTIFS(Events!$C$2:$C$1000,"Request for troops",Events!$Y$2:$Y$1000,A17)</f>
        <v>4</v>
      </c>
    </row>
    <row r="18" customFormat="false" ht="15" hidden="false" customHeight="true" outlineLevel="0" collapsed="false">
      <c r="A18" s="4" t="s">
        <v>16</v>
      </c>
      <c r="B18" s="4" t="n">
        <f aca="false">COUNTIFS(Events!$C$2:$C$1000,"Request for troops",Events!$Y$2:$Y$1000,A18)</f>
        <v>6</v>
      </c>
    </row>
    <row r="19" customFormat="false" ht="15" hidden="false" customHeight="true" outlineLevel="0" collapsed="false">
      <c r="A19" s="3" t="s">
        <v>10</v>
      </c>
      <c r="B19" s="3" t="n">
        <f aca="false">SUM(B15:B18)</f>
        <v>46</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23</v>
      </c>
    </row>
    <row r="30" customFormat="false" ht="15" hidden="false" customHeight="true" outlineLevel="0" collapsed="false">
      <c r="A30" s="4" t="n">
        <v>1796</v>
      </c>
      <c r="B30" s="4" t="n">
        <f aca="false">COUNTIF(Events!$P$2:$P$1000,A30)</f>
        <v>5</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77</v>
      </c>
    </row>
    <row r="38" customFormat="false" ht="15" hidden="false" customHeight="true" outlineLevel="0" collapsed="false">
      <c r="A38" s="3" t="s">
        <v>19</v>
      </c>
      <c r="B38" s="4" t="n">
        <f aca="false">SUMPRODUCT((Events!$B$2:$B$1000&lt;&gt;"")/COUNTIF(Events!$B$2:$B$1000,Events!$B$2:$B$1000&amp;""))</f>
        <v>64</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A67" s="6" t="s">
        <v>878</v>
      </c>
      <c r="B67" s="6" t="s">
        <v>879</v>
      </c>
      <c r="C67" s="7" t="s">
        <v>4</v>
      </c>
      <c r="D67" s="6" t="s">
        <v>88</v>
      </c>
      <c r="E67" s="6" t="s">
        <v>880</v>
      </c>
      <c r="F67" s="6" t="s">
        <v>881</v>
      </c>
      <c r="G67" s="6" t="s">
        <v>882</v>
      </c>
      <c r="H67" s="6" t="s">
        <v>883</v>
      </c>
      <c r="I67" s="6" t="s">
        <v>274</v>
      </c>
      <c r="J67" s="6"/>
      <c r="K67" s="6" t="s">
        <v>60</v>
      </c>
      <c r="L67" s="6" t="s">
        <v>61</v>
      </c>
      <c r="M67" s="6" t="s">
        <v>884</v>
      </c>
      <c r="N67" s="6" t="s">
        <v>885</v>
      </c>
      <c r="O67" s="8" t="s">
        <v>886</v>
      </c>
      <c r="P67" s="6" t="n">
        <f aca="false">IF(O67="","",VALUE(LEFT(O67,4)))</f>
        <v>1795</v>
      </c>
      <c r="Q67" s="6" t="s">
        <v>887</v>
      </c>
      <c r="R67" s="6" t="s">
        <v>888</v>
      </c>
      <c r="S67" s="6" t="s">
        <v>83</v>
      </c>
      <c r="T67" s="6" t="s">
        <v>889</v>
      </c>
      <c r="U67" s="6" t="s">
        <v>217</v>
      </c>
      <c r="V67" s="6" t="s">
        <v>785</v>
      </c>
      <c r="W67" s="6" t="str">
        <f aca="false">IF(O67="","",INDEX(Lookups!$B$2:$B$67,MATCH(O67,Lookups!$A$2:$A$67,1)))</f>
        <v>Portland</v>
      </c>
      <c r="X67" s="6" t="s">
        <v>103</v>
      </c>
      <c r="Y67" s="6" t="s">
        <v>13</v>
      </c>
      <c r="Z67" s="6" t="s">
        <v>88</v>
      </c>
      <c r="AA67" s="6" t="s">
        <v>890</v>
      </c>
      <c r="AB67" s="6" t="s">
        <v>88</v>
      </c>
      <c r="AC67" s="6"/>
      <c r="AD67" s="6"/>
      <c r="AE67" s="6"/>
      <c r="AF67" s="6"/>
      <c r="AG67" s="6"/>
      <c r="AH67" s="6"/>
      <c r="AI67" s="6" t="s">
        <v>891</v>
      </c>
    </row>
    <row r="68" customFormat="false" ht="15" hidden="false" customHeight="true" outlineLevel="0" collapsed="false">
      <c r="A68" s="6" t="s">
        <v>892</v>
      </c>
      <c r="B68" s="6" t="s">
        <v>893</v>
      </c>
      <c r="C68" s="7" t="s">
        <v>4</v>
      </c>
      <c r="D68" s="6" t="s">
        <v>88</v>
      </c>
      <c r="E68" s="6" t="s">
        <v>880</v>
      </c>
      <c r="F68" s="6" t="s">
        <v>894</v>
      </c>
      <c r="G68" s="6" t="s">
        <v>895</v>
      </c>
      <c r="H68" s="6" t="s">
        <v>896</v>
      </c>
      <c r="I68" s="6" t="s">
        <v>274</v>
      </c>
      <c r="J68" s="6"/>
      <c r="K68" s="6" t="s">
        <v>60</v>
      </c>
      <c r="L68" s="6" t="s">
        <v>61</v>
      </c>
      <c r="M68" s="6" t="s">
        <v>897</v>
      </c>
      <c r="N68" s="6" t="s">
        <v>898</v>
      </c>
      <c r="O68" s="8" t="s">
        <v>899</v>
      </c>
      <c r="P68" s="6" t="n">
        <f aca="false">IF(O68="","",VALUE(LEFT(O68,4)))</f>
        <v>1795</v>
      </c>
      <c r="Q68" s="6" t="s">
        <v>900</v>
      </c>
      <c r="R68" s="6" t="s">
        <v>901</v>
      </c>
      <c r="S68" s="6" t="s">
        <v>838</v>
      </c>
      <c r="T68" s="6" t="s">
        <v>902</v>
      </c>
      <c r="U68" s="6" t="s">
        <v>815</v>
      </c>
      <c r="V68" s="6" t="s">
        <v>785</v>
      </c>
      <c r="W68" s="6" t="str">
        <f aca="false">IF(O68="","",INDEX(Lookups!$B$2:$B$68,MATCH(O68,Lookups!$A$2:$A$68,1)))</f>
        <v>Portland</v>
      </c>
      <c r="X68" s="6" t="s">
        <v>103</v>
      </c>
      <c r="Y68" s="6" t="s">
        <v>13</v>
      </c>
      <c r="Z68" s="6" t="s">
        <v>72</v>
      </c>
      <c r="AA68" s="6" t="s">
        <v>903</v>
      </c>
      <c r="AB68" s="6" t="s">
        <v>88</v>
      </c>
      <c r="AC68" s="6"/>
      <c r="AD68" s="6"/>
      <c r="AE68" s="6"/>
      <c r="AF68" s="6"/>
      <c r="AG68" s="6"/>
      <c r="AH68" s="6"/>
      <c r="AI68" s="6" t="s">
        <v>904</v>
      </c>
    </row>
    <row r="69" customFormat="false" ht="15" hidden="false" customHeight="true" outlineLevel="0" collapsed="false">
      <c r="A69" s="6" t="s">
        <v>905</v>
      </c>
      <c r="B69" s="6" t="s">
        <v>906</v>
      </c>
      <c r="C69" s="12" t="s">
        <v>9</v>
      </c>
      <c r="D69" s="6" t="s">
        <v>55</v>
      </c>
      <c r="E69" s="6" t="s">
        <v>880</v>
      </c>
      <c r="F69" s="6" t="s">
        <v>894</v>
      </c>
      <c r="G69" s="6" t="s">
        <v>907</v>
      </c>
      <c r="H69" s="6" t="s">
        <v>353</v>
      </c>
      <c r="I69" s="6" t="s">
        <v>274</v>
      </c>
      <c r="J69" s="6"/>
      <c r="K69" s="6" t="s">
        <v>60</v>
      </c>
      <c r="L69" s="6" t="s">
        <v>61</v>
      </c>
      <c r="M69" s="6" t="s">
        <v>908</v>
      </c>
      <c r="N69" s="6" t="s">
        <v>909</v>
      </c>
      <c r="O69" s="8" t="s">
        <v>910</v>
      </c>
      <c r="P69" s="6" t="n">
        <f aca="false">IF(O69="","",VALUE(LEFT(O69,4)))</f>
        <v>1795</v>
      </c>
      <c r="Q69" s="6" t="s">
        <v>911</v>
      </c>
      <c r="R69" s="6" t="s">
        <v>912</v>
      </c>
      <c r="S69" s="6" t="s">
        <v>913</v>
      </c>
      <c r="T69" s="6" t="s">
        <v>914</v>
      </c>
      <c r="U69" s="6" t="s">
        <v>69</v>
      </c>
      <c r="V69" s="6" t="s">
        <v>915</v>
      </c>
      <c r="W69" s="6" t="str">
        <f aca="false">IF(O69="","",INDEX(Lookups!$B$2:$B$69,MATCH(O69,Lookups!$A$2:$A$69,1)))</f>
        <v>Portland</v>
      </c>
      <c r="X69" s="6" t="s">
        <v>103</v>
      </c>
      <c r="Y69" s="6"/>
      <c r="Z69" s="6"/>
      <c r="AA69" s="6"/>
      <c r="AB69" s="6"/>
      <c r="AC69" s="6"/>
      <c r="AD69" s="6"/>
      <c r="AE69" s="6"/>
      <c r="AF69" s="6"/>
      <c r="AG69" s="6"/>
      <c r="AH69" s="6"/>
      <c r="AI69" s="6" t="s">
        <v>916</v>
      </c>
    </row>
    <row r="70" customFormat="false" ht="15" hidden="false" customHeight="true" outlineLevel="0" collapsed="false">
      <c r="A70" s="6" t="s">
        <v>917</v>
      </c>
      <c r="B70" s="6" t="s">
        <v>918</v>
      </c>
      <c r="C70" s="7" t="s">
        <v>4</v>
      </c>
      <c r="D70" s="6" t="s">
        <v>55</v>
      </c>
      <c r="E70" s="6" t="s">
        <v>919</v>
      </c>
      <c r="F70" s="6" t="s">
        <v>920</v>
      </c>
      <c r="G70" s="6" t="s">
        <v>921</v>
      </c>
      <c r="H70" s="6" t="s">
        <v>922</v>
      </c>
      <c r="I70" s="6" t="s">
        <v>274</v>
      </c>
      <c r="J70" s="6"/>
      <c r="K70" s="6" t="s">
        <v>60</v>
      </c>
      <c r="L70" s="6" t="s">
        <v>61</v>
      </c>
      <c r="M70" s="6" t="s">
        <v>923</v>
      </c>
      <c r="N70" s="6" t="s">
        <v>924</v>
      </c>
      <c r="O70" s="8" t="s">
        <v>925</v>
      </c>
      <c r="P70" s="6" t="n">
        <f aca="false">IF(O70="","",VALUE(LEFT(O70,4)))</f>
        <v>1795</v>
      </c>
      <c r="Q70" s="6" t="s">
        <v>926</v>
      </c>
      <c r="R70" s="6" t="s">
        <v>927</v>
      </c>
      <c r="S70" s="6" t="s">
        <v>304</v>
      </c>
      <c r="T70" s="6" t="s">
        <v>928</v>
      </c>
      <c r="U70" s="6" t="s">
        <v>815</v>
      </c>
      <c r="V70" s="6" t="s">
        <v>785</v>
      </c>
      <c r="W70" s="6" t="str">
        <f aca="false">IF(O70="","",INDEX(Lookups!$B$2:$B$70,MATCH(O70,Lookups!$A$2:$A$70,1)))</f>
        <v>Portland</v>
      </c>
      <c r="X70" s="6" t="s">
        <v>103</v>
      </c>
      <c r="Y70" s="6" t="s">
        <v>16</v>
      </c>
      <c r="Z70" s="6" t="s">
        <v>88</v>
      </c>
      <c r="AA70" s="6" t="s">
        <v>929</v>
      </c>
      <c r="AB70" s="6" t="s">
        <v>88</v>
      </c>
      <c r="AC70" s="6" t="s">
        <v>930</v>
      </c>
      <c r="AD70" s="6" t="s">
        <v>106</v>
      </c>
      <c r="AE70" s="6"/>
      <c r="AF70" s="6"/>
      <c r="AG70" s="6"/>
      <c r="AH70" s="6" t="s">
        <v>9</v>
      </c>
      <c r="AI70" s="6" t="s">
        <v>931</v>
      </c>
    </row>
    <row r="71" customFormat="false" ht="15" hidden="false" customHeight="true" outlineLevel="0" collapsed="false">
      <c r="A71" s="6" t="s">
        <v>932</v>
      </c>
      <c r="B71" s="6" t="s">
        <v>918</v>
      </c>
      <c r="C71" s="7" t="s">
        <v>4</v>
      </c>
      <c r="D71" s="6" t="s">
        <v>88</v>
      </c>
      <c r="E71" s="6" t="s">
        <v>919</v>
      </c>
      <c r="F71" s="6" t="s">
        <v>920</v>
      </c>
      <c r="G71" s="6" t="s">
        <v>933</v>
      </c>
      <c r="H71" s="6" t="s">
        <v>934</v>
      </c>
      <c r="I71" s="6" t="s">
        <v>274</v>
      </c>
      <c r="J71" s="6"/>
      <c r="K71" s="6" t="s">
        <v>60</v>
      </c>
      <c r="L71" s="6" t="s">
        <v>61</v>
      </c>
      <c r="M71" s="6" t="s">
        <v>935</v>
      </c>
      <c r="N71" s="6" t="s">
        <v>936</v>
      </c>
      <c r="O71" s="8" t="s">
        <v>937</v>
      </c>
      <c r="P71" s="6" t="n">
        <f aca="false">IF(O71="","",VALUE(LEFT(O71,4)))</f>
        <v>1795</v>
      </c>
      <c r="Q71" s="6" t="s">
        <v>938</v>
      </c>
      <c r="R71" s="6" t="s">
        <v>939</v>
      </c>
      <c r="S71" s="6" t="s">
        <v>304</v>
      </c>
      <c r="T71" s="6" t="s">
        <v>940</v>
      </c>
      <c r="U71" s="6" t="s">
        <v>815</v>
      </c>
      <c r="V71" s="6" t="s">
        <v>785</v>
      </c>
      <c r="W71" s="6" t="str">
        <f aca="false">IF(O71="","",INDEX(Lookups!$B$2:$B$71,MATCH(O71,Lookups!$A$2:$A$71,1)))</f>
        <v>Portland</v>
      </c>
      <c r="X71" s="6" t="s">
        <v>103</v>
      </c>
      <c r="Y71" s="6" t="s">
        <v>14</v>
      </c>
      <c r="Z71" s="6" t="s">
        <v>72</v>
      </c>
      <c r="AA71" s="6" t="s">
        <v>941</v>
      </c>
      <c r="AB71" s="6" t="s">
        <v>88</v>
      </c>
      <c r="AC71" s="6"/>
      <c r="AD71" s="6"/>
      <c r="AE71" s="6"/>
      <c r="AF71" s="6"/>
      <c r="AG71" s="6"/>
      <c r="AH71" s="6"/>
      <c r="AI71" s="6" t="s">
        <v>942</v>
      </c>
    </row>
    <row r="72" customFormat="false" ht="15" hidden="false" customHeight="true" outlineLevel="0" collapsed="false">
      <c r="A72" s="6" t="s">
        <v>943</v>
      </c>
      <c r="B72" s="6" t="s">
        <v>944</v>
      </c>
      <c r="C72" s="7" t="s">
        <v>4</v>
      </c>
      <c r="D72" s="6" t="s">
        <v>55</v>
      </c>
      <c r="E72" s="6" t="s">
        <v>919</v>
      </c>
      <c r="F72" s="6" t="s">
        <v>920</v>
      </c>
      <c r="G72" s="6" t="s">
        <v>945</v>
      </c>
      <c r="H72" s="6" t="s">
        <v>946</v>
      </c>
      <c r="I72" s="6" t="s">
        <v>274</v>
      </c>
      <c r="J72" s="6"/>
      <c r="K72" s="6" t="s">
        <v>60</v>
      </c>
      <c r="L72" s="6" t="s">
        <v>61</v>
      </c>
      <c r="M72" s="6" t="s">
        <v>947</v>
      </c>
      <c r="N72" s="6" t="s">
        <v>948</v>
      </c>
      <c r="O72" s="8" t="s">
        <v>949</v>
      </c>
      <c r="P72" s="6" t="n">
        <f aca="false">IF(O72="","",VALUE(LEFT(O72,4)))</f>
        <v>1795</v>
      </c>
      <c r="Q72" s="6" t="s">
        <v>950</v>
      </c>
      <c r="R72" s="6" t="s">
        <v>951</v>
      </c>
      <c r="S72" s="6" t="s">
        <v>304</v>
      </c>
      <c r="T72" s="6" t="s">
        <v>952</v>
      </c>
      <c r="U72" s="6" t="s">
        <v>69</v>
      </c>
      <c r="V72" s="6" t="s">
        <v>953</v>
      </c>
      <c r="W72" s="6" t="str">
        <f aca="false">IF(O72="","",INDEX(Lookups!$B$2:$B$72,MATCH(O72,Lookups!$A$2:$A$72,1)))</f>
        <v>Portland</v>
      </c>
      <c r="X72" s="6" t="s">
        <v>103</v>
      </c>
      <c r="Y72" s="6" t="s">
        <v>13</v>
      </c>
      <c r="Z72" s="6" t="s">
        <v>72</v>
      </c>
      <c r="AA72" s="6" t="s">
        <v>954</v>
      </c>
      <c r="AB72" s="6" t="s">
        <v>88</v>
      </c>
      <c r="AC72" s="6" t="s">
        <v>955</v>
      </c>
      <c r="AD72" s="6" t="s">
        <v>106</v>
      </c>
      <c r="AE72" s="6"/>
      <c r="AF72" s="6"/>
      <c r="AG72" s="6"/>
      <c r="AH72" s="6" t="s">
        <v>9</v>
      </c>
      <c r="AI72" s="6" t="s">
        <v>956</v>
      </c>
    </row>
    <row r="73" customFormat="false" ht="15" hidden="false" customHeight="true" outlineLevel="0" collapsed="false">
      <c r="A73" s="6" t="s">
        <v>957</v>
      </c>
      <c r="B73" s="6" t="s">
        <v>958</v>
      </c>
      <c r="C73" s="7" t="s">
        <v>4</v>
      </c>
      <c r="D73" s="6" t="s">
        <v>55</v>
      </c>
      <c r="E73" s="6" t="s">
        <v>919</v>
      </c>
      <c r="F73" s="6" t="s">
        <v>959</v>
      </c>
      <c r="G73" s="6" t="s">
        <v>960</v>
      </c>
      <c r="H73" s="6" t="s">
        <v>404</v>
      </c>
      <c r="I73" s="6" t="s">
        <v>274</v>
      </c>
      <c r="J73" s="6"/>
      <c r="K73" s="6" t="s">
        <v>60</v>
      </c>
      <c r="L73" s="6" t="s">
        <v>61</v>
      </c>
      <c r="M73" s="6" t="s">
        <v>961</v>
      </c>
      <c r="N73" s="6" t="s">
        <v>962</v>
      </c>
      <c r="O73" s="8" t="s">
        <v>963</v>
      </c>
      <c r="P73" s="6" t="n">
        <f aca="false">IF(O73="","",VALUE(LEFT(O73,4)))</f>
        <v>1795</v>
      </c>
      <c r="Q73" s="6" t="s">
        <v>964</v>
      </c>
      <c r="R73" s="6" t="s">
        <v>658</v>
      </c>
      <c r="S73" s="6" t="s">
        <v>304</v>
      </c>
      <c r="T73" s="6" t="s">
        <v>940</v>
      </c>
      <c r="U73" s="6" t="s">
        <v>815</v>
      </c>
      <c r="V73" s="6" t="s">
        <v>785</v>
      </c>
      <c r="W73" s="6" t="str">
        <f aca="false">IF(O73="","",INDEX(Lookups!$B$2:$B$73,MATCH(O73,Lookups!$A$2:$A$73,1)))</f>
        <v>Portland</v>
      </c>
      <c r="X73" s="6" t="s">
        <v>140</v>
      </c>
      <c r="Y73" s="6" t="s">
        <v>16</v>
      </c>
      <c r="Z73" s="6" t="s">
        <v>72</v>
      </c>
      <c r="AA73" s="6" t="s">
        <v>965</v>
      </c>
      <c r="AB73" s="6" t="s">
        <v>88</v>
      </c>
      <c r="AC73" s="6"/>
      <c r="AD73" s="6"/>
      <c r="AE73" s="6"/>
      <c r="AF73" s="6"/>
      <c r="AG73" s="6"/>
      <c r="AH73" s="6"/>
      <c r="AI73" s="6" t="s">
        <v>966</v>
      </c>
    </row>
    <row r="74" customFormat="false" ht="15" hidden="false" customHeight="true" outlineLevel="0" collapsed="false">
      <c r="A74" s="6" t="s">
        <v>967</v>
      </c>
      <c r="B74" s="6" t="s">
        <v>968</v>
      </c>
      <c r="C74" s="9" t="s">
        <v>5</v>
      </c>
      <c r="D74" s="6" t="s">
        <v>88</v>
      </c>
      <c r="E74" s="6" t="s">
        <v>969</v>
      </c>
      <c r="F74" s="6" t="s">
        <v>970</v>
      </c>
      <c r="G74" s="6" t="s">
        <v>971</v>
      </c>
      <c r="H74" s="6" t="s">
        <v>972</v>
      </c>
      <c r="I74" s="6" t="s">
        <v>274</v>
      </c>
      <c r="J74" s="6"/>
      <c r="K74" s="6" t="s">
        <v>60</v>
      </c>
      <c r="L74" s="6" t="s">
        <v>61</v>
      </c>
      <c r="M74" s="6" t="s">
        <v>973</v>
      </c>
      <c r="N74" s="6" t="s">
        <v>974</v>
      </c>
      <c r="O74" s="8" t="s">
        <v>975</v>
      </c>
      <c r="P74" s="6" t="n">
        <f aca="false">IF(O74="","",VALUE(LEFT(O74,4)))</f>
        <v>1796</v>
      </c>
      <c r="Q74" s="6" t="s">
        <v>976</v>
      </c>
      <c r="R74" s="6" t="s">
        <v>227</v>
      </c>
      <c r="S74" s="6" t="s">
        <v>241</v>
      </c>
      <c r="T74" s="6" t="s">
        <v>977</v>
      </c>
      <c r="U74" s="6" t="s">
        <v>187</v>
      </c>
      <c r="V74" s="6" t="s">
        <v>332</v>
      </c>
      <c r="W74" s="6" t="str">
        <f aca="false">IF(O74="","",INDEX(Lookups!$B$2:$B$74,MATCH(O74,Lookups!$A$2:$A$74,1)))</f>
        <v>Portland</v>
      </c>
      <c r="X74" s="6" t="s">
        <v>267</v>
      </c>
      <c r="Y74" s="6"/>
      <c r="Z74" s="6"/>
      <c r="AA74" s="6"/>
      <c r="AB74" s="6"/>
      <c r="AC74" s="6"/>
      <c r="AD74" s="6"/>
      <c r="AE74" s="6"/>
      <c r="AF74" s="6"/>
      <c r="AG74" s="6"/>
      <c r="AH74" s="6"/>
      <c r="AI74" s="6" t="s">
        <v>978</v>
      </c>
    </row>
    <row r="75" customFormat="false" ht="15" hidden="false" customHeight="true" outlineLevel="0" collapsed="false">
      <c r="A75" s="6" t="s">
        <v>979</v>
      </c>
      <c r="B75" s="6" t="s">
        <v>918</v>
      </c>
      <c r="C75" s="12" t="s">
        <v>9</v>
      </c>
      <c r="D75" s="6" t="s">
        <v>55</v>
      </c>
      <c r="E75" s="6" t="s">
        <v>969</v>
      </c>
      <c r="F75" s="6" t="s">
        <v>970</v>
      </c>
      <c r="G75" s="6" t="s">
        <v>980</v>
      </c>
      <c r="H75" s="6" t="s">
        <v>981</v>
      </c>
      <c r="I75" s="6" t="s">
        <v>274</v>
      </c>
      <c r="J75" s="6"/>
      <c r="K75" s="6" t="s">
        <v>60</v>
      </c>
      <c r="L75" s="6" t="s">
        <v>61</v>
      </c>
      <c r="M75" s="6" t="s">
        <v>982</v>
      </c>
      <c r="N75" s="6" t="s">
        <v>983</v>
      </c>
      <c r="O75" s="8" t="s">
        <v>984</v>
      </c>
      <c r="P75" s="6" t="n">
        <f aca="false">IF(O75="","",VALUE(LEFT(O75,4)))</f>
        <v>1796</v>
      </c>
      <c r="Q75" s="6" t="s">
        <v>926</v>
      </c>
      <c r="R75" s="6" t="s">
        <v>927</v>
      </c>
      <c r="S75" s="6" t="s">
        <v>304</v>
      </c>
      <c r="T75" s="6" t="s">
        <v>940</v>
      </c>
      <c r="U75" s="6" t="s">
        <v>815</v>
      </c>
      <c r="V75" s="6" t="s">
        <v>785</v>
      </c>
      <c r="W75" s="6" t="str">
        <f aca="false">IF(O75="","",INDEX(Lookups!$B$2:$B$75,MATCH(O75,Lookups!$A$2:$A$75,1)))</f>
        <v>Portland</v>
      </c>
      <c r="X75" s="6" t="s">
        <v>103</v>
      </c>
      <c r="Y75" s="6"/>
      <c r="Z75" s="6"/>
      <c r="AA75" s="6"/>
      <c r="AB75" s="6"/>
      <c r="AC75" s="6"/>
      <c r="AD75" s="6"/>
      <c r="AE75" s="6"/>
      <c r="AF75" s="6"/>
      <c r="AG75" s="6"/>
      <c r="AH75" s="6"/>
      <c r="AI75" s="6" t="s">
        <v>985</v>
      </c>
    </row>
    <row r="76" customFormat="false" ht="15" hidden="false" customHeight="true" outlineLevel="0" collapsed="false">
      <c r="A76" s="6" t="s">
        <v>986</v>
      </c>
      <c r="B76" s="6" t="s">
        <v>987</v>
      </c>
      <c r="C76" s="7" t="s">
        <v>4</v>
      </c>
      <c r="D76" s="6" t="s">
        <v>55</v>
      </c>
      <c r="E76" s="6" t="s">
        <v>969</v>
      </c>
      <c r="F76" s="6" t="s">
        <v>988</v>
      </c>
      <c r="G76" s="6" t="s">
        <v>989</v>
      </c>
      <c r="H76" s="6" t="s">
        <v>990</v>
      </c>
      <c r="I76" s="6" t="s">
        <v>274</v>
      </c>
      <c r="J76" s="6"/>
      <c r="K76" s="6" t="s">
        <v>60</v>
      </c>
      <c r="L76" s="6" t="s">
        <v>61</v>
      </c>
      <c r="M76" s="6" t="s">
        <v>991</v>
      </c>
      <c r="N76" s="6" t="s">
        <v>992</v>
      </c>
      <c r="O76" s="8" t="s">
        <v>993</v>
      </c>
      <c r="P76" s="6" t="n">
        <f aca="false">IF(O76="","",VALUE(LEFT(O76,4)))</f>
        <v>1796</v>
      </c>
      <c r="Q76" s="6" t="s">
        <v>994</v>
      </c>
      <c r="R76" s="6" t="s">
        <v>995</v>
      </c>
      <c r="S76" s="6" t="s">
        <v>137</v>
      </c>
      <c r="T76" s="6" t="s">
        <v>996</v>
      </c>
      <c r="U76" s="6" t="s">
        <v>174</v>
      </c>
      <c r="V76" s="6" t="s">
        <v>997</v>
      </c>
      <c r="W76" s="6" t="str">
        <f aca="false">IF(O76="","",INDEX(Lookups!$B$2:$B$76,MATCH(O76,Lookups!$A$2:$A$76,1)))</f>
        <v>Portland</v>
      </c>
      <c r="X76" s="6" t="s">
        <v>103</v>
      </c>
      <c r="Y76" s="6" t="s">
        <v>16</v>
      </c>
      <c r="Z76" s="6" t="s">
        <v>88</v>
      </c>
      <c r="AA76" s="6" t="s">
        <v>998</v>
      </c>
      <c r="AB76" s="6" t="s">
        <v>88</v>
      </c>
      <c r="AC76" s="6" t="s">
        <v>999</v>
      </c>
      <c r="AD76" s="6" t="s">
        <v>106</v>
      </c>
      <c r="AE76" s="6" t="s">
        <v>1000</v>
      </c>
      <c r="AF76" s="6" t="s">
        <v>108</v>
      </c>
      <c r="AG76" s="6" t="s">
        <v>785</v>
      </c>
      <c r="AH76" s="6" t="s">
        <v>9</v>
      </c>
      <c r="AI76" s="6" t="s">
        <v>1001</v>
      </c>
    </row>
    <row r="77" customFormat="false" ht="15" hidden="false" customHeight="true" outlineLevel="0" collapsed="false">
      <c r="A77" s="6" t="s">
        <v>1002</v>
      </c>
      <c r="B77" s="6" t="s">
        <v>987</v>
      </c>
      <c r="C77" s="7" t="s">
        <v>4</v>
      </c>
      <c r="D77" s="6" t="s">
        <v>88</v>
      </c>
      <c r="E77" s="6" t="s">
        <v>969</v>
      </c>
      <c r="F77" s="6" t="s">
        <v>1003</v>
      </c>
      <c r="G77" s="6" t="s">
        <v>1004</v>
      </c>
      <c r="H77" s="6" t="s">
        <v>1005</v>
      </c>
      <c r="I77" s="6" t="s">
        <v>274</v>
      </c>
      <c r="J77" s="6"/>
      <c r="K77" s="6" t="s">
        <v>60</v>
      </c>
      <c r="L77" s="6" t="s">
        <v>61</v>
      </c>
      <c r="M77" s="6" t="s">
        <v>1006</v>
      </c>
      <c r="N77" s="6" t="s">
        <v>1007</v>
      </c>
      <c r="O77" s="8" t="s">
        <v>1008</v>
      </c>
      <c r="P77" s="6" t="n">
        <f aca="false">IF(O77="","",VALUE(LEFT(O77,4)))</f>
        <v>1796</v>
      </c>
      <c r="Q77" s="6" t="s">
        <v>1009</v>
      </c>
      <c r="R77" s="6" t="s">
        <v>1009</v>
      </c>
      <c r="S77" s="6" t="s">
        <v>137</v>
      </c>
      <c r="T77" s="6" t="s">
        <v>1010</v>
      </c>
      <c r="U77" s="6" t="s">
        <v>279</v>
      </c>
      <c r="V77" s="6" t="s">
        <v>1011</v>
      </c>
      <c r="W77" s="6" t="str">
        <f aca="false">IF(O77="","",INDEX(Lookups!$B$2:$B$77,MATCH(O77,Lookups!$A$2:$A$77,1)))</f>
        <v>Portland</v>
      </c>
      <c r="X77" s="6" t="s">
        <v>103</v>
      </c>
      <c r="Y77" s="6" t="s">
        <v>14</v>
      </c>
      <c r="Z77" s="6" t="s">
        <v>72</v>
      </c>
      <c r="AA77" s="6" t="s">
        <v>1012</v>
      </c>
      <c r="AB77" s="6" t="s">
        <v>88</v>
      </c>
      <c r="AC77" s="6" t="s">
        <v>1013</v>
      </c>
      <c r="AD77" s="6" t="s">
        <v>106</v>
      </c>
      <c r="AE77" s="6" t="s">
        <v>1014</v>
      </c>
      <c r="AF77" s="6"/>
      <c r="AG77" s="6"/>
      <c r="AH77" s="6" t="s">
        <v>9</v>
      </c>
      <c r="AI77" s="6" t="s">
        <v>1015</v>
      </c>
    </row>
    <row r="78" customFormat="false" ht="15" hidden="false" customHeight="true" outlineLevel="0" collapsed="false">
      <c r="A78" s="6" t="s">
        <v>1016</v>
      </c>
      <c r="B78" s="6" t="s">
        <v>1017</v>
      </c>
      <c r="C78" s="7" t="s">
        <v>4</v>
      </c>
      <c r="D78" s="6" t="s">
        <v>88</v>
      </c>
      <c r="E78" s="6" t="s">
        <v>1018</v>
      </c>
      <c r="F78" s="6" t="s">
        <v>1019</v>
      </c>
      <c r="G78" s="6" t="s">
        <v>766</v>
      </c>
      <c r="H78" s="6" t="s">
        <v>1020</v>
      </c>
      <c r="I78" s="6" t="s">
        <v>274</v>
      </c>
      <c r="J78" s="6"/>
      <c r="K78" s="6" t="s">
        <v>60</v>
      </c>
      <c r="L78" s="6" t="s">
        <v>61</v>
      </c>
      <c r="M78" s="6" t="s">
        <v>1021</v>
      </c>
      <c r="N78" s="6" t="s">
        <v>1022</v>
      </c>
      <c r="O78" s="8" t="s">
        <v>1023</v>
      </c>
      <c r="P78" s="6" t="n">
        <f aca="false">IF(O78="","",VALUE(LEFT(O78,4)))</f>
        <v>1796</v>
      </c>
      <c r="Q78" s="6" t="s">
        <v>1024</v>
      </c>
      <c r="R78" s="6" t="s">
        <v>1025</v>
      </c>
      <c r="S78" s="6" t="s">
        <v>1026</v>
      </c>
      <c r="T78" s="6" t="s">
        <v>1027</v>
      </c>
      <c r="U78" s="6" t="s">
        <v>815</v>
      </c>
      <c r="V78" s="6" t="s">
        <v>785</v>
      </c>
      <c r="W78" s="6" t="str">
        <f aca="false">IF(O78="","",INDEX(Lookups!$B$2:$B$78,MATCH(O78,Lookups!$A$2:$A$78,1)))</f>
        <v>Portland</v>
      </c>
      <c r="X78" s="6" t="s">
        <v>1028</v>
      </c>
      <c r="Y78" s="6" t="s">
        <v>14</v>
      </c>
      <c r="Z78" s="6" t="s">
        <v>72</v>
      </c>
      <c r="AA78" s="6" t="s">
        <v>1029</v>
      </c>
      <c r="AB78" s="6" t="s">
        <v>55</v>
      </c>
      <c r="AC78" s="6"/>
      <c r="AD78" s="6"/>
      <c r="AE78" s="6"/>
      <c r="AF78" s="6"/>
      <c r="AG78" s="6"/>
      <c r="AH78" s="6"/>
      <c r="AI78" s="6" t="s">
        <v>1030</v>
      </c>
    </row>
    <row r="79" customFormat="false" ht="15" hidden="false" customHeight="true" outlineLevel="0" collapsed="false">
      <c r="O79" s="13"/>
    </row>
    <row r="80" customFormat="false" ht="15" hidden="false" customHeight="true" outlineLevel="0" collapsed="false">
      <c r="O80" s="13"/>
    </row>
    <row r="81" customFormat="false" ht="15" hidden="false" customHeight="true" outlineLevel="0" collapsed="false">
      <c r="O81" s="13"/>
    </row>
    <row r="82" customFormat="false" ht="15" hidden="false" customHeight="true" outlineLevel="0" collapsed="false">
      <c r="O82" s="13"/>
    </row>
    <row r="83" customFormat="false" ht="15" hidden="false" customHeight="true" outlineLevel="0" collapsed="false">
      <c r="O83" s="13"/>
    </row>
    <row r="84" customFormat="false" ht="15" hidden="false" customHeight="true" outlineLevel="0" collapsed="false">
      <c r="O84" s="13"/>
    </row>
    <row r="85" customFormat="false" ht="15" hidden="false" customHeight="true" outlineLevel="0" collapsed="false">
      <c r="O85" s="13"/>
    </row>
    <row r="86" customFormat="false" ht="15" hidden="false" customHeight="true" outlineLevel="0" collapsed="false">
      <c r="O86" s="13"/>
    </row>
    <row r="87" customFormat="false" ht="15" hidden="false" customHeight="true" outlineLevel="0" collapsed="false">
      <c r="O87" s="13"/>
    </row>
    <row r="88" customFormat="false" ht="15" hidden="false" customHeight="true" outlineLevel="0" collapsed="false">
      <c r="O88" s="13"/>
    </row>
    <row r="89" customFormat="false" ht="15" hidden="false" customHeight="true" outlineLevel="0" collapsed="false">
      <c r="O89" s="13"/>
    </row>
    <row r="90" customFormat="false" ht="15" hidden="false" customHeight="true" outlineLevel="0" collapsed="false">
      <c r="O90" s="13"/>
    </row>
    <row r="91" customFormat="false" ht="15" hidden="false" customHeight="true" outlineLevel="0" collapsed="false">
      <c r="O91" s="13"/>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78"/>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1031</v>
      </c>
      <c r="B1" s="5" t="s">
        <v>2</v>
      </c>
      <c r="C1" s="5" t="s">
        <v>1032</v>
      </c>
      <c r="D1" s="5" t="s">
        <v>37</v>
      </c>
      <c r="E1" s="5" t="s">
        <v>34</v>
      </c>
      <c r="F1" s="5" t="s">
        <v>1033</v>
      </c>
      <c r="G1" s="5" t="s">
        <v>1034</v>
      </c>
      <c r="H1" s="5" t="s">
        <v>1035</v>
      </c>
      <c r="I1" s="5" t="s">
        <v>1036</v>
      </c>
      <c r="J1" s="5" t="s">
        <v>1037</v>
      </c>
      <c r="K1" s="5" t="s">
        <v>1038</v>
      </c>
    </row>
    <row r="2" customFormat="false" ht="57" hidden="false" customHeight="true" outlineLevel="0" collapsed="false">
      <c r="A2" s="6" t="s">
        <v>1039</v>
      </c>
      <c r="B2" s="6" t="s">
        <v>4</v>
      </c>
      <c r="C2" s="6" t="s">
        <v>1040</v>
      </c>
      <c r="D2" s="6" t="s">
        <v>866</v>
      </c>
      <c r="E2" s="8" t="s">
        <v>1041</v>
      </c>
      <c r="F2" s="6" t="s">
        <v>1042</v>
      </c>
      <c r="G2" s="6" t="s">
        <v>1043</v>
      </c>
      <c r="H2" s="6" t="s">
        <v>1044</v>
      </c>
      <c r="I2" s="6" t="s">
        <v>55</v>
      </c>
      <c r="J2" s="6" t="s">
        <v>1045</v>
      </c>
      <c r="K2" s="6" t="s">
        <v>1046</v>
      </c>
    </row>
    <row r="3" customFormat="false" ht="23.25" hidden="false" customHeight="true" outlineLevel="0" collapsed="false">
      <c r="A3" s="6" t="s">
        <v>1047</v>
      </c>
      <c r="B3" s="6" t="s">
        <v>4</v>
      </c>
      <c r="C3" s="6" t="s">
        <v>1048</v>
      </c>
      <c r="D3" s="6" t="s">
        <v>866</v>
      </c>
      <c r="E3" s="8" t="s">
        <v>1049</v>
      </c>
      <c r="F3" s="6" t="s">
        <v>1050</v>
      </c>
      <c r="G3" s="6" t="s">
        <v>1051</v>
      </c>
      <c r="H3" s="6" t="s">
        <v>1052</v>
      </c>
      <c r="I3" s="6" t="s">
        <v>55</v>
      </c>
      <c r="J3" s="6" t="s">
        <v>1045</v>
      </c>
      <c r="K3" s="6" t="s">
        <v>1053</v>
      </c>
    </row>
    <row r="4" customFormat="false" ht="23.25" hidden="false" customHeight="true" outlineLevel="0" collapsed="false">
      <c r="A4" s="6" t="s">
        <v>1054</v>
      </c>
      <c r="B4" s="6" t="s">
        <v>4</v>
      </c>
      <c r="C4" s="6" t="s">
        <v>184</v>
      </c>
      <c r="D4" s="6" t="s">
        <v>185</v>
      </c>
      <c r="E4" s="8" t="s">
        <v>1055</v>
      </c>
      <c r="F4" s="6" t="s">
        <v>1056</v>
      </c>
      <c r="G4" s="6" t="s">
        <v>1057</v>
      </c>
      <c r="H4" s="6" t="s">
        <v>1058</v>
      </c>
      <c r="I4" s="6" t="s">
        <v>55</v>
      </c>
      <c r="J4" s="6" t="s">
        <v>1059</v>
      </c>
      <c r="K4" s="6" t="s">
        <v>1060</v>
      </c>
    </row>
    <row r="5" customFormat="false" ht="34.5" hidden="false" customHeight="true" outlineLevel="0" collapsed="false">
      <c r="A5" s="6" t="s">
        <v>1061</v>
      </c>
      <c r="B5" s="6" t="s">
        <v>9</v>
      </c>
      <c r="C5" s="6" t="s">
        <v>1062</v>
      </c>
      <c r="D5" s="6" t="s">
        <v>1026</v>
      </c>
      <c r="E5" s="8" t="s">
        <v>1063</v>
      </c>
      <c r="F5" s="6" t="s">
        <v>1064</v>
      </c>
      <c r="G5" s="6" t="s">
        <v>1065</v>
      </c>
      <c r="H5" s="6" t="s">
        <v>1058</v>
      </c>
      <c r="I5" s="6" t="s">
        <v>55</v>
      </c>
      <c r="J5" s="6" t="s">
        <v>1066</v>
      </c>
      <c r="K5" s="6" t="s">
        <v>1067</v>
      </c>
    </row>
    <row r="6" customFormat="false" ht="23.25" hidden="false" customHeight="true" outlineLevel="0" collapsed="false">
      <c r="A6" s="6" t="s">
        <v>1068</v>
      </c>
      <c r="B6" s="6" t="s">
        <v>6</v>
      </c>
      <c r="C6" s="6" t="s">
        <v>1069</v>
      </c>
      <c r="D6" s="6" t="s">
        <v>866</v>
      </c>
      <c r="E6" s="8" t="s">
        <v>1049</v>
      </c>
      <c r="F6" s="6" t="s">
        <v>1070</v>
      </c>
      <c r="G6" s="6" t="s">
        <v>1071</v>
      </c>
      <c r="H6" s="6" t="s">
        <v>1052</v>
      </c>
      <c r="I6" s="6" t="s">
        <v>55</v>
      </c>
      <c r="J6" s="6" t="s">
        <v>1059</v>
      </c>
      <c r="K6" s="6"/>
    </row>
    <row r="7" customFormat="false" ht="34.5" hidden="false" customHeight="true" outlineLevel="0" collapsed="false">
      <c r="A7" s="6" t="s">
        <v>1072</v>
      </c>
      <c r="B7" s="6" t="s">
        <v>6</v>
      </c>
      <c r="C7" s="6" t="s">
        <v>1073</v>
      </c>
      <c r="D7" s="6" t="s">
        <v>252</v>
      </c>
      <c r="E7" s="8" t="s">
        <v>1074</v>
      </c>
      <c r="F7" s="6" t="s">
        <v>1075</v>
      </c>
      <c r="G7" s="6" t="s">
        <v>1076</v>
      </c>
      <c r="H7" s="6" t="s">
        <v>1052</v>
      </c>
      <c r="I7" s="6" t="s">
        <v>55</v>
      </c>
      <c r="J7" s="6" t="s">
        <v>1059</v>
      </c>
      <c r="K7" s="6" t="s">
        <v>1077</v>
      </c>
    </row>
    <row r="8" customFormat="false" ht="23.25" hidden="false" customHeight="true" outlineLevel="0" collapsed="false">
      <c r="A8" s="6" t="s">
        <v>1078</v>
      </c>
      <c r="B8" s="6" t="s">
        <v>4</v>
      </c>
      <c r="C8" s="6" t="s">
        <v>1079</v>
      </c>
      <c r="D8" s="6" t="s">
        <v>1080</v>
      </c>
      <c r="E8" s="8" t="s">
        <v>1081</v>
      </c>
      <c r="F8" s="6" t="s">
        <v>1082</v>
      </c>
      <c r="G8" s="6" t="s">
        <v>1083</v>
      </c>
      <c r="H8" s="6" t="s">
        <v>1052</v>
      </c>
      <c r="I8" s="6" t="s">
        <v>55</v>
      </c>
      <c r="J8" s="6" t="s">
        <v>1045</v>
      </c>
      <c r="K8" s="6" t="s">
        <v>1084</v>
      </c>
    </row>
    <row r="9" customFormat="false" ht="23.25" hidden="false" customHeight="true" outlineLevel="0" collapsed="false">
      <c r="A9" s="6" t="s">
        <v>1085</v>
      </c>
      <c r="B9" s="6" t="s">
        <v>4</v>
      </c>
      <c r="C9" s="6" t="s">
        <v>1086</v>
      </c>
      <c r="D9" s="6" t="s">
        <v>172</v>
      </c>
      <c r="E9" s="8" t="s">
        <v>1087</v>
      </c>
      <c r="F9" s="6" t="s">
        <v>1088</v>
      </c>
      <c r="G9" s="6" t="s">
        <v>1089</v>
      </c>
      <c r="H9" s="6" t="s">
        <v>1052</v>
      </c>
      <c r="I9" s="6" t="s">
        <v>55</v>
      </c>
      <c r="J9" s="6" t="s">
        <v>1045</v>
      </c>
      <c r="K9" s="6"/>
    </row>
    <row r="10" customFormat="false" ht="23.25" hidden="false" customHeight="true" outlineLevel="0" collapsed="false">
      <c r="A10" s="6" t="s">
        <v>1090</v>
      </c>
      <c r="B10" s="6" t="s">
        <v>9</v>
      </c>
      <c r="C10" s="6" t="s">
        <v>195</v>
      </c>
      <c r="D10" s="6" t="s">
        <v>196</v>
      </c>
      <c r="E10" s="8" t="s">
        <v>1091</v>
      </c>
      <c r="F10" s="6" t="s">
        <v>1092</v>
      </c>
      <c r="G10" s="6" t="s">
        <v>1093</v>
      </c>
      <c r="H10" s="6" t="s">
        <v>1052</v>
      </c>
      <c r="I10" s="6" t="s">
        <v>55</v>
      </c>
      <c r="J10" s="6" t="s">
        <v>1059</v>
      </c>
      <c r="K10" s="6" t="s">
        <v>1094</v>
      </c>
    </row>
    <row r="11" customFormat="false" ht="34.5" hidden="false" customHeight="true" outlineLevel="0" collapsed="false">
      <c r="A11" s="6" t="s">
        <v>1095</v>
      </c>
      <c r="B11" s="6" t="s">
        <v>5</v>
      </c>
      <c r="C11" s="6" t="s">
        <v>1096</v>
      </c>
      <c r="D11" s="6" t="s">
        <v>1097</v>
      </c>
      <c r="E11" s="8" t="s">
        <v>1098</v>
      </c>
      <c r="F11" s="6" t="s">
        <v>1099</v>
      </c>
      <c r="G11" s="6" t="s">
        <v>1100</v>
      </c>
      <c r="H11" s="6" t="s">
        <v>1052</v>
      </c>
      <c r="I11" s="6" t="s">
        <v>55</v>
      </c>
      <c r="J11" s="6" t="s">
        <v>1059</v>
      </c>
      <c r="K11" s="6" t="s">
        <v>1101</v>
      </c>
    </row>
    <row r="12" customFormat="false" ht="23.25" hidden="false" customHeight="true" outlineLevel="0" collapsed="false">
      <c r="A12" s="6" t="s">
        <v>1102</v>
      </c>
      <c r="B12" s="6" t="s">
        <v>5</v>
      </c>
      <c r="C12" s="6" t="s">
        <v>1103</v>
      </c>
      <c r="D12" s="6" t="s">
        <v>252</v>
      </c>
      <c r="E12" s="8" t="s">
        <v>1104</v>
      </c>
      <c r="F12" s="6" t="s">
        <v>1105</v>
      </c>
      <c r="G12" s="6" t="s">
        <v>1106</v>
      </c>
      <c r="H12" s="6" t="s">
        <v>1052</v>
      </c>
      <c r="I12" s="6" t="s">
        <v>55</v>
      </c>
      <c r="J12" s="6" t="s">
        <v>1059</v>
      </c>
      <c r="K12" s="6" t="s">
        <v>1107</v>
      </c>
    </row>
    <row r="13" customFormat="false" ht="23.25" hidden="false" customHeight="true" outlineLevel="0" collapsed="false">
      <c r="A13" s="6" t="s">
        <v>1108</v>
      </c>
      <c r="B13" s="6" t="s">
        <v>6</v>
      </c>
      <c r="C13" s="6" t="s">
        <v>1109</v>
      </c>
      <c r="D13" s="6" t="s">
        <v>1110</v>
      </c>
      <c r="E13" s="8" t="s">
        <v>1111</v>
      </c>
      <c r="F13" s="6" t="s">
        <v>1112</v>
      </c>
      <c r="G13" s="6" t="s">
        <v>1113</v>
      </c>
      <c r="H13" s="6" t="s">
        <v>1052</v>
      </c>
      <c r="I13" s="6" t="s">
        <v>55</v>
      </c>
      <c r="J13" s="6" t="s">
        <v>1066</v>
      </c>
      <c r="K13" s="6" t="s">
        <v>1114</v>
      </c>
    </row>
    <row r="14" customFormat="false" ht="23.25" hidden="false" customHeight="true" outlineLevel="0" collapsed="false">
      <c r="A14" s="6" t="s">
        <v>1115</v>
      </c>
      <c r="B14" s="6" t="s">
        <v>6</v>
      </c>
      <c r="C14" s="6" t="s">
        <v>1116</v>
      </c>
      <c r="D14" s="6" t="s">
        <v>185</v>
      </c>
      <c r="E14" s="8" t="s">
        <v>1117</v>
      </c>
      <c r="F14" s="6" t="s">
        <v>1118</v>
      </c>
      <c r="G14" s="6" t="s">
        <v>1119</v>
      </c>
      <c r="H14" s="6" t="s">
        <v>1052</v>
      </c>
      <c r="I14" s="6" t="s">
        <v>55</v>
      </c>
      <c r="J14" s="6" t="s">
        <v>1066</v>
      </c>
      <c r="K14" s="6" t="s">
        <v>1120</v>
      </c>
    </row>
    <row r="15" customFormat="false" ht="34.5" hidden="false" customHeight="true" outlineLevel="0" collapsed="false">
      <c r="A15" s="6" t="s">
        <v>1121</v>
      </c>
      <c r="B15" s="6" t="s">
        <v>9</v>
      </c>
      <c r="C15" s="6" t="s">
        <v>1122</v>
      </c>
      <c r="D15" s="6" t="s">
        <v>1123</v>
      </c>
      <c r="E15" s="8" t="s">
        <v>1124</v>
      </c>
      <c r="F15" s="6" t="s">
        <v>1125</v>
      </c>
      <c r="G15" s="6" t="s">
        <v>1126</v>
      </c>
      <c r="H15" s="6" t="s">
        <v>1052</v>
      </c>
      <c r="I15" s="6" t="s">
        <v>55</v>
      </c>
      <c r="J15" s="6" t="s">
        <v>1059</v>
      </c>
      <c r="K15" s="6" t="s">
        <v>1127</v>
      </c>
    </row>
    <row r="16" customFormat="false" ht="34.5" hidden="false" customHeight="true" outlineLevel="0" collapsed="false">
      <c r="A16" s="6" t="s">
        <v>1128</v>
      </c>
      <c r="B16" s="6" t="s">
        <v>9</v>
      </c>
      <c r="C16" s="6" t="s">
        <v>1122</v>
      </c>
      <c r="D16" s="6" t="s">
        <v>1123</v>
      </c>
      <c r="E16" s="8" t="s">
        <v>1129</v>
      </c>
      <c r="F16" s="6" t="s">
        <v>1130</v>
      </c>
      <c r="G16" s="6" t="s">
        <v>1131</v>
      </c>
      <c r="H16" s="6" t="s">
        <v>1052</v>
      </c>
      <c r="I16" s="6" t="s">
        <v>55</v>
      </c>
      <c r="J16" s="6" t="s">
        <v>1059</v>
      </c>
      <c r="K16" s="6" t="s">
        <v>1132</v>
      </c>
    </row>
    <row r="17" customFormat="false" ht="34.5" hidden="false" customHeight="true" outlineLevel="0" collapsed="false">
      <c r="A17" s="6" t="s">
        <v>1133</v>
      </c>
      <c r="B17" s="6" t="s">
        <v>4</v>
      </c>
      <c r="C17" s="6" t="s">
        <v>227</v>
      </c>
      <c r="D17" s="6" t="s">
        <v>228</v>
      </c>
      <c r="E17" s="8" t="s">
        <v>1134</v>
      </c>
      <c r="F17" s="6" t="s">
        <v>1135</v>
      </c>
      <c r="G17" s="6" t="s">
        <v>1136</v>
      </c>
      <c r="H17" s="6" t="s">
        <v>1052</v>
      </c>
      <c r="I17" s="6" t="s">
        <v>55</v>
      </c>
      <c r="J17" s="6" t="s">
        <v>1045</v>
      </c>
      <c r="K17" s="6" t="s">
        <v>1137</v>
      </c>
    </row>
    <row r="18" customFormat="false" ht="45.75" hidden="false" customHeight="true" outlineLevel="0" collapsed="false">
      <c r="A18" s="6" t="s">
        <v>1138</v>
      </c>
      <c r="B18" s="6" t="s">
        <v>4</v>
      </c>
      <c r="C18" s="6" t="s">
        <v>227</v>
      </c>
      <c r="D18" s="6" t="s">
        <v>241</v>
      </c>
      <c r="E18" s="8" t="s">
        <v>1139</v>
      </c>
      <c r="F18" s="6" t="s">
        <v>1140</v>
      </c>
      <c r="G18" s="6" t="s">
        <v>1141</v>
      </c>
      <c r="H18" s="6" t="s">
        <v>1052</v>
      </c>
      <c r="I18" s="6" t="s">
        <v>55</v>
      </c>
      <c r="J18" s="6" t="s">
        <v>1059</v>
      </c>
      <c r="K18" s="6" t="s">
        <v>1142</v>
      </c>
    </row>
    <row r="19" customFormat="false" ht="23.25" hidden="false" customHeight="true" outlineLevel="0" collapsed="false">
      <c r="A19" s="6" t="s">
        <v>1143</v>
      </c>
      <c r="B19" s="6" t="s">
        <v>9</v>
      </c>
      <c r="C19" s="6" t="s">
        <v>1144</v>
      </c>
      <c r="D19" s="6" t="s">
        <v>1123</v>
      </c>
      <c r="E19" s="8" t="s">
        <v>1145</v>
      </c>
      <c r="F19" s="6" t="s">
        <v>1146</v>
      </c>
      <c r="G19" s="6" t="s">
        <v>1147</v>
      </c>
      <c r="H19" s="6" t="s">
        <v>1052</v>
      </c>
      <c r="I19" s="6" t="s">
        <v>55</v>
      </c>
      <c r="J19" s="6" t="s">
        <v>1045</v>
      </c>
      <c r="K19" s="6" t="s">
        <v>1148</v>
      </c>
    </row>
    <row r="20" customFormat="false" ht="34.5" hidden="false" customHeight="true" outlineLevel="0" collapsed="false">
      <c r="A20" s="6" t="s">
        <v>1149</v>
      </c>
      <c r="B20" s="6" t="s">
        <v>9</v>
      </c>
      <c r="C20" s="6" t="s">
        <v>1086</v>
      </c>
      <c r="D20" s="6" t="s">
        <v>172</v>
      </c>
      <c r="E20" s="8" t="s">
        <v>1150</v>
      </c>
      <c r="F20" s="6" t="s">
        <v>1151</v>
      </c>
      <c r="G20" s="6" t="s">
        <v>1152</v>
      </c>
      <c r="H20" s="6" t="s">
        <v>1153</v>
      </c>
      <c r="I20" s="6" t="s">
        <v>1154</v>
      </c>
      <c r="J20" s="6" t="s">
        <v>1059</v>
      </c>
      <c r="K20" s="6" t="s">
        <v>1155</v>
      </c>
    </row>
    <row r="21" customFormat="false" ht="45.75" hidden="false" customHeight="true" outlineLevel="0" collapsed="false">
      <c r="A21" s="6" t="s">
        <v>1156</v>
      </c>
      <c r="B21" s="6" t="s">
        <v>9</v>
      </c>
      <c r="C21" s="6" t="s">
        <v>1157</v>
      </c>
      <c r="D21" s="6" t="s">
        <v>1158</v>
      </c>
      <c r="E21" s="8" t="s">
        <v>1159</v>
      </c>
      <c r="F21" s="6" t="s">
        <v>1160</v>
      </c>
      <c r="G21" s="6" t="s">
        <v>1161</v>
      </c>
      <c r="H21" s="6" t="s">
        <v>1153</v>
      </c>
      <c r="I21" s="6" t="s">
        <v>88</v>
      </c>
      <c r="J21" s="6" t="s">
        <v>1066</v>
      </c>
      <c r="K21" s="6" t="s">
        <v>1162</v>
      </c>
    </row>
    <row r="22" customFormat="false" ht="34.5" hidden="false" customHeight="true" outlineLevel="0" collapsed="false">
      <c r="A22" s="6" t="s">
        <v>1163</v>
      </c>
      <c r="B22" s="6" t="s">
        <v>9</v>
      </c>
      <c r="C22" s="6" t="s">
        <v>1164</v>
      </c>
      <c r="D22" s="6" t="s">
        <v>196</v>
      </c>
      <c r="E22" s="8" t="s">
        <v>1165</v>
      </c>
      <c r="F22" s="6" t="s">
        <v>1166</v>
      </c>
      <c r="G22" s="6" t="s">
        <v>1167</v>
      </c>
      <c r="H22" s="6" t="s">
        <v>1168</v>
      </c>
      <c r="I22" s="6" t="s">
        <v>88</v>
      </c>
      <c r="J22" s="6" t="s">
        <v>1066</v>
      </c>
      <c r="K22" s="6" t="s">
        <v>1169</v>
      </c>
    </row>
    <row r="23" customFormat="false" ht="34.5" hidden="false" customHeight="true" outlineLevel="0" collapsed="false">
      <c r="A23" s="6" t="s">
        <v>1170</v>
      </c>
      <c r="B23" s="6" t="s">
        <v>9</v>
      </c>
      <c r="C23" s="6" t="s">
        <v>1171</v>
      </c>
      <c r="D23" s="6" t="s">
        <v>1158</v>
      </c>
      <c r="E23" s="8" t="s">
        <v>1172</v>
      </c>
      <c r="F23" s="6" t="s">
        <v>1173</v>
      </c>
      <c r="G23" s="6" t="s">
        <v>1174</v>
      </c>
      <c r="H23" s="6" t="s">
        <v>1168</v>
      </c>
      <c r="I23" s="6" t="s">
        <v>88</v>
      </c>
      <c r="J23" s="6" t="s">
        <v>1066</v>
      </c>
      <c r="K23" s="6" t="s">
        <v>1175</v>
      </c>
    </row>
    <row r="24" customFormat="false" ht="79.5" hidden="false" customHeight="true" outlineLevel="0" collapsed="false">
      <c r="A24" s="6" t="s">
        <v>1176</v>
      </c>
      <c r="B24" s="6" t="s">
        <v>4</v>
      </c>
      <c r="C24" s="6" t="s">
        <v>184</v>
      </c>
      <c r="D24" s="6" t="s">
        <v>185</v>
      </c>
      <c r="E24" s="8" t="s">
        <v>1177</v>
      </c>
      <c r="F24" s="6" t="s">
        <v>1178</v>
      </c>
      <c r="G24" s="6" t="s">
        <v>1179</v>
      </c>
      <c r="H24" s="6" t="s">
        <v>1168</v>
      </c>
      <c r="I24" s="6" t="s">
        <v>1154</v>
      </c>
      <c r="J24" s="6" t="s">
        <v>1059</v>
      </c>
      <c r="K24" s="6" t="s">
        <v>1180</v>
      </c>
    </row>
    <row r="25" customFormat="false" ht="34.5" hidden="false" customHeight="true" outlineLevel="0" collapsed="false">
      <c r="A25" s="6" t="s">
        <v>1181</v>
      </c>
      <c r="B25" s="6" t="s">
        <v>9</v>
      </c>
      <c r="C25" s="6" t="s">
        <v>227</v>
      </c>
      <c r="D25" s="6" t="s">
        <v>241</v>
      </c>
      <c r="E25" s="8" t="s">
        <v>1182</v>
      </c>
      <c r="F25" s="6" t="s">
        <v>1183</v>
      </c>
      <c r="G25" s="6" t="s">
        <v>1184</v>
      </c>
      <c r="H25" s="6" t="s">
        <v>1168</v>
      </c>
      <c r="I25" s="6" t="s">
        <v>88</v>
      </c>
      <c r="J25" s="6" t="s">
        <v>1066</v>
      </c>
      <c r="K25" s="6" t="s">
        <v>1185</v>
      </c>
    </row>
    <row r="26" customFormat="false" ht="45.75" hidden="false" customHeight="true" outlineLevel="0" collapsed="false">
      <c r="A26" s="6" t="s">
        <v>1186</v>
      </c>
      <c r="B26" s="6" t="s">
        <v>9</v>
      </c>
      <c r="C26" s="6" t="s">
        <v>1187</v>
      </c>
      <c r="D26" s="6" t="s">
        <v>121</v>
      </c>
      <c r="E26" s="8" t="s">
        <v>1188</v>
      </c>
      <c r="F26" s="6" t="s">
        <v>1189</v>
      </c>
      <c r="G26" s="6" t="s">
        <v>1190</v>
      </c>
      <c r="H26" s="6" t="s">
        <v>1168</v>
      </c>
      <c r="I26" s="6" t="s">
        <v>88</v>
      </c>
      <c r="J26" s="6" t="s">
        <v>1059</v>
      </c>
      <c r="K26" s="6" t="s">
        <v>1191</v>
      </c>
    </row>
    <row r="27" customFormat="false" ht="68.25" hidden="false" customHeight="true" outlineLevel="0" collapsed="false">
      <c r="A27" s="6" t="s">
        <v>1192</v>
      </c>
      <c r="B27" s="6" t="s">
        <v>9</v>
      </c>
      <c r="C27" s="6" t="s">
        <v>542</v>
      </c>
      <c r="D27" s="6" t="s">
        <v>447</v>
      </c>
      <c r="E27" s="8" t="s">
        <v>1193</v>
      </c>
      <c r="F27" s="6" t="s">
        <v>1194</v>
      </c>
      <c r="G27" s="6" t="s">
        <v>1195</v>
      </c>
      <c r="H27" s="6" t="s">
        <v>1168</v>
      </c>
      <c r="I27" s="6" t="s">
        <v>1154</v>
      </c>
      <c r="J27" s="6" t="s">
        <v>1059</v>
      </c>
      <c r="K27" s="6" t="s">
        <v>1196</v>
      </c>
    </row>
    <row r="28" customFormat="false" ht="57" hidden="false" customHeight="true" outlineLevel="0" collapsed="false">
      <c r="A28" s="6" t="s">
        <v>1197</v>
      </c>
      <c r="B28" s="6" t="s">
        <v>9</v>
      </c>
      <c r="C28" s="6" t="s">
        <v>1198</v>
      </c>
      <c r="D28" s="6" t="s">
        <v>634</v>
      </c>
      <c r="E28" s="8" t="s">
        <v>1199</v>
      </c>
      <c r="F28" s="6" t="s">
        <v>1200</v>
      </c>
      <c r="G28" s="6" t="s">
        <v>1201</v>
      </c>
      <c r="H28" s="6" t="s">
        <v>1202</v>
      </c>
      <c r="I28" s="6" t="s">
        <v>88</v>
      </c>
      <c r="J28" s="6" t="s">
        <v>1059</v>
      </c>
      <c r="K28" s="6" t="s">
        <v>1203</v>
      </c>
    </row>
    <row r="29" customFormat="false" ht="68.25" hidden="false" customHeight="true" outlineLevel="0" collapsed="false">
      <c r="A29" s="6" t="s">
        <v>1204</v>
      </c>
      <c r="B29" s="6" t="s">
        <v>9</v>
      </c>
      <c r="C29" s="6" t="s">
        <v>1205</v>
      </c>
      <c r="D29" s="6" t="s">
        <v>1206</v>
      </c>
      <c r="E29" s="8" t="s">
        <v>1207</v>
      </c>
      <c r="F29" s="6" t="s">
        <v>1208</v>
      </c>
      <c r="G29" s="6" t="s">
        <v>1209</v>
      </c>
      <c r="H29" s="6" t="s">
        <v>1202</v>
      </c>
      <c r="I29" s="6" t="s">
        <v>88</v>
      </c>
      <c r="J29" s="6" t="s">
        <v>1059</v>
      </c>
      <c r="K29" s="6" t="s">
        <v>1210</v>
      </c>
    </row>
  </sheetData>
  <autoFilter ref="A1:K29"/>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1211</v>
      </c>
      <c r="B1" s="15"/>
    </row>
    <row r="2" customFormat="false" ht="15" hidden="false" customHeight="true" outlineLevel="0" collapsed="false">
      <c r="A2" s="16"/>
      <c r="B2" s="15"/>
    </row>
    <row r="3" customFormat="false" ht="15" hidden="false" customHeight="true" outlineLevel="0" collapsed="false">
      <c r="A3" s="16" t="s">
        <v>1212</v>
      </c>
      <c r="B3" s="15" t="s">
        <v>1213</v>
      </c>
    </row>
    <row r="4" customFormat="false" ht="23.25" hidden="false" customHeight="true" outlineLevel="0" collapsed="false">
      <c r="A4" s="16" t="s">
        <v>1037</v>
      </c>
      <c r="B4" s="15" t="s">
        <v>1214</v>
      </c>
    </row>
    <row r="5" customFormat="false" ht="23.25" hidden="false" customHeight="true" outlineLevel="0" collapsed="false">
      <c r="A5" s="16" t="s">
        <v>1215</v>
      </c>
      <c r="B5" s="15" t="s">
        <v>1216</v>
      </c>
    </row>
    <row r="6" customFormat="false" ht="15" hidden="false" customHeight="true" outlineLevel="0" collapsed="false">
      <c r="A6" s="16" t="s">
        <v>1217</v>
      </c>
      <c r="B6" s="15" t="s">
        <v>1218</v>
      </c>
    </row>
    <row r="7" customFormat="false" ht="15" hidden="false" customHeight="true" outlineLevel="0" collapsed="false">
      <c r="A7" s="16"/>
      <c r="B7" s="15"/>
    </row>
    <row r="8" customFormat="false" ht="15" hidden="false" customHeight="true" outlineLevel="0" collapsed="false">
      <c r="A8" s="16" t="s">
        <v>1219</v>
      </c>
      <c r="B8" s="15"/>
    </row>
    <row r="9" customFormat="false" ht="15" hidden="false" customHeight="true" outlineLevel="0" collapsed="false">
      <c r="A9" s="16" t="s">
        <v>4</v>
      </c>
      <c r="B9" s="15" t="s">
        <v>1220</v>
      </c>
    </row>
    <row r="10" customFormat="false" ht="15" hidden="false" customHeight="true" outlineLevel="0" collapsed="false">
      <c r="A10" s="16" t="s">
        <v>5</v>
      </c>
      <c r="B10" s="15" t="s">
        <v>1221</v>
      </c>
    </row>
    <row r="11" customFormat="false" ht="15" hidden="false" customHeight="true" outlineLevel="0" collapsed="false">
      <c r="A11" s="16" t="s">
        <v>6</v>
      </c>
      <c r="B11" s="15" t="s">
        <v>1222</v>
      </c>
    </row>
    <row r="12" customFormat="false" ht="15" hidden="false" customHeight="true" outlineLevel="0" collapsed="false">
      <c r="A12" s="16" t="s">
        <v>7</v>
      </c>
      <c r="B12" s="15" t="s">
        <v>1223</v>
      </c>
    </row>
    <row r="13" customFormat="false" ht="15" hidden="false" customHeight="true" outlineLevel="0" collapsed="false">
      <c r="A13" s="16" t="s">
        <v>8</v>
      </c>
      <c r="B13" s="15" t="s">
        <v>1224</v>
      </c>
    </row>
    <row r="14" customFormat="false" ht="15" hidden="false" customHeight="true" outlineLevel="0" collapsed="false">
      <c r="A14" s="16"/>
      <c r="B14" s="15"/>
    </row>
    <row r="15" customFormat="false" ht="15" hidden="false" customHeight="true" outlineLevel="0" collapsed="false">
      <c r="A15" s="16" t="s">
        <v>1225</v>
      </c>
      <c r="B15" s="15"/>
    </row>
    <row r="16" customFormat="false" ht="15" hidden="false" customHeight="true" outlineLevel="0" collapsed="false">
      <c r="A16" s="16" t="s">
        <v>1226</v>
      </c>
      <c r="B16" s="15" t="s">
        <v>1227</v>
      </c>
    </row>
    <row r="17" customFormat="false" ht="15" hidden="false" customHeight="true" outlineLevel="0" collapsed="false">
      <c r="A17" s="16" t="s">
        <v>1228</v>
      </c>
      <c r="B17" s="15" t="s">
        <v>1229</v>
      </c>
    </row>
    <row r="18" customFormat="false" ht="15" hidden="false" customHeight="true" outlineLevel="0" collapsed="false">
      <c r="A18" s="16" t="s">
        <v>1230</v>
      </c>
      <c r="B18" s="15" t="s">
        <v>1231</v>
      </c>
    </row>
    <row r="19" customFormat="false" ht="15" hidden="false" customHeight="true" outlineLevel="0" collapsed="false">
      <c r="A19" s="16" t="s">
        <v>1232</v>
      </c>
      <c r="B19" s="15" t="s">
        <v>1233</v>
      </c>
    </row>
    <row r="20" customFormat="false" ht="15" hidden="false" customHeight="true" outlineLevel="0" collapsed="false">
      <c r="A20" s="16" t="s">
        <v>1234</v>
      </c>
      <c r="B20" s="15" t="s">
        <v>1235</v>
      </c>
    </row>
    <row r="21" customFormat="false" ht="15" hidden="false" customHeight="true" outlineLevel="0" collapsed="false">
      <c r="A21" s="16" t="s">
        <v>1236</v>
      </c>
      <c r="B21" s="15" t="s">
        <v>1237</v>
      </c>
    </row>
    <row r="22" customFormat="false" ht="15" hidden="false" customHeight="true" outlineLevel="0" collapsed="false">
      <c r="A22" s="16" t="s">
        <v>1238</v>
      </c>
      <c r="B22" s="15" t="s">
        <v>1239</v>
      </c>
    </row>
    <row r="23" customFormat="false" ht="15" hidden="false" customHeight="true" outlineLevel="0" collapsed="false">
      <c r="A23" s="16"/>
      <c r="B23" s="15"/>
    </row>
    <row r="24" customFormat="false" ht="15" hidden="false" customHeight="true" outlineLevel="0" collapsed="false">
      <c r="A24" s="16" t="s">
        <v>1240</v>
      </c>
      <c r="B24" s="15" t="s">
        <v>1241</v>
      </c>
    </row>
    <row r="25" customFormat="false" ht="23.25" hidden="false" customHeight="true" outlineLevel="0" collapsed="false">
      <c r="A25" s="16" t="s">
        <v>1242</v>
      </c>
      <c r="B25" s="15" t="s">
        <v>1243</v>
      </c>
    </row>
    <row r="26" customFormat="false" ht="15" hidden="false" customHeight="true" outlineLevel="0" collapsed="false">
      <c r="A26" s="16" t="s">
        <v>1244</v>
      </c>
      <c r="B26" s="15" t="s">
        <v>1245</v>
      </c>
    </row>
    <row r="27" customFormat="false" ht="23.25" hidden="false" customHeight="true" outlineLevel="0" collapsed="false">
      <c r="A27" s="16" t="s">
        <v>1246</v>
      </c>
      <c r="B27" s="15" t="s">
        <v>1247</v>
      </c>
    </row>
    <row r="28" customFormat="false" ht="23.25" hidden="false" customHeight="true" outlineLevel="0" collapsed="false">
      <c r="A28" s="16" t="s">
        <v>1248</v>
      </c>
      <c r="B28" s="15" t="s">
        <v>1249</v>
      </c>
    </row>
    <row r="29" customFormat="false" ht="15" hidden="false" customHeight="true" outlineLevel="0" collapsed="false">
      <c r="A29" s="16"/>
      <c r="B29" s="15"/>
    </row>
    <row r="30" customFormat="false" ht="15" hidden="false" customHeight="true" outlineLevel="0" collapsed="false">
      <c r="A30" s="16" t="s">
        <v>1250</v>
      </c>
      <c r="B30" s="15"/>
    </row>
    <row r="31" customFormat="false" ht="15" hidden="false" customHeight="true" outlineLevel="0" collapsed="false">
      <c r="A31" s="16" t="s">
        <v>1251</v>
      </c>
      <c r="B31" s="15" t="s">
        <v>1252</v>
      </c>
    </row>
    <row r="32" customFormat="false" ht="34.5" hidden="false" customHeight="true" outlineLevel="0" collapsed="false">
      <c r="A32" s="16" t="s">
        <v>1253</v>
      </c>
      <c r="B32" s="15" t="s">
        <v>1254</v>
      </c>
    </row>
    <row r="34" customFormat="false" ht="23.25" hidden="false" customHeight="true" outlineLevel="0" collapsed="false">
      <c r="A34" s="3" t="s">
        <v>1255</v>
      </c>
      <c r="B34" s="15" t="s">
        <v>1256</v>
      </c>
    </row>
    <row r="36" customFormat="false" ht="45.75" hidden="false" customHeight="true" outlineLevel="0" collapsed="false">
      <c r="A36" s="17" t="s">
        <v>1257</v>
      </c>
      <c r="B36" s="15" t="s">
        <v>1258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1259</v>
      </c>
      <c r="B1" s="3" t="s">
        <v>1260</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1261</v>
      </c>
      <c r="B2" s="4" t="s">
        <v>1262</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1263</v>
      </c>
      <c r="B3" s="4" t="s">
        <v>1264</v>
      </c>
      <c r="C3" s="4"/>
      <c r="D3" s="4" t="s">
        <v>5</v>
      </c>
      <c r="E3" s="4" t="s">
        <v>55</v>
      </c>
      <c r="F3" s="4" t="s">
        <v>1265</v>
      </c>
      <c r="G3" s="4" t="s">
        <v>1266</v>
      </c>
      <c r="H3" s="4" t="s">
        <v>116</v>
      </c>
      <c r="I3" s="4" t="s">
        <v>85</v>
      </c>
      <c r="J3" s="4" t="s">
        <v>206</v>
      </c>
      <c r="K3" s="4" t="s">
        <v>14</v>
      </c>
      <c r="L3" s="4" t="s">
        <v>55</v>
      </c>
      <c r="M3" s="4" t="s">
        <v>55</v>
      </c>
      <c r="N3" s="4" t="s">
        <v>434</v>
      </c>
      <c r="O3" s="4" t="s">
        <v>1267</v>
      </c>
    </row>
    <row r="4" customFormat="false" ht="15" hidden="false" customHeight="true" outlineLevel="0" collapsed="false">
      <c r="A4" s="18" t="s">
        <v>1268</v>
      </c>
      <c r="B4" s="4" t="s">
        <v>1269</v>
      </c>
      <c r="C4" s="4"/>
      <c r="D4" s="4" t="s">
        <v>6</v>
      </c>
      <c r="E4" s="4"/>
      <c r="F4" s="4" t="s">
        <v>59</v>
      </c>
      <c r="G4" s="4" t="s">
        <v>1270</v>
      </c>
      <c r="H4" s="4" t="s">
        <v>1271</v>
      </c>
      <c r="I4" s="4" t="s">
        <v>815</v>
      </c>
      <c r="J4" s="4" t="s">
        <v>70</v>
      </c>
      <c r="K4" s="4" t="s">
        <v>15</v>
      </c>
      <c r="L4" s="4" t="s">
        <v>72</v>
      </c>
      <c r="M4" s="4" t="s">
        <v>141</v>
      </c>
      <c r="N4" s="4" t="s">
        <v>1272</v>
      </c>
      <c r="O4" s="4" t="s">
        <v>9</v>
      </c>
    </row>
    <row r="5" customFormat="false" ht="15" hidden="false" customHeight="true" outlineLevel="0" collapsed="false">
      <c r="A5" s="18" t="s">
        <v>1273</v>
      </c>
      <c r="B5" s="4" t="s">
        <v>1274</v>
      </c>
      <c r="C5" s="4"/>
      <c r="D5" s="4" t="s">
        <v>7</v>
      </c>
      <c r="E5" s="4"/>
      <c r="F5" s="4"/>
      <c r="G5" s="4" t="s">
        <v>73</v>
      </c>
      <c r="H5" s="4" t="s">
        <v>1275</v>
      </c>
      <c r="I5" s="4" t="s">
        <v>174</v>
      </c>
      <c r="J5" s="4" t="s">
        <v>87</v>
      </c>
      <c r="K5" s="4" t="s">
        <v>16</v>
      </c>
      <c r="L5" s="4"/>
      <c r="M5" s="4" t="s">
        <v>72</v>
      </c>
      <c r="N5" s="4" t="s">
        <v>90</v>
      </c>
      <c r="O5" s="4" t="s">
        <v>1276</v>
      </c>
    </row>
    <row r="6" customFormat="false" ht="15" hidden="false" customHeight="true" outlineLevel="0" collapsed="false">
      <c r="A6" s="18" t="s">
        <v>1277</v>
      </c>
      <c r="B6" s="4" t="s">
        <v>1278</v>
      </c>
      <c r="C6" s="4"/>
      <c r="D6" s="4" t="s">
        <v>8</v>
      </c>
      <c r="E6" s="4"/>
      <c r="F6" s="4"/>
      <c r="G6" s="4"/>
      <c r="H6" s="4" t="s">
        <v>1279</v>
      </c>
      <c r="I6" s="4" t="s">
        <v>139</v>
      </c>
      <c r="J6" s="4" t="s">
        <v>267</v>
      </c>
      <c r="K6" s="4"/>
      <c r="L6" s="4"/>
      <c r="M6" s="4"/>
      <c r="N6" s="4" t="s">
        <v>73</v>
      </c>
      <c r="O6" s="4"/>
    </row>
    <row r="7" customFormat="false" ht="15" hidden="false" customHeight="true" outlineLevel="0" collapsed="false">
      <c r="A7" s="18" t="s">
        <v>1280</v>
      </c>
      <c r="B7" s="4" t="s">
        <v>1281</v>
      </c>
      <c r="C7" s="4"/>
      <c r="D7" s="4" t="s">
        <v>9</v>
      </c>
      <c r="E7" s="4"/>
      <c r="F7" s="4"/>
      <c r="G7" s="4"/>
      <c r="H7" s="4"/>
      <c r="I7" s="4" t="s">
        <v>187</v>
      </c>
      <c r="J7" s="4" t="s">
        <v>231</v>
      </c>
      <c r="K7" s="4"/>
      <c r="L7" s="4"/>
      <c r="M7" s="4"/>
      <c r="N7" s="4" t="s">
        <v>736</v>
      </c>
      <c r="O7" s="4"/>
    </row>
    <row r="8" customFormat="false" ht="15" hidden="false" customHeight="true" outlineLevel="0" collapsed="false">
      <c r="A8" s="18" t="s">
        <v>1282</v>
      </c>
      <c r="B8" s="4" t="s">
        <v>1283</v>
      </c>
      <c r="C8" s="4"/>
      <c r="D8" s="4"/>
      <c r="E8" s="4"/>
      <c r="F8" s="4"/>
      <c r="G8" s="4"/>
      <c r="H8" s="4"/>
      <c r="I8" s="4" t="s">
        <v>279</v>
      </c>
      <c r="J8" s="4" t="s">
        <v>1028</v>
      </c>
      <c r="K8" s="4"/>
      <c r="L8" s="4"/>
      <c r="M8" s="4"/>
      <c r="N8" s="4"/>
      <c r="O8" s="4"/>
    </row>
    <row r="9" customFormat="false" ht="15" hidden="false" customHeight="true" outlineLevel="0" collapsed="false">
      <c r="A9" s="18" t="s">
        <v>1284</v>
      </c>
      <c r="B9" s="4" t="s">
        <v>1281</v>
      </c>
      <c r="C9" s="4"/>
      <c r="D9" s="4"/>
      <c r="E9" s="4"/>
      <c r="F9" s="4"/>
      <c r="G9" s="4"/>
      <c r="H9" s="4"/>
      <c r="I9" s="4" t="s">
        <v>254</v>
      </c>
      <c r="J9" s="4" t="s">
        <v>124</v>
      </c>
      <c r="K9" s="4"/>
      <c r="L9" s="4"/>
      <c r="M9" s="4"/>
      <c r="N9" s="4"/>
      <c r="O9" s="4"/>
    </row>
    <row r="10" customFormat="false" ht="15" hidden="false" customHeight="true" outlineLevel="0" collapsed="false">
      <c r="A10" s="18" t="s">
        <v>1285</v>
      </c>
      <c r="B10" s="4" t="s">
        <v>1286</v>
      </c>
      <c r="C10" s="4"/>
      <c r="D10" s="4"/>
      <c r="E10" s="4"/>
      <c r="F10" s="4"/>
      <c r="G10" s="4"/>
      <c r="H10" s="4"/>
      <c r="I10" s="4" t="s">
        <v>217</v>
      </c>
      <c r="J10" s="4" t="s">
        <v>395</v>
      </c>
      <c r="K10" s="4"/>
      <c r="L10" s="4"/>
      <c r="M10" s="4"/>
      <c r="N10" s="4"/>
      <c r="O10" s="4"/>
    </row>
    <row r="11" customFormat="false" ht="15" hidden="false" customHeight="true" outlineLevel="0" collapsed="false">
      <c r="A11" s="18" t="s">
        <v>1287</v>
      </c>
      <c r="B11" s="4" t="s">
        <v>1288</v>
      </c>
      <c r="C11" s="4"/>
      <c r="D11" s="4"/>
      <c r="E11" s="4"/>
      <c r="F11" s="4"/>
      <c r="G11" s="4"/>
      <c r="H11" s="4"/>
      <c r="I11" s="4"/>
      <c r="J11" s="4" t="s">
        <v>140</v>
      </c>
      <c r="K11" s="4"/>
      <c r="L11" s="4"/>
      <c r="M11" s="4"/>
      <c r="N11" s="4"/>
      <c r="O11" s="4"/>
    </row>
    <row r="12" customFormat="false" ht="15" hidden="false" customHeight="true" outlineLevel="0" collapsed="false">
      <c r="A12" s="18" t="s">
        <v>1289</v>
      </c>
      <c r="B12" s="4" t="s">
        <v>1290</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1291</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2026-10-30T17:48:49Z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