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gend" sheetId="3" state="visible" r:id="rId5"/>
    <sheet name="Lookups" sheetId="4" state="visible" r:id="rId6"/>
  </sheets>
  <definedNames>
    <definedName function="false" hidden="true" localSheetId="1" name="_xlnm._FilterDatabase" vbProcedure="false">Events!$A$1:$AK$19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Formula from Nation: England = Core; Wales = Low priority (JV); Scotland = Check with JV.</t>
        </r>
      </text>
    </comment>
    <comment ref="E1" authorId="0">
      <text>
        <r>
          <rPr>
            <sz val="10"/>
            <rFont val="Arial"/>
            <family val="2"/>
          </rPr>
          <t xml:space="preserve">Y if the quote ties corps/barracks/troops explicitly to suppressing riots/insurrection.</t>
        </r>
      </text>
    </comment>
    <comment ref="H1" authorId="0">
      <text>
        <r>
          <rPr>
            <sz val="10"/>
            <rFont val="Arial"/>
            <family val="2"/>
          </rPr>
          <t xml:space="preserve">Page/image number inside the TNA PDF. TNA PDFs come from old microfilm made BEFORE re-foliation, so PDF page and folio stamp can disagree - record both.</t>
        </r>
      </text>
    </comment>
    <comment ref="I1" authorId="0">
      <text>
        <r>
          <rPr>
            <sz val="10"/>
            <rFont val="Arial"/>
            <family val="2"/>
          </rPr>
          <t xml:space="preserve">Folio number as stamped on the document.</t>
        </r>
      </text>
    </comment>
    <comment ref="J1" authorId="0">
      <text>
        <r>
          <rPr>
            <sz val="10"/>
            <rFont val="Arial"/>
            <family val="2"/>
          </rPr>
          <t xml:space="preserve">Which numbering the Folio column uses. Existing rows were logged as "stamp where visible, else PDF page" - so marked Unclear until checked.</t>
        </r>
      </text>
    </comment>
    <comment ref="K1" authorId="0">
      <text>
        <r>
          <rPr>
            <sz val="10"/>
            <rFont val="Arial"/>
            <family val="2"/>
          </rPr>
          <t xml:space="preserve">Dropbox link once uploaded.</t>
        </r>
      </text>
    </comment>
    <comment ref="L1" authorId="0">
      <text>
        <r>
          <rPr>
            <sz val="10"/>
            <rFont val="Arial"/>
            <family val="2"/>
          </rPr>
          <t xml:space="preserve">Funnel step (JV): if in doubt, scan it.</t>
        </r>
      </text>
    </comment>
    <comment ref="P1" authorId="0">
      <text>
        <r>
          <rPr>
            <sz val="10"/>
            <rFont val="Arial"/>
            <family val="2"/>
          </rPr>
          <t xml:space="preserve">YYYY-MM-DD, typed as TEXT (Excel cannot store pre-1900 dates). Use the date of the letter itself; first date if a range.</t>
        </r>
      </text>
    </comment>
    <comment ref="Q1" authorId="0">
      <text>
        <r>
          <rPr>
            <sz val="10"/>
            <rFont val="Arial"/>
            <family val="2"/>
          </rPr>
          <t xml:space="preserve">Formula from Date (ISO).</t>
        </r>
      </text>
    </comment>
    <comment ref="S1" authorId="0">
      <text>
        <r>
          <rPr>
            <sz val="10"/>
            <rFont val="Arial"/>
            <family val="2"/>
          </rPr>
          <t xml:space="preserve">Town/parish name for geocoding.</t>
        </r>
      </text>
    </comment>
    <comment ref="T1" authorId="0">
      <text>
        <r>
          <rPr>
            <sz val="10"/>
            <rFont val="Arial"/>
            <family val="2"/>
          </rPr>
          <t xml:space="preserve">Historic county.</t>
        </r>
      </text>
    </comment>
    <comment ref="W1" authorId="0">
      <text>
        <r>
          <rPr>
            <sz val="10"/>
            <rFont val="Arial"/>
            <family val="2"/>
          </rPr>
          <t xml:space="preserve">Dropdown.</t>
        </r>
      </text>
    </comment>
    <comment ref="X1" authorId="0">
      <text>
        <r>
          <rPr>
            <sz val="10"/>
            <rFont val="Arial"/>
            <family val="2"/>
          </rPr>
          <t xml:space="preserve">Who the letter/request went to (Home Sec, Ld Lieutenant, local commander...). Matters for the selection question: which requests reach Whitehall at all.</t>
        </r>
      </text>
    </comment>
    <comment ref="Y1" authorId="0">
      <text>
        <r>
          <rPr>
            <sz val="10"/>
            <rFont val="Arial"/>
            <family val="2"/>
          </rPr>
          <t xml:space="preserve">Formula from Date (ISO) via Lookups sheet. Context only - not necessarily the addressee.</t>
        </r>
      </text>
    </comment>
    <comment ref="Z1" authorId="0">
      <text>
        <r>
          <rPr>
            <sz val="10"/>
            <rFont val="Arial"/>
            <family val="2"/>
          </rPr>
          <t xml:space="preserve">Dropdown. Requests and barracks rows.</t>
        </r>
      </text>
    </comment>
    <comment ref="AA1" authorId="0">
      <text>
        <r>
          <rPr>
            <sz val="10"/>
            <rFont val="Arial"/>
            <family val="2"/>
          </rPr>
          <t xml:space="preserve">Actual = disorder under way; Pre-emptive = threatened/anticipated; Contingent = asks what is available if needed; Report only = informs HO of action taken, no ask.</t>
        </r>
      </text>
    </comment>
    <comment ref="AB1" authorId="0">
      <text>
        <r>
          <rPr>
            <sz val="10"/>
            <rFont val="Arial"/>
            <family val="2"/>
          </rPr>
          <t xml:space="preserve">Y if the writer says constables/civil power cannot cope or are unreliable.</t>
        </r>
      </text>
    </comment>
    <comment ref="AD1" authorId="0">
      <text>
        <r>
          <rPr>
            <sz val="10"/>
            <rFont val="Arial"/>
            <family val="2"/>
          </rPr>
          <t xml:space="preserve">As stated in the letter.</t>
        </r>
      </text>
    </comment>
    <comment ref="AF1" authorId="0">
      <text>
        <r>
          <rPr>
            <sz val="10"/>
            <rFont val="Arial"/>
            <family val="2"/>
          </rPr>
          <t xml:space="preserve">Dropdown. Original free-text outcome kept in Notes.</t>
        </r>
      </text>
    </comment>
    <comment ref="AJ1" authorId="0">
      <text>
        <r>
          <rPr>
            <sz val="10"/>
            <rFont val="Arial"/>
            <family val="2"/>
          </rPr>
          <t xml:space="preserve">Where the response is recorded: HO 42 docket/endorsement, HO 43 entry book, other.</t>
        </r>
      </text>
    </comment>
  </commentList>
</comments>
</file>

<file path=xl/sharedStrings.xml><?xml version="1.0" encoding="utf-8"?>
<sst xmlns="http://schemas.openxmlformats.org/spreadsheetml/2006/main" count="652" uniqueCount="373">
  <si>
    <t xml:space="preserve">HO 42 extraction log - summary</t>
  </si>
  <si>
    <t xml:space="preserve">Count by event type</t>
  </si>
  <si>
    <t xml:space="preserve">Event type</t>
  </si>
  <si>
    <t xml:space="preserve">Rows</t>
  </si>
  <si>
    <t xml:space="preserve">of which Core (England)</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</si>
  <si>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</si>
  <si>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</si>
  <si>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</si>
  <si>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</si>
  <si>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</si>
  <si>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</si>
  <si>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</si>
  <si>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</si>
  <si>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</si>
  <si>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</si>
  <si>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</si>
  <si>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</si>
  <si>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</si>
  <si>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nation</t>
  </si>
  <si>
    <t xml:space="preserve">Nation</t>
  </si>
  <si>
    <t xml:space="preserve">England</t>
  </si>
  <si>
    <t xml:space="preserve">Wales</t>
  </si>
  <si>
    <t xml:space="preserve">Scotland</t>
  </si>
  <si>
    <t xml:space="preserve">By year</t>
  </si>
  <si>
    <t xml:space="preserve">Year</t>
  </si>
  <si>
    <t xml:space="preserve">Distinct episodes (all rows)</t>
  </si>
  <si>
    <t xml:space="preserve">Rows still to check (Folio basis = Unclear)</t>
  </si>
  <si>
    <t xml:space="preserve">Row ID</t>
  </si>
  <si>
    <t xml:space="preserve">Episode ID</t>
  </si>
  <si>
    <t xml:space="preserve">In scope?</t>
  </si>
  <si>
    <t xml:space="preserve">Money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</si>
  <si>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</si>
  <si>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</si>
  <si>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</si>
  <si>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</si>
  <si>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</si>
  <si>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</si>
  <si>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</si>
  <si>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</si>
  <si>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</si>
  <si>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</si>
  <si>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</si>
  <si>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</si>
  <si>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</si>
  <si>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</si>
  <si>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</si>
  <si>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</si>
  <si>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</si>
  <si>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</si>
  <si>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</si>
  <si>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</si>
  <si>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</si>
  <si>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</si>
  <si>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</si>
  <si>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</si>
  <si>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</si>
  <si>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</si>
  <si>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</si>
  <si>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</si>
  <si>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</si>
  <si>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</si>
  <si>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</si>
  <si>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</si>
  <si>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</si>
  <si>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</si>
  <si>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</si>
  <si>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</si>
  <si>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</si>
  <si>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</si>
  <si>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</si>
  <si>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</si>
  <si>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</si>
  <si>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</si>
  <si>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</si>
  <si>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</si>
  <si>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</si>
  <si>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</si>
  <si>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</si>
  <si>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</si>
  <si>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</si>
  <si>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</si>
  <si>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</si>
  <si>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</si>
  <si>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</si>
  <si>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</si>
  <si>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</si>
  <si>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</si>
  <si>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</si>
  <si>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</si>
  <si>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</si>
  <si>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</si>
  <si>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</si>
  <si>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</si>
  <si>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</si>
  <si>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</si>
  <si>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</si>
  <si>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</si>
  <si>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</si>
  <si>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</si>
  <si>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</si>
  <si>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</si>
  <si>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</si>
  <si>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</si>
  <si>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</si>
  <si>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</si>
  <si>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</si>
  <si>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</si>
  <si>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</si>
  <si>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</si>
  <si>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</si>
  <si>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</si>
  <si>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</si>
  <si>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</si>
  <si>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</si>
  <si>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</si>
  <si>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</si>
  <si>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</si>
  <si>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</si>
  <si>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</si>
  <si>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</si>
  <si>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</si>
  <si>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</si>
  <si>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</si>
  <si>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</si>
  <si>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</si>
  <si>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</si>
  <si>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</si>
  <si>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</si>
  <si>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</si>
  <si>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</si>
  <si>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</si>
  <si>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</si>
  <si>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</si>
  <si>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</si>
  <si>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</si>
  <si>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MONEY QUOTE. Volunteer infantry corps; full text held. Lord-Lieutenant ambivalence on record. | Outcome (orig.): Approved</t>
  </si>
  <si>
    <t xml:space="preserve">HO42-0005</t>
  </si>
  <si>
    <t xml:space="preserve">E05</t>
  </si>
  <si>
    <t xml:space="preserve">ff.135-136</t>
  </si>
  <si>
    <t xml:space="preserve">"...we find the Civil power unable to quell it, as those employ'd as Constables rather lean to the Country people; therefore I am to request... the protection of Military power. It is a small Town, &amp; we think one Company..."</t>
  </si>
  <si>
    <t xml:space="preserve">27-28 Feb 1795</t>
  </si>
  <si>
    <t xml:space="preserve">1795-02-27</t>
  </si>
  <si>
    <t xml:space="preserve">Bridgend, Glamorgan</t>
  </si>
  <si>
    <t xml:space="preserve">Bridgend</t>
  </si>
  <si>
    <t xml:space="preserve">Glamorgan</t>
  </si>
  <si>
    <t xml:space="preserve">Thomas Wyndham, Dunraven Castle</t>
  </si>
  <si>
    <t xml:space="preserve">One company</t>
  </si>
  <si>
    <t xml:space="preserve">WALES - low priority per JV. Corn riot; Winchester measure; constables side with rioters. | CHECK: Writer role: Wyndham was also MP for Glamorgan - verify capacity.</t>
  </si>
  <si>
    <t xml:space="preserve">HO42-0006</t>
  </si>
  <si>
    <t xml:space="preserve">E06</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</si>
  <si>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</si>
  <si>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</si>
  <si>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</si>
  <si>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</si>
  <si>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</si>
  <si>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</si>
  <si>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</si>
  <si>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</si>
  <si>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</si>
  <si>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</si>
  <si>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</si>
  <si>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</si>
  <si>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HO42-0007</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</si>
  <si>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</si>
  <si>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</si>
  <si>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</si>
  <si>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</si>
  <si>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</si>
  <si>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</si>
  <si>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HO42-0008</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</si>
  <si>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</si>
  <si>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</si>
  <si>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</si>
  <si>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</si>
  <si>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HO42-0009</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</si>
  <si>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</si>
  <si>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</si>
  <si>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</si>
  <si>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</si>
  <si>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</si>
  <si>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</si>
  <si>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</si>
  <si>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</si>
  <si>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HO42-0010</t>
  </si>
  <si>
    <t xml:space="preserve">E07</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</si>
  <si>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</si>
  <si>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</si>
  <si>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</si>
  <si>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</si>
  <si>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</si>
  <si>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</si>
  <si>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</si>
  <si>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</si>
  <si>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</si>
  <si>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</si>
  <si>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HO42-0011</t>
  </si>
  <si>
    <t xml:space="preserve">E08</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</si>
  <si>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</si>
  <si>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</si>
  <si>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</si>
  <si>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</si>
  <si>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</si>
  <si>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</si>
  <si>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</si>
  <si>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</si>
  <si>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</si>
  <si>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</si>
  <si>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MONEY QUOTE. Loyalist association militarising into infantry+cavalry; ~50-100 enrolled; full text held.</t>
  </si>
  <si>
    <t xml:space="preserve">HO42-0012</t>
  </si>
  <si>
    <t xml:space="preserve">E09</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</si>
  <si>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</si>
  <si>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</si>
  <si>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</si>
  <si>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</si>
  <si>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</si>
  <si>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</si>
  <si>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</si>
  <si>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MONEY QUOTE. Corps raised in a radical town; 100+ signatures; engagement text held.</t>
  </si>
  <si>
    <t xml:space="preserve">HO42-0013</t>
  </si>
  <si>
    <t xml:space="preserve">E10</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</si>
  <si>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</si>
  <si>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</si>
  <si>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</si>
  <si>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</si>
  <si>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</si>
  <si>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</si>
  <si>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</si>
  <si>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</si>
  <si>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HO42-0014</t>
  </si>
  <si>
    <t xml:space="preserve">E11</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</si>
  <si>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</si>
  <si>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</si>
  <si>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</si>
  <si>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</si>
  <si>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</si>
  <si>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</si>
  <si>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</si>
  <si>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</si>
  <si>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HO42-0015</t>
  </si>
  <si>
    <t xml:space="preserve">E12</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</si>
  <si>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</si>
  <si>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</si>
  <si>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</si>
  <si>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</si>
  <si>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</si>
  <si>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</si>
  <si>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</si>
  <si>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</si>
  <si>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</si>
  <si>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</si>
  <si>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</si>
  <si>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</si>
  <si>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t>
  </si>
  <si>
    <t xml:space="preserve">HO42-0016</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</si>
  <si>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</si>
  <si>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</si>
  <si>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</si>
  <si>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</si>
  <si>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</si>
  <si>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</si>
  <si>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</si>
  <si>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</si>
  <si>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</si>
  <si>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HO42-0017</t>
  </si>
  <si>
    <t xml:space="preserve">E13</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</si>
  <si>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</si>
  <si>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</si>
  <si>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</si>
  <si>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</si>
  <si>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</si>
  <si>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</si>
  <si>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</si>
  <si>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</si>
  <si>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</si>
  <si>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</si>
  <si>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Money-quote adjacent (militia augmentation). | Outcome (orig.): (augmentation approved) | CHECK: Money-quote adjacent (militia augmentation).</t>
  </si>
  <si>
    <t xml:space="preserve">HO42-0018</t>
  </si>
  <si>
    <t xml:space="preserve">E14</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</si>
  <si>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</si>
  <si>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</si>
  <si>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</si>
  <si>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</si>
  <si>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</si>
  <si>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</si>
  <si>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</si>
  <si>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</si>
  <si>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</si>
  <si>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</si>
  <si>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</si>
  <si>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 42 extraction log - legend &amp; conventions</t>
  </si>
  <si>
    <t xml:space="preserve">Purpose</t>
  </si>
  <si>
    <t xml:space="preserve">Log events in HO 42 (Home Office domestic correspondence) for the Voth/UBS project.</t>
  </si>
  <si>
    <t xml:space="preserve">Priority</t>
  </si>
  <si>
    <t xml:space="preserve">Requests for troops are ~10x more important than granting decisions (per JV). Barracks: in scope. Corps founded/armed (esp. 'to suppress Insurrections'): money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</si>
  <si>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</si>
  <si>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</si>
  <si>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</si>
  <si>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 core. Wales = low priority (flagged). Scotland = confirm scope with JV (flagged).</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</si>
  <si>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</si>
  <si>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</si>
  <si>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</si>
  <si>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</si>
  <si>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</si>
  <si>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</si>
  <si>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</si>
  <si>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</si>
  <si>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In scope?, Money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</si>
  <si>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</si>
  <si>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</si>
  <si>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</si>
  <si>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</si>
  <si>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</si>
  <si>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nation</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</si>
  <si>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</si>
  <si>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</si>
  <si>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</si>
  <si>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</si>
  <si>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</si>
  <si>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</si>
  <si>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</si>
  <si>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</si>
  <si>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</si>
  <si>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</si>
  <si>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</si>
  <si>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</si>
  <si>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</si>
  <si>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</si>
  <si>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</si>
  <si>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</si>
  <si>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</si>
  <si>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</si>
  <si>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</si>
  <si>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Gap files - spot-checked</t>
  </si>
  <si>
    <t xml:space="preserve">HO 42/30_02(2nd half), _03, _04, _05 and HO 42/33_04, _05 were spot-checked (first/last folios + samples), not read in full. New rows found: Isle of Wight militia (HO 42/30_04) and the Lord Mayor's Nov-1794 request (HO 42/33_05). Mid-file items in these six files may remain uncaptured - full read advised if exhaustive coverage is needed.</t>
  </si>
  <si>
    <t xml:space="preserve">Home Sec from (ISO)</t>
  </si>
  <si>
    <t xml:space="preserve">Home Secretary</t>
  </si>
  <si>
    <t xml:space="preserve">1789-06-05</t>
  </si>
  <si>
    <t xml:space="preserve">Grenville</t>
  </si>
  <si>
    <t xml:space="preserve">Folio stamp</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</si>
  <si>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</si>
  <si>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</si>
  <si>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</si>
  <si>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</si>
  <si>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</si>
  <si>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</si>
  <si>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</si>
  <si>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</si>
  <si>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</si>
  <si>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</si>
  <si>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</si>
  <si>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</si>
  <si>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</si>
  <si>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</si>
  <si>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</si>
  <si>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</si>
  <si>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</si>
  <si>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</si>
  <si>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</si>
  <si>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</si>
  <si>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</si>
  <si>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</si>
  <si>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</si>
  <si>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</si>
  <si>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MP / peer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</si>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</sst>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22"/>
  </cols>
  <sheetData>
    <row r="1" customFormat="false" ht="1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c r="B4" s="2" t="s">
        <v>3</v>
      </c>
      <c r="C4" s="2" t="s">
        <v>4</v>
      </c>
    </row>
    <row r="5" customFormat="false" ht="15" hidden="false" customHeight="false" outlineLevel="0" collapsed="false">
      <c r="A5" s="3" t="s">
        <v>5</v>
      </c>
      <c r="B5" s="3" t="n">
        <f aca="false">COUNTIF(Events!$C$2:$C$1000,A5)</f>
        <v>7</v>
      </c>
      <c r="C5" s="3" t="n">
        <f aca="false">COUNTIFS(Events!$C$2:$C$1000,A5,Events!$D$2:$D$1000,"Core")</f>
        <v>6</v>
      </c>
    </row>
    <row r="6" customFormat="false" ht="15" hidden="false" customHeight="false" outlineLevel="0" collapsed="false">
      <c r="A6" s="3" t="s">
        <v>6</v>
      </c>
      <c r="B6" s="3" t="n">
        <f aca="false">COUNTIF(Events!$C$2:$C$1000,A6)</f>
        <v>3</v>
      </c>
      <c r="C6" s="3" t="n">
        <f aca="false">COUNTIFS(Events!$C$2:$C$1000,A6,Events!$D$2:$D$1000,"Core")</f>
        <v>3</v>
      </c>
    </row>
    <row r="7" customFormat="false" ht="15" hidden="false" customHeight="false" outlineLevel="0" collapsed="false">
      <c r="A7" s="3" t="s">
        <v>7</v>
      </c>
      <c r="B7" s="3" t="n">
        <f aca="false">COUNTIF(Events!$C$2:$C$1000,A7)</f>
        <v>5</v>
      </c>
      <c r="C7" s="3" t="n">
        <f aca="false">COUNTIFS(Events!$C$2:$C$1000,A7,Events!$D$2:$D$1000,"Core")</f>
        <v>5</v>
      </c>
    </row>
    <row r="8" customFormat="false" ht="15" hidden="false" customHeight="false" outlineLevel="0" collapsed="false">
      <c r="A8" s="3" t="s">
        <v>8</v>
      </c>
      <c r="B8" s="3" t="n">
        <f aca="false">COUNTIF(Events!$C$2:$C$1000,A8)</f>
        <v>2</v>
      </c>
      <c r="C8" s="3" t="n">
        <f aca="false">COUNTIFS(Events!$C$2:$C$1000,A8,Events!$D$2:$D$1000,"Core")</f>
        <v>2</v>
      </c>
    </row>
    <row r="9" customFormat="false" ht="15" hidden="false" customHeight="false" outlineLevel="0" collapsed="false">
      <c r="A9" s="3" t="s">
        <v>9</v>
      </c>
      <c r="B9" s="3" t="n">
        <f aca="false">COUNTIF(Events!$C$2:$C$1000,A9)</f>
        <v>1</v>
      </c>
      <c r="C9" s="3" t="n">
        <f aca="false">COUNTIFS(Events!$C$2:$C$1000,A9,Events!$D$2:$D$1000,"Core")</f>
        <v>1</v>
      </c>
    </row>
    <row r="10" customFormat="false" ht="15" hidden="false" customHeight="false" outlineLevel="0" collapsed="false">
      <c r="A10" s="3" t="s">
        <v>10</v>
      </c>
      <c r="B10" s="3" t="n">
        <f aca="false">COUNTIF(Events!$C$2:$C$1000,A10)</f>
        <v>0</v>
      </c>
      <c r="C10" s="3" t="n">
        <f aca="false">COUNTIFS(Events!$C$2:$C$1000,A10,Events!$D$2:$D$1000,"Core")</f>
        <v>0</v>
      </c>
    </row>
    <row r="11" customFormat="false" ht="15" hidden="false" customHeight="false" outlineLevel="0" collapsed="false">
      <c r="A11" s="2" t="s">
        <v>11</v>
      </c>
      <c r="B11" s="2" t="n">
        <f aca="false">SUM(B5:B10)</f>
        <v>18</v>
      </c>
      <c r="C11" s="2" t="n">
        <f aca="false">SUM(C5:C10)</f>
        <v>17</v>
      </c>
    </row>
    <row r="13" customFormat="false" ht="15" hidden="false" customHeight="false" outlineLevel="0" collapsed="false">
      <c r="A13" s="2" t="s">
        <v>12</v>
      </c>
    </row>
    <row r="14" customFormat="false" ht="15" hidden="false" customHeight="false" outlineLevel="0" collapsed="false">
      <c r="A14" s="2" t="s">
        <v>13</v>
      </c>
      <c r="B14" s="2" t="s">
        <v>3</v>
      </c>
      <c r="C14" s="2" t="s">
        <v>4</v>
      </c>
    </row>
    <row r="15" customFormat="false" ht="15" hidden="false" customHeight="false" outlineLevel="0" collapsed="false">
      <c r="A15" s="3" t="s">
        <v>14</v>
      </c>
      <c r="B15" s="3" t="n">
        <f aca="false">COUNTIFS(Events!$C$2:$C$1000,"Request for troops",Events!$AA$2:$AA$1000,A15)</f>
        <v>3</v>
      </c>
      <c r="C15" s="3" t="n">
        <f aca="false">COUNTIFS(Events!$C$2:$C$1000,"Request for troops",Events!$AA$2:$AA$1000,A15,Events!$D$2:$D$1000,"Core")</f>
        <v>2</v>
      </c>
    </row>
    <row r="16" customFormat="false" ht="15" hidden="false" customHeight="false" outlineLevel="0" collapsed="false">
      <c r="A16" s="3" t="s">
        <v>15</v>
      </c>
      <c r="B16" s="3" t="n">
        <f aca="false">COUNTIFS(Events!$C$2:$C$1000,"Request for troops",Events!$AA$2:$AA$1000,A16)</f>
        <v>2</v>
      </c>
      <c r="C16" s="3" t="n">
        <f aca="false">COUNTIFS(Events!$C$2:$C$1000,"Request for troops",Events!$AA$2:$AA$1000,A16,Events!$D$2:$D$1000,"Core")</f>
        <v>2</v>
      </c>
    </row>
    <row r="17" customFormat="false" ht="15" hidden="false" customHeight="false" outlineLevel="0" collapsed="false">
      <c r="A17" s="3" t="s">
        <v>16</v>
      </c>
      <c r="B17" s="3" t="n">
        <f aca="false">COUNTIFS(Events!$C$2:$C$1000,"Request for troops",Events!$AA$2:$AA$1000,A17)</f>
        <v>1</v>
      </c>
      <c r="C17" s="3" t="n">
        <f aca="false">COUNTIFS(Events!$C$2:$C$1000,"Request for troops",Events!$AA$2:$AA$1000,A17,Events!$D$2:$D$1000,"Core")</f>
        <v>1</v>
      </c>
    </row>
    <row r="18" customFormat="false" ht="15" hidden="false" customHeight="false" outlineLevel="0" collapsed="false">
      <c r="A18" s="3" t="s">
        <v>17</v>
      </c>
      <c r="B18" s="3" t="n">
        <f aca="false">COUNTIFS(Events!$C$2:$C$1000,"Request for troops",Events!$AA$2:$AA$1000,A18)</f>
        <v>1</v>
      </c>
      <c r="C18" s="3" t="n">
        <f aca="false">COUNTIFS(Events!$C$2:$C$1000,"Request for troops",Events!$AA$2:$AA$1000,A18,Events!$D$2:$D$1000,"Core")</f>
        <v>1</v>
      </c>
    </row>
    <row r="19" customFormat="false" ht="15" hidden="false" customHeight="false" outlineLevel="0" collapsed="false">
      <c r="A19" s="2" t="s">
        <v>11</v>
      </c>
      <c r="B19" s="2" t="n">
        <f aca="false">SUM(B15:B18)</f>
        <v>7</v>
      </c>
      <c r="C19" s="2" t="n">
        <f aca="false">SUM(C15:C18)</f>
        <v>6</v>
      </c>
    </row>
    <row r="21" customFormat="false" ht="15" hidden="false" customHeight="false" outlineLevel="0" collapsed="false">
      <c r="A21" s="2" t="s">
        <v>18</v>
      </c>
    </row>
    <row r="22" customFormat="false" ht="15" hidden="false" customHeight="false" outlineLevel="0" collapsed="false">
      <c r="A22" s="2" t="s">
        <v>19</v>
      </c>
      <c r="B22" s="2" t="s">
        <v>3</v>
      </c>
      <c r="C22" s="2" t="s">
        <v>4</v>
      </c>
    </row>
    <row r="23" customFormat="false" ht="15" hidden="false" customHeight="false" outlineLevel="0" collapsed="false">
      <c r="A23" s="3" t="s">
        <v>20</v>
      </c>
      <c r="B23" s="3" t="n">
        <f aca="false">COUNTIF(Events!$U$2:$U$1000,A23)</f>
        <v>17</v>
      </c>
      <c r="C23" s="3" t="n">
        <f aca="false">COUNTIFS(Events!$U$2:$U$1000,A23,Events!$D$2:$D$1000,"Core")</f>
        <v>17</v>
      </c>
    </row>
    <row r="24" customFormat="false" ht="15" hidden="false" customHeight="false" outlineLevel="0" collapsed="false">
      <c r="A24" s="3" t="s">
        <v>21</v>
      </c>
      <c r="B24" s="3" t="n">
        <f aca="false">COUNTIF(Events!$U$2:$U$1000,A24)</f>
        <v>1</v>
      </c>
      <c r="C24" s="3" t="n">
        <f aca="false">COUNTIFS(Events!$U$2:$U$1000,A24,Events!$D$2:$D$1000,"Core")</f>
        <v>0</v>
      </c>
    </row>
    <row r="25" customFormat="false" ht="15" hidden="false" customHeight="false" outlineLevel="0" collapsed="false">
      <c r="A25" s="3" t="s">
        <v>22</v>
      </c>
      <c r="B25" s="3" t="n">
        <f aca="false">COUNTIF(Events!$U$2:$U$1000,A25)</f>
        <v>0</v>
      </c>
      <c r="C25" s="3" t="n">
        <f aca="false">COUNTIFS(Events!$U$2:$U$1000,A25,Events!$D$2:$D$1000,"Core")</f>
        <v>0</v>
      </c>
    </row>
    <row r="26" customFormat="false" ht="15" hidden="false" customHeight="false" outlineLevel="0" collapsed="false">
      <c r="A26" s="2" t="s">
        <v>11</v>
      </c>
      <c r="B26" s="2" t="n">
        <f aca="false">SUM(B23:B25)</f>
        <v>18</v>
      </c>
      <c r="C26" s="2" t="n">
        <f aca="false">SUM(C23:C25)</f>
        <v>17</v>
      </c>
    </row>
    <row r="28" customFormat="false" ht="15" hidden="false" customHeight="false" outlineLevel="0" collapsed="false">
      <c r="A28" s="2" t="s">
        <v>23</v>
      </c>
    </row>
    <row r="29" customFormat="false" ht="15" hidden="false" customHeight="false" outlineLevel="0" collapsed="false">
      <c r="A29" s="2" t="s">
        <v>24</v>
      </c>
      <c r="B29" s="2" t="s">
        <v>3</v>
      </c>
      <c r="C29" s="2" t="s">
        <v>4</v>
      </c>
    </row>
    <row r="30" customFormat="false" ht="15" hidden="false" customHeight="false" outlineLevel="0" collapsed="false">
      <c r="A30" s="3" t="n">
        <v>1789</v>
      </c>
      <c r="B30" s="3" t="n">
        <f aca="false">COUNTIF(Events!$Q$2:$Q$1000,A30)</f>
        <v>0</v>
      </c>
      <c r="C30" s="3" t="n">
        <f aca="false">COUNTIFS(Events!$Q$2:$Q$1000,A30,Events!$D$2:$D$1000,"Core")</f>
        <v>0</v>
      </c>
    </row>
    <row r="31" customFormat="false" ht="15" hidden="false" customHeight="false" outlineLevel="0" collapsed="false">
      <c r="A31" s="3" t="n">
        <v>1790</v>
      </c>
      <c r="B31" s="3" t="n">
        <f aca="false">COUNTIF(Events!$Q$2:$Q$1000,A31)</f>
        <v>2</v>
      </c>
      <c r="C31" s="3" t="n">
        <f aca="false">COUNTIFS(Events!$Q$2:$Q$1000,A31,Events!$D$2:$D$1000,"Core")</f>
        <v>2</v>
      </c>
    </row>
    <row r="32" customFormat="false" ht="15" hidden="false" customHeight="false" outlineLevel="0" collapsed="false">
      <c r="A32" s="3" t="n">
        <v>1791</v>
      </c>
      <c r="B32" s="3" t="n">
        <f aca="false">COUNTIF(Events!$Q$2:$Q$1000,A32)</f>
        <v>0</v>
      </c>
      <c r="C32" s="3" t="n">
        <f aca="false">COUNTIFS(Events!$Q$2:$Q$1000,A32,Events!$D$2:$D$1000,"Core")</f>
        <v>0</v>
      </c>
    </row>
    <row r="33" customFormat="false" ht="15" hidden="false" customHeight="false" outlineLevel="0" collapsed="false">
      <c r="A33" s="3" t="n">
        <v>1792</v>
      </c>
      <c r="B33" s="3" t="n">
        <f aca="false">COUNTIF(Events!$Q$2:$Q$1000,A33)</f>
        <v>0</v>
      </c>
      <c r="C33" s="3" t="n">
        <f aca="false">COUNTIFS(Events!$Q$2:$Q$1000,A33,Events!$D$2:$D$1000,"Core")</f>
        <v>0</v>
      </c>
    </row>
    <row r="34" customFormat="false" ht="15" hidden="false" customHeight="false" outlineLevel="0" collapsed="false">
      <c r="A34" s="3" t="n">
        <v>1793</v>
      </c>
      <c r="B34" s="3" t="n">
        <f aca="false">COUNTIF(Events!$Q$2:$Q$1000,A34)</f>
        <v>0</v>
      </c>
      <c r="C34" s="3" t="n">
        <f aca="false">COUNTIFS(Events!$Q$2:$Q$1000,A34,Events!$D$2:$D$1000,"Core")</f>
        <v>0</v>
      </c>
    </row>
    <row r="35" customFormat="false" ht="15" hidden="false" customHeight="false" outlineLevel="0" collapsed="false">
      <c r="A35" s="3" t="n">
        <v>1794</v>
      </c>
      <c r="B35" s="3" t="n">
        <f aca="false">COUNTIF(Events!$Q$2:$Q$1000,A35)</f>
        <v>8</v>
      </c>
      <c r="C35" s="3" t="n">
        <f aca="false">COUNTIFS(Events!$Q$2:$Q$1000,A35,Events!$D$2:$D$1000,"Core")</f>
        <v>8</v>
      </c>
    </row>
    <row r="36" customFormat="false" ht="15" hidden="false" customHeight="false" outlineLevel="0" collapsed="false">
      <c r="A36" s="3" t="n">
        <v>1795</v>
      </c>
      <c r="B36" s="3" t="n">
        <f aca="false">COUNTIF(Events!$Q$2:$Q$1000,A36)</f>
        <v>8</v>
      </c>
      <c r="C36" s="3" t="n">
        <f aca="false">COUNTIFS(Events!$Q$2:$Q$1000,A36,Events!$D$2:$D$1000,"Core")</f>
        <v>7</v>
      </c>
    </row>
    <row r="37" customFormat="false" ht="15" hidden="false" customHeight="false" outlineLevel="0" collapsed="false">
      <c r="A37" s="3" t="n">
        <v>1796</v>
      </c>
      <c r="B37" s="3" t="n">
        <f aca="false">COUNTIF(Events!$Q$2:$Q$1000,A37)</f>
        <v>0</v>
      </c>
      <c r="C37" s="3" t="n">
        <f aca="false">COUNTIFS(Events!$Q$2:$Q$1000,A37,Events!$D$2:$D$1000,"Core")</f>
        <v>0</v>
      </c>
    </row>
    <row r="38" customFormat="false" ht="15" hidden="false" customHeight="false" outlineLevel="0" collapsed="false">
      <c r="A38" s="3" t="n">
        <v>1797</v>
      </c>
      <c r="B38" s="3" t="n">
        <f aca="false">COUNTIF(Events!$Q$2:$Q$1000,A38)</f>
        <v>0</v>
      </c>
      <c r="C38" s="3" t="n">
        <f aca="false">COUNTIFS(Events!$Q$2:$Q$1000,A38,Events!$D$2:$D$1000,"Core")</f>
        <v>0</v>
      </c>
    </row>
    <row r="39" customFormat="false" ht="15" hidden="false" customHeight="false" outlineLevel="0" collapsed="false">
      <c r="A39" s="3" t="n">
        <v>1798</v>
      </c>
      <c r="B39" s="3" t="n">
        <f aca="false">COUNTIF(Events!$Q$2:$Q$1000,A39)</f>
        <v>0</v>
      </c>
      <c r="C39" s="3" t="n">
        <f aca="false">COUNTIFS(Events!$Q$2:$Q$1000,A39,Events!$D$2:$D$1000,"Core")</f>
        <v>0</v>
      </c>
    </row>
    <row r="40" customFormat="false" ht="15" hidden="false" customHeight="false" outlineLevel="0" collapsed="false">
      <c r="A40" s="3" t="n">
        <v>1799</v>
      </c>
      <c r="B40" s="3" t="n">
        <f aca="false">COUNTIF(Events!$Q$2:$Q$1000,A40)</f>
        <v>0</v>
      </c>
      <c r="C40" s="3" t="n">
        <f aca="false">COUNTIFS(Events!$Q$2:$Q$1000,A40,Events!$D$2:$D$1000,"Core")</f>
        <v>0</v>
      </c>
    </row>
    <row r="41" customFormat="false" ht="15" hidden="false" customHeight="false" outlineLevel="0" collapsed="false">
      <c r="A41" s="3" t="n">
        <v>1800</v>
      </c>
      <c r="B41" s="3" t="n">
        <f aca="false">COUNTIF(Events!$Q$2:$Q$1000,A41)</f>
        <v>0</v>
      </c>
      <c r="C41" s="3" t="n">
        <f aca="false">COUNTIFS(Events!$Q$2:$Q$1000,A41,Events!$D$2:$D$1000,"Core")</f>
        <v>0</v>
      </c>
    </row>
    <row r="42" customFormat="false" ht="15" hidden="false" customHeight="false" outlineLevel="0" collapsed="false">
      <c r="A42" s="3" t="n">
        <v>1801</v>
      </c>
      <c r="B42" s="3" t="n">
        <f aca="false">COUNTIF(Events!$Q$2:$Q$1000,A42)</f>
        <v>0</v>
      </c>
      <c r="C42" s="3" t="n">
        <f aca="false">COUNTIFS(Events!$Q$2:$Q$1000,A42,Events!$D$2:$D$1000,"Core")</f>
        <v>0</v>
      </c>
    </row>
    <row r="43" customFormat="false" ht="15" hidden="false" customHeight="false" outlineLevel="0" collapsed="false">
      <c r="A43" s="2" t="s">
        <v>11</v>
      </c>
      <c r="B43" s="2" t="n">
        <f aca="false">SUM(B30:B42)</f>
        <v>18</v>
      </c>
      <c r="C43" s="2" t="n">
        <f aca="false">SUM(C30:C42)</f>
        <v>17</v>
      </c>
    </row>
    <row r="45" customFormat="false" ht="15" hidden="false" customHeight="false" outlineLevel="0" collapsed="false">
      <c r="A45" s="2" t="s">
        <v>25</v>
      </c>
      <c r="B45" s="3" t="n">
        <f aca="false">SUMPRODUCT((Events!$B$2:$B$1000&lt;&gt;"")/COUNTIF(Events!$B$2:$B$1000,Events!$B$2:$B$1000&amp;""))</f>
        <v>14</v>
      </c>
    </row>
    <row r="46" customFormat="false" ht="15" hidden="false" customHeight="false" outlineLevel="0" collapsed="false">
      <c r="A46" s="2" t="s">
        <v>26</v>
      </c>
      <c r="B46" s="3" t="n">
        <f aca="false">COUNTIF(Events!$J$2:$J$1000,"Unclear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0"/>
    <col collapsed="false" customWidth="true" hidden="false" outlineLevel="0" max="4" min="4" style="0" width="12"/>
    <col collapsed="false" customWidth="true" hidden="false" outlineLevel="0" max="5" min="5" style="0" width="9"/>
    <col collapsed="false" customWidth="true" hidden="false" outlineLevel="0" max="6" min="6" style="0" width="11"/>
    <col collapsed="false" customWidth="true" hidden="false" outlineLevel="0" max="7" min="7" style="0" width="18"/>
    <col collapsed="false" customWidth="true" hidden="false" outlineLevel="0" max="8" min="8" style="0" width="9"/>
    <col collapsed="false" customWidth="true" hidden="false" outlineLevel="0" max="9" min="9" style="0" width="16"/>
    <col collapsed="false" customWidth="true" hidden="false" outlineLevel="0" max="10" min="10" style="0" width="13"/>
    <col collapsed="false" customWidth="true" hidden="false" outlineLevel="0" max="11" min="11" style="0" width="16"/>
    <col collapsed="false" customWidth="true" hidden="false" outlineLevel="0" max="13" min="12" style="0" width="15"/>
    <col collapsed="false" customWidth="true" hidden="false" outlineLevel="0" max="14" min="14" style="0" width="55"/>
    <col collapsed="false" customWidth="true" hidden="false" outlineLevel="0" max="15" min="15" style="0" width="15"/>
    <col collapsed="false" customWidth="true" hidden="false" outlineLevel="0" max="16" min="16" style="0" width="11"/>
    <col collapsed="false" customWidth="true" hidden="false" outlineLevel="0" max="17" min="17" style="0" width="6"/>
    <col collapsed="false" customWidth="true" hidden="false" outlineLevel="0" max="18" min="18" style="0" width="22"/>
    <col collapsed="false" customWidth="true" hidden="false" outlineLevel="0" max="19" min="19" style="0" width="16"/>
    <col collapsed="false" customWidth="true" hidden="false" outlineLevel="0" max="20" min="20" style="0" width="15"/>
    <col collapsed="false" customWidth="true" hidden="false" outlineLevel="0" max="21" min="21" style="0" width="9"/>
    <col collapsed="false" customWidth="true" hidden="false" outlineLevel="0" max="22" min="22" style="0" width="26"/>
    <col collapsed="false" customWidth="true" hidden="false" outlineLevel="0" max="23" min="23" style="0" width="17"/>
    <col collapsed="false" customWidth="true" hidden="false" outlineLevel="0" max="24" min="24" style="0" width="18"/>
    <col collapsed="false" customWidth="true" hidden="false" outlineLevel="0" max="25" min="25" style="0" width="12"/>
    <col collapsed="false" customWidth="true" hidden="false" outlineLevel="0" max="26" min="26" style="0" width="17"/>
    <col collapsed="false" customWidth="true" hidden="false" outlineLevel="0" max="27" min="27" style="0" width="15"/>
    <col collapsed="false" customWidth="true" hidden="false" outlineLevel="0" max="28" min="28" style="0" width="11"/>
    <col collapsed="false" customWidth="true" hidden="false" outlineLevel="0" max="29" min="29" style="0" width="24"/>
    <col collapsed="false" customWidth="true" hidden="false" outlineLevel="0" max="30" min="30" style="0" width="13"/>
    <col collapsed="false" customWidth="true" hidden="false" outlineLevel="0" max="31" min="31" style="0" width="36"/>
    <col collapsed="false" customWidth="true" hidden="false" outlineLevel="0" max="33" min="32" style="0" width="13"/>
    <col collapsed="false" customWidth="true" hidden="false" outlineLevel="0" max="34" min="34" style="0" width="14"/>
    <col collapsed="false" customWidth="true" hidden="false" outlineLevel="0" max="35" min="35" style="0" width="16"/>
    <col collapsed="false" customWidth="true" hidden="false" outlineLevel="0" max="36" min="36" style="0" width="14"/>
    <col collapsed="false" customWidth="true" hidden="false" outlineLevel="0" max="37" min="37" style="0" width="45"/>
  </cols>
  <sheetData>
    <row r="1" customFormat="false" ht="42" hidden="false" customHeight="true" outlineLevel="0" collapsed="false">
      <c r="A1" s="4" t="s">
        <v>27</v>
      </c>
      <c r="B1" s="4" t="s">
        <v>28</v>
      </c>
      <c r="C1" s="4" t="s">
        <v>2</v>
      </c>
      <c r="D1" s="4" t="s">
        <v>29</v>
      </c>
      <c r="E1" s="4" t="s">
        <v>30</v>
      </c>
      <c r="F1" s="4" t="s">
        <v>31</v>
      </c>
      <c r="G1" s="4" t="s">
        <v>32</v>
      </c>
      <c r="H1" s="4" t="s">
        <v>33</v>
      </c>
      <c r="I1" s="4" t="s">
        <v>34</v>
      </c>
      <c r="J1" s="4" t="s">
        <v>35</v>
      </c>
      <c r="K1" s="4" t="s">
        <v>36</v>
      </c>
      <c r="L1" s="4" t="s">
        <v>37</v>
      </c>
      <c r="M1" s="4" t="s">
        <v>38</v>
      </c>
      <c r="N1" s="4" t="s">
        <v>39</v>
      </c>
      <c r="O1" s="4" t="s">
        <v>40</v>
      </c>
      <c r="P1" s="4" t="s">
        <v>41</v>
      </c>
      <c r="Q1" s="4" t="s">
        <v>24</v>
      </c>
      <c r="R1" s="4" t="s">
        <v>42</v>
      </c>
      <c r="S1" s="4" t="s">
        <v>43</v>
      </c>
      <c r="T1" s="4" t="s">
        <v>44</v>
      </c>
      <c r="U1" s="4" t="s">
        <v>19</v>
      </c>
      <c r="V1" s="4" t="s">
        <v>45</v>
      </c>
      <c r="W1" s="4" t="s">
        <v>46</v>
      </c>
      <c r="X1" s="4" t="s">
        <v>47</v>
      </c>
      <c r="Y1" s="4" t="s">
        <v>48</v>
      </c>
      <c r="Z1" s="4" t="s">
        <v>49</v>
      </c>
      <c r="AA1" s="4" t="s">
        <v>13</v>
      </c>
      <c r="AB1" s="4" t="s">
        <v>50</v>
      </c>
      <c r="AC1" s="4" t="s">
        <v>51</v>
      </c>
      <c r="AD1" s="4" t="s">
        <v>52</v>
      </c>
      <c r="AE1" s="4" t="s">
        <v>53</v>
      </c>
      <c r="AF1" s="4" t="s">
        <v>54</v>
      </c>
      <c r="AG1" s="4" t="s">
        <v>55</v>
      </c>
      <c r="AH1" s="4" t="s">
        <v>56</v>
      </c>
      <c r="AI1" s="4" t="s">
        <v>57</v>
      </c>
      <c r="AJ1" s="4" t="s">
        <v>58</v>
      </c>
      <c r="AK1" s="4" t="s">
        <v>59</v>
      </c>
    </row>
    <row r="2" customFormat="false" ht="46.25" hidden="false" customHeight="false" outlineLevel="0" collapsed="false">
      <c r="A2" s="5" t="s">
        <v>60</v>
      </c>
      <c r="B2" s="5" t="s">
        <v>61</v>
      </c>
      <c r="C2" s="6" t="s">
        <v>5</v>
      </c>
      <c r="D2" s="5" t="str">
        <f aca="false">IF(U2="","",IF(U2="England","Core",IF(U2="Wales","Low priority","Check with JV")))</f>
        <v>Core</v>
      </c>
      <c r="E2" s="5" t="s">
        <v>62</v>
      </c>
      <c r="F2" s="5" t="s">
        <v>63</v>
      </c>
      <c r="G2" s="5" t="s">
        <v>64</v>
      </c>
      <c r="H2" s="5"/>
      <c r="I2" s="5" t="s">
        <v>65</v>
      </c>
      <c r="J2" s="5" t="s">
        <v>66</v>
      </c>
      <c r="K2" s="5"/>
      <c r="L2" s="5" t="s">
        <v>67</v>
      </c>
      <c r="M2" s="5" t="s">
        <v>68</v>
      </c>
      <c r="N2" s="5" t="s">
        <v>69</v>
      </c>
      <c r="O2" s="5" t="s">
        <v>70</v>
      </c>
      <c r="P2" s="7" t="s">
        <v>71</v>
      </c>
      <c r="Q2" s="5" t="n">
        <f aca="false">IF(P2="","",VALUE(LEFT(P2,4)))</f>
        <v>1790</v>
      </c>
      <c r="R2" s="5" t="s">
        <v>72</v>
      </c>
      <c r="S2" s="5" t="s">
        <v>73</v>
      </c>
      <c r="T2" s="5" t="s">
        <v>74</v>
      </c>
      <c r="U2" s="5" t="s">
        <v>20</v>
      </c>
      <c r="V2" s="5" t="s">
        <v>75</v>
      </c>
      <c r="W2" s="5" t="s">
        <v>76</v>
      </c>
      <c r="X2" s="5"/>
      <c r="Y2" s="5" t="str">
        <f aca="false">IF(P2="","",INDEX(Lookups!$B$2:$B$20,MATCH(P2,Lookups!$A$2:$A$20,1)))</f>
        <v>Grenville</v>
      </c>
      <c r="Z2" s="5" t="s">
        <v>77</v>
      </c>
      <c r="AA2" s="5" t="s">
        <v>16</v>
      </c>
      <c r="AB2" s="5" t="s">
        <v>62</v>
      </c>
      <c r="AC2" s="5" t="s">
        <v>78</v>
      </c>
      <c r="AD2" s="5" t="s">
        <v>79</v>
      </c>
      <c r="AE2" s="5"/>
      <c r="AF2" s="5" t="s">
        <v>80</v>
      </c>
      <c r="AG2" s="5"/>
      <c r="AH2" s="5"/>
      <c r="AI2" s="5"/>
      <c r="AJ2" s="5"/>
      <c r="AK2" s="5" t="s">
        <v>81</v>
      </c>
    </row>
    <row r="3" customFormat="false" ht="57.45" hidden="false" customHeight="false" outlineLevel="0" collapsed="false">
      <c r="A3" s="5" t="s">
        <v>82</v>
      </c>
      <c r="B3" s="5" t="s">
        <v>83</v>
      </c>
      <c r="C3" s="6" t="s">
        <v>5</v>
      </c>
      <c r="D3" s="5" t="str">
        <f aca="false">IF(U3="","",IF(U3="England","Core",IF(U3="Wales","Low priority","Check with JV")))</f>
        <v>Core</v>
      </c>
      <c r="E3" s="5" t="s">
        <v>62</v>
      </c>
      <c r="F3" s="5" t="s">
        <v>63</v>
      </c>
      <c r="G3" s="5" t="s">
        <v>84</v>
      </c>
      <c r="H3" s="5"/>
      <c r="I3" s="5" t="s">
        <v>85</v>
      </c>
      <c r="J3" s="5" t="s">
        <v>66</v>
      </c>
      <c r="K3" s="5"/>
      <c r="L3" s="5" t="s">
        <v>67</v>
      </c>
      <c r="M3" s="5" t="s">
        <v>68</v>
      </c>
      <c r="N3" s="5" t="s">
        <v>86</v>
      </c>
      <c r="O3" s="5" t="s">
        <v>87</v>
      </c>
      <c r="P3" s="7" t="s">
        <v>88</v>
      </c>
      <c r="Q3" s="5" t="n">
        <f aca="false">IF(P3="","",VALUE(LEFT(P3,4)))</f>
        <v>1790</v>
      </c>
      <c r="R3" s="5" t="s">
        <v>89</v>
      </c>
      <c r="S3" s="5" t="s">
        <v>89</v>
      </c>
      <c r="T3" s="5" t="s">
        <v>90</v>
      </c>
      <c r="U3" s="5" t="s">
        <v>20</v>
      </c>
      <c r="V3" s="5" t="s">
        <v>91</v>
      </c>
      <c r="W3" s="5" t="s">
        <v>92</v>
      </c>
      <c r="X3" s="5" t="s">
        <v>93</v>
      </c>
      <c r="Y3" s="5" t="str">
        <f aca="false">IF(P3="","",INDEX(Lookups!$B$2:$B$20,MATCH(P3,Lookups!$A$2:$A$20,1)))</f>
        <v>Grenville</v>
      </c>
      <c r="Z3" s="5" t="s">
        <v>94</v>
      </c>
      <c r="AA3" s="5" t="s">
        <v>15</v>
      </c>
      <c r="AB3" s="5" t="s">
        <v>95</v>
      </c>
      <c r="AC3" s="5" t="s">
        <v>96</v>
      </c>
      <c r="AD3" s="5" t="s">
        <v>79</v>
      </c>
      <c r="AE3" s="5"/>
      <c r="AF3" s="5" t="s">
        <v>97</v>
      </c>
      <c r="AG3" s="5"/>
      <c r="AH3" s="5"/>
      <c r="AI3" s="5"/>
      <c r="AJ3" s="5"/>
      <c r="AK3" s="5" t="s">
        <v>98</v>
      </c>
    </row>
    <row r="4" customFormat="false" ht="57.45" hidden="false" customHeight="false" outlineLevel="0" collapsed="false">
      <c r="A4" s="5" t="s">
        <v>99</v>
      </c>
      <c r="B4" s="5" t="s">
        <v>100</v>
      </c>
      <c r="C4" s="6" t="s">
        <v>5</v>
      </c>
      <c r="D4" s="5" t="str">
        <f aca="false">IF(U4="","",IF(U4="England","Core",IF(U4="Wales","Low priority","Check with JV")))</f>
        <v>Core</v>
      </c>
      <c r="E4" s="5" t="s">
        <v>62</v>
      </c>
      <c r="F4" s="5" t="s">
        <v>101</v>
      </c>
      <c r="G4" s="5" t="s">
        <v>102</v>
      </c>
      <c r="H4" s="5"/>
      <c r="I4" s="5" t="s">
        <v>103</v>
      </c>
      <c r="J4" s="5" t="s">
        <v>66</v>
      </c>
      <c r="K4" s="5"/>
      <c r="L4" s="5" t="s">
        <v>67</v>
      </c>
      <c r="M4" s="5" t="s">
        <v>68</v>
      </c>
      <c r="N4" s="5" t="s">
        <v>104</v>
      </c>
      <c r="O4" s="5" t="s">
        <v>105</v>
      </c>
      <c r="P4" s="7" t="s">
        <v>106</v>
      </c>
      <c r="Q4" s="5" t="n">
        <f aca="false">IF(P4="","",VALUE(LEFT(P4,4)))</f>
        <v>1795</v>
      </c>
      <c r="R4" s="5" t="s">
        <v>107</v>
      </c>
      <c r="S4" s="5" t="s">
        <v>107</v>
      </c>
      <c r="T4" s="5" t="s">
        <v>108</v>
      </c>
      <c r="U4" s="5" t="s">
        <v>20</v>
      </c>
      <c r="V4" s="5" t="s">
        <v>109</v>
      </c>
      <c r="W4" s="5" t="s">
        <v>76</v>
      </c>
      <c r="X4" s="5"/>
      <c r="Y4" s="5" t="str">
        <f aca="false">IF(P4="","",INDEX(Lookups!$B$2:$B$20,MATCH(P4,Lookups!$A$2:$A$20,1)))</f>
        <v>Portland</v>
      </c>
      <c r="Z4" s="5" t="s">
        <v>110</v>
      </c>
      <c r="AA4" s="5" t="s">
        <v>15</v>
      </c>
      <c r="AB4" s="5" t="s">
        <v>79</v>
      </c>
      <c r="AC4" s="5" t="s">
        <v>111</v>
      </c>
      <c r="AD4" s="5" t="s">
        <v>79</v>
      </c>
      <c r="AE4" s="5" t="s">
        <v>112</v>
      </c>
      <c r="AF4" s="5" t="s">
        <v>113</v>
      </c>
      <c r="AG4" s="5" t="s">
        <v>114</v>
      </c>
      <c r="AH4" s="5" t="s">
        <v>115</v>
      </c>
      <c r="AI4" s="5" t="s">
        <v>116</v>
      </c>
      <c r="AJ4" s="5" t="s">
        <v>117</v>
      </c>
      <c r="AK4" s="5" t="s">
        <v>118</v>
      </c>
    </row>
    <row r="5" customFormat="false" ht="46.25" hidden="false" customHeight="false" outlineLevel="0" collapsed="false">
      <c r="A5" s="5" t="s">
        <v>119</v>
      </c>
      <c r="B5" s="5" t="s">
        <v>120</v>
      </c>
      <c r="C5" s="8" t="s">
        <v>6</v>
      </c>
      <c r="D5" s="5" t="str">
        <f aca="false">IF(U5="","",IF(U5="England","Core",IF(U5="Wales","Low priority","Check with JV")))</f>
        <v>Core</v>
      </c>
      <c r="E5" s="5" t="s">
        <v>95</v>
      </c>
      <c r="F5" s="5" t="s">
        <v>101</v>
      </c>
      <c r="G5" s="5" t="s">
        <v>121</v>
      </c>
      <c r="H5" s="5"/>
      <c r="I5" s="5" t="s">
        <v>122</v>
      </c>
      <c r="J5" s="5" t="s">
        <v>66</v>
      </c>
      <c r="K5" s="5"/>
      <c r="L5" s="5" t="s">
        <v>67</v>
      </c>
      <c r="M5" s="5" t="s">
        <v>123</v>
      </c>
      <c r="N5" s="5" t="s">
        <v>124</v>
      </c>
      <c r="O5" s="5" t="s">
        <v>125</v>
      </c>
      <c r="P5" s="7" t="s">
        <v>126</v>
      </c>
      <c r="Q5" s="5" t="n">
        <f aca="false">IF(P5="","",VALUE(LEFT(P5,4)))</f>
        <v>1795</v>
      </c>
      <c r="R5" s="5" t="s">
        <v>127</v>
      </c>
      <c r="S5" s="5" t="s">
        <v>127</v>
      </c>
      <c r="T5" s="5" t="s">
        <v>128</v>
      </c>
      <c r="U5" s="5" t="s">
        <v>20</v>
      </c>
      <c r="V5" s="5" t="s">
        <v>129</v>
      </c>
      <c r="W5" s="5" t="s">
        <v>92</v>
      </c>
      <c r="X5" s="5" t="s">
        <v>130</v>
      </c>
      <c r="Y5" s="5" t="str">
        <f aca="false">IF(P5="","",INDEX(Lookups!$B$2:$B$20,MATCH(P5,Lookups!$A$2:$A$20,1)))</f>
        <v>Portland</v>
      </c>
      <c r="Z5" s="5" t="s">
        <v>131</v>
      </c>
      <c r="AA5" s="5"/>
      <c r="AB5" s="5"/>
      <c r="AC5" s="5"/>
      <c r="AD5" s="5"/>
      <c r="AE5" s="5" t="s">
        <v>132</v>
      </c>
      <c r="AF5" s="5" t="s">
        <v>113</v>
      </c>
      <c r="AG5" s="5" t="s">
        <v>133</v>
      </c>
      <c r="AH5" s="5"/>
      <c r="AI5" s="5" t="s">
        <v>134</v>
      </c>
      <c r="AJ5" s="5" t="s">
        <v>10</v>
      </c>
      <c r="AK5" s="5" t="s">
        <v>135</v>
      </c>
    </row>
    <row r="6" customFormat="false" ht="46.25" hidden="false" customHeight="false" outlineLevel="0" collapsed="false">
      <c r="A6" s="5" t="s">
        <v>136</v>
      </c>
      <c r="B6" s="5" t="s">
        <v>137</v>
      </c>
      <c r="C6" s="6" t="s">
        <v>5</v>
      </c>
      <c r="D6" s="5" t="str">
        <f aca="false">IF(U6="","",IF(U6="England","Core",IF(U6="Wales","Low priority","Check with JV")))</f>
        <v>Low priority</v>
      </c>
      <c r="E6" s="5" t="s">
        <v>62</v>
      </c>
      <c r="F6" s="5" t="s">
        <v>101</v>
      </c>
      <c r="G6" s="5" t="s">
        <v>121</v>
      </c>
      <c r="H6" s="5"/>
      <c r="I6" s="5" t="s">
        <v>138</v>
      </c>
      <c r="J6" s="5" t="s">
        <v>66</v>
      </c>
      <c r="K6" s="5"/>
      <c r="L6" s="5" t="s">
        <v>67</v>
      </c>
      <c r="M6" s="5" t="s">
        <v>68</v>
      </c>
      <c r="N6" s="5" t="s">
        <v>139</v>
      </c>
      <c r="O6" s="5" t="s">
        <v>140</v>
      </c>
      <c r="P6" s="7" t="s">
        <v>141</v>
      </c>
      <c r="Q6" s="5" t="n">
        <f aca="false">IF(P6="","",VALUE(LEFT(P6,4)))</f>
        <v>1795</v>
      </c>
      <c r="R6" s="5" t="s">
        <v>142</v>
      </c>
      <c r="S6" s="5" t="s">
        <v>143</v>
      </c>
      <c r="T6" s="5" t="s">
        <v>144</v>
      </c>
      <c r="U6" s="5" t="s">
        <v>21</v>
      </c>
      <c r="V6" s="5" t="s">
        <v>145</v>
      </c>
      <c r="W6" s="5" t="s">
        <v>76</v>
      </c>
      <c r="X6" s="5"/>
      <c r="Y6" s="5" t="str">
        <f aca="false">IF(P6="","",INDEX(Lookups!$B$2:$B$20,MATCH(P6,Lookups!$A$2:$A$20,1)))</f>
        <v>Portland</v>
      </c>
      <c r="Z6" s="5" t="s">
        <v>110</v>
      </c>
      <c r="AA6" s="5" t="s">
        <v>14</v>
      </c>
      <c r="AB6" s="5" t="s">
        <v>95</v>
      </c>
      <c r="AC6" s="5" t="s">
        <v>146</v>
      </c>
      <c r="AD6" s="5" t="s">
        <v>62</v>
      </c>
      <c r="AE6" s="5"/>
      <c r="AF6" s="5"/>
      <c r="AG6" s="5"/>
      <c r="AH6" s="5"/>
      <c r="AI6" s="5"/>
      <c r="AJ6" s="5"/>
      <c r="AK6" s="5" t="s">
        <v>147</v>
      </c>
    </row>
    <row r="7" customFormat="false" ht="57.45" hidden="false" customHeight="false" outlineLevel="0" collapsed="false">
      <c r="A7" s="5" t="s">
        <v>148</v>
      </c>
      <c r="B7" s="5" t="s">
        <v>149</v>
      </c>
      <c r="C7" s="8" t="s">
        <v>7</v>
      </c>
      <c r="D7" s="5" t="str">
        <f aca="false">IF(U7="","",IF(U7="England","Core",IF(U7="Wales","Low priority","Check with JV")))</f>
        <v>Core</v>
      </c>
      <c r="E7" s="5" t="s">
        <v>62</v>
      </c>
      <c r="F7" s="5" t="s">
        <v>101</v>
      </c>
      <c r="G7" s="5" t="s">
        <v>150</v>
      </c>
      <c r="H7" s="5"/>
      <c r="I7" s="5" t="s">
        <v>151</v>
      </c>
      <c r="J7" s="5" t="s">
        <v>66</v>
      </c>
      <c r="K7" s="5"/>
      <c r="L7" s="5" t="s">
        <v>67</v>
      </c>
      <c r="M7" s="5" t="s">
        <v>68</v>
      </c>
      <c r="N7" s="5" t="s">
        <v>152</v>
      </c>
      <c r="O7" s="5" t="s">
        <v>153</v>
      </c>
      <c r="P7" s="7" t="s">
        <v>154</v>
      </c>
      <c r="Q7" s="5" t="n">
        <f aca="false">IF(P7="","",VALUE(LEFT(P7,4)))</f>
        <v>1795</v>
      </c>
      <c r="R7" s="5" t="s">
        <v>155</v>
      </c>
      <c r="S7" s="5" t="s">
        <v>155</v>
      </c>
      <c r="T7" s="5" t="s">
        <v>156</v>
      </c>
      <c r="U7" s="5" t="s">
        <v>20</v>
      </c>
      <c r="V7" s="5" t="s">
        <v>157</v>
      </c>
      <c r="W7" s="5" t="s">
        <v>158</v>
      </c>
      <c r="X7" s="5"/>
      <c r="Y7" s="5" t="str">
        <f aca="false">IF(P7="","",INDEX(Lookups!$B$2:$B$20,MATCH(P7,Lookups!$A$2:$A$20,1)))</f>
        <v>Portland</v>
      </c>
      <c r="Z7" s="5" t="s">
        <v>159</v>
      </c>
      <c r="AA7" s="5"/>
      <c r="AB7" s="5"/>
      <c r="AC7" s="5"/>
      <c r="AD7" s="5" t="s">
        <v>160</v>
      </c>
      <c r="AE7" s="5"/>
      <c r="AF7" s="5"/>
      <c r="AG7" s="5"/>
      <c r="AH7" s="5"/>
      <c r="AI7" s="5"/>
      <c r="AJ7" s="5"/>
      <c r="AK7" s="5" t="s">
        <v>161</v>
      </c>
    </row>
    <row r="8" customFormat="false" ht="46.25" hidden="false" customHeight="false" outlineLevel="0" collapsed="false">
      <c r="A8" s="5" t="s">
        <v>162</v>
      </c>
      <c r="B8" s="5" t="s">
        <v>149</v>
      </c>
      <c r="C8" s="8" t="s">
        <v>7</v>
      </c>
      <c r="D8" s="5" t="str">
        <f aca="false">IF(U8="","",IF(U8="England","Core",IF(U8="Wales","Low priority","Check with JV")))</f>
        <v>Core</v>
      </c>
      <c r="E8" s="5" t="s">
        <v>62</v>
      </c>
      <c r="F8" s="5" t="s">
        <v>101</v>
      </c>
      <c r="G8" s="5" t="s">
        <v>150</v>
      </c>
      <c r="H8" s="5"/>
      <c r="I8" s="5" t="s">
        <v>163</v>
      </c>
      <c r="J8" s="5" t="s">
        <v>66</v>
      </c>
      <c r="K8" s="5"/>
      <c r="L8" s="5" t="s">
        <v>67</v>
      </c>
      <c r="M8" s="5" t="s">
        <v>68</v>
      </c>
      <c r="N8" s="5" t="s">
        <v>164</v>
      </c>
      <c r="O8" s="5" t="s">
        <v>165</v>
      </c>
      <c r="P8" s="7" t="s">
        <v>166</v>
      </c>
      <c r="Q8" s="5" t="n">
        <f aca="false">IF(P8="","",VALUE(LEFT(P8,4)))</f>
        <v>1795</v>
      </c>
      <c r="R8" s="5" t="s">
        <v>155</v>
      </c>
      <c r="S8" s="5" t="s">
        <v>155</v>
      </c>
      <c r="T8" s="5" t="s">
        <v>156</v>
      </c>
      <c r="U8" s="5" t="s">
        <v>20</v>
      </c>
      <c r="V8" s="5" t="s">
        <v>167</v>
      </c>
      <c r="W8" s="5" t="s">
        <v>158</v>
      </c>
      <c r="X8" s="5"/>
      <c r="Y8" s="5" t="str">
        <f aca="false">IF(P8="","",INDEX(Lookups!$B$2:$B$20,MATCH(P8,Lookups!$A$2:$A$20,1)))</f>
        <v>Portland</v>
      </c>
      <c r="Z8" s="5" t="s">
        <v>159</v>
      </c>
      <c r="AA8" s="5"/>
      <c r="AB8" s="5"/>
      <c r="AC8" s="5"/>
      <c r="AD8" s="5" t="s">
        <v>160</v>
      </c>
      <c r="AE8" s="5"/>
      <c r="AF8" s="5"/>
      <c r="AG8" s="5"/>
      <c r="AH8" s="5"/>
      <c r="AI8" s="5"/>
      <c r="AJ8" s="5"/>
      <c r="AK8" s="5" t="s">
        <v>168</v>
      </c>
    </row>
    <row r="9" customFormat="false" ht="35.05" hidden="false" customHeight="false" outlineLevel="0" collapsed="false">
      <c r="A9" s="5" t="s">
        <v>169</v>
      </c>
      <c r="B9" s="5" t="s">
        <v>149</v>
      </c>
      <c r="C9" s="8" t="s">
        <v>7</v>
      </c>
      <c r="D9" s="5" t="str">
        <f aca="false">IF(U9="","",IF(U9="England","Core",IF(U9="Wales","Low priority","Check with JV")))</f>
        <v>Core</v>
      </c>
      <c r="E9" s="5" t="s">
        <v>62</v>
      </c>
      <c r="F9" s="5" t="s">
        <v>101</v>
      </c>
      <c r="G9" s="5" t="s">
        <v>150</v>
      </c>
      <c r="H9" s="5"/>
      <c r="I9" s="5" t="s">
        <v>170</v>
      </c>
      <c r="J9" s="5" t="s">
        <v>66</v>
      </c>
      <c r="K9" s="5"/>
      <c r="L9" s="5" t="s">
        <v>67</v>
      </c>
      <c r="M9" s="5" t="s">
        <v>68</v>
      </c>
      <c r="N9" s="5" t="s">
        <v>171</v>
      </c>
      <c r="O9" s="5" t="s">
        <v>165</v>
      </c>
      <c r="P9" s="7" t="s">
        <v>166</v>
      </c>
      <c r="Q9" s="5" t="n">
        <f aca="false">IF(P9="","",VALUE(LEFT(P9,4)))</f>
        <v>1795</v>
      </c>
      <c r="R9" s="5" t="s">
        <v>155</v>
      </c>
      <c r="S9" s="5" t="s">
        <v>155</v>
      </c>
      <c r="T9" s="5" t="s">
        <v>156</v>
      </c>
      <c r="U9" s="5" t="s">
        <v>20</v>
      </c>
      <c r="V9" s="5" t="s">
        <v>172</v>
      </c>
      <c r="W9" s="5" t="s">
        <v>92</v>
      </c>
      <c r="X9" s="5"/>
      <c r="Y9" s="5" t="str">
        <f aca="false">IF(P9="","",INDEX(Lookups!$B$2:$B$20,MATCH(P9,Lookups!$A$2:$A$20,1)))</f>
        <v>Portland</v>
      </c>
      <c r="Z9" s="5" t="s">
        <v>159</v>
      </c>
      <c r="AA9" s="5"/>
      <c r="AB9" s="5"/>
      <c r="AC9" s="5"/>
      <c r="AD9" s="5" t="s">
        <v>160</v>
      </c>
      <c r="AE9" s="5"/>
      <c r="AF9" s="5"/>
      <c r="AG9" s="5"/>
      <c r="AH9" s="5"/>
      <c r="AI9" s="5"/>
      <c r="AJ9" s="5"/>
      <c r="AK9" s="5" t="s">
        <v>173</v>
      </c>
    </row>
    <row r="10" customFormat="false" ht="57.45" hidden="false" customHeight="false" outlineLevel="0" collapsed="false">
      <c r="A10" s="5" t="s">
        <v>174</v>
      </c>
      <c r="B10" s="5" t="s">
        <v>149</v>
      </c>
      <c r="C10" s="6" t="s">
        <v>5</v>
      </c>
      <c r="D10" s="5" t="str">
        <f aca="false">IF(U10="","",IF(U10="England","Core",IF(U10="Wales","Low priority","Check with JV")))</f>
        <v>Core</v>
      </c>
      <c r="E10" s="5" t="s">
        <v>62</v>
      </c>
      <c r="F10" s="5" t="s">
        <v>101</v>
      </c>
      <c r="G10" s="5" t="s">
        <v>150</v>
      </c>
      <c r="H10" s="5"/>
      <c r="I10" s="5" t="s">
        <v>175</v>
      </c>
      <c r="J10" s="5" t="s">
        <v>66</v>
      </c>
      <c r="K10" s="5"/>
      <c r="L10" s="5" t="s">
        <v>67</v>
      </c>
      <c r="M10" s="5" t="s">
        <v>68</v>
      </c>
      <c r="N10" s="5" t="s">
        <v>176</v>
      </c>
      <c r="O10" s="5" t="s">
        <v>177</v>
      </c>
      <c r="P10" s="7" t="s">
        <v>178</v>
      </c>
      <c r="Q10" s="5" t="n">
        <f aca="false">IF(P10="","",VALUE(LEFT(P10,4)))</f>
        <v>1795</v>
      </c>
      <c r="R10" s="5" t="s">
        <v>179</v>
      </c>
      <c r="S10" s="5" t="s">
        <v>155</v>
      </c>
      <c r="T10" s="5" t="s">
        <v>156</v>
      </c>
      <c r="U10" s="5" t="s">
        <v>20</v>
      </c>
      <c r="V10" s="5" t="s">
        <v>180</v>
      </c>
      <c r="W10" s="5" t="s">
        <v>76</v>
      </c>
      <c r="X10" s="5"/>
      <c r="Y10" s="5" t="str">
        <f aca="false">IF(P10="","",INDEX(Lookups!$B$2:$B$20,MATCH(P10,Lookups!$A$2:$A$20,1)))</f>
        <v>Portland</v>
      </c>
      <c r="Z10" s="5" t="s">
        <v>159</v>
      </c>
      <c r="AA10" s="5" t="s">
        <v>14</v>
      </c>
      <c r="AB10" s="5" t="s">
        <v>95</v>
      </c>
      <c r="AC10" s="5" t="s">
        <v>181</v>
      </c>
      <c r="AD10" s="5" t="s">
        <v>160</v>
      </c>
      <c r="AE10" s="5"/>
      <c r="AF10" s="5"/>
      <c r="AG10" s="5"/>
      <c r="AH10" s="5"/>
      <c r="AI10" s="5"/>
      <c r="AJ10" s="5"/>
      <c r="AK10" s="5" t="s">
        <v>182</v>
      </c>
    </row>
    <row r="11" customFormat="false" ht="35.05" hidden="false" customHeight="false" outlineLevel="0" collapsed="false">
      <c r="A11" s="5" t="s">
        <v>183</v>
      </c>
      <c r="B11" s="5" t="s">
        <v>184</v>
      </c>
      <c r="C11" s="8" t="s">
        <v>7</v>
      </c>
      <c r="D11" s="5" t="str">
        <f aca="false">IF(U11="","",IF(U11="England","Core",IF(U11="Wales","Low priority","Check with JV")))</f>
        <v>Core</v>
      </c>
      <c r="E11" s="5" t="s">
        <v>62</v>
      </c>
      <c r="F11" s="5" t="s">
        <v>101</v>
      </c>
      <c r="G11" s="5" t="s">
        <v>102</v>
      </c>
      <c r="H11" s="5"/>
      <c r="I11" s="5" t="s">
        <v>185</v>
      </c>
      <c r="J11" s="5" t="s">
        <v>66</v>
      </c>
      <c r="K11" s="5"/>
      <c r="L11" s="5" t="s">
        <v>67</v>
      </c>
      <c r="M11" s="5" t="s">
        <v>68</v>
      </c>
      <c r="N11" s="5" t="s">
        <v>186</v>
      </c>
      <c r="O11" s="5" t="s">
        <v>187</v>
      </c>
      <c r="P11" s="7" t="s">
        <v>188</v>
      </c>
      <c r="Q11" s="5" t="n">
        <f aca="false">IF(P11="","",VALUE(LEFT(P11,4)))</f>
        <v>1795</v>
      </c>
      <c r="R11" s="5" t="s">
        <v>189</v>
      </c>
      <c r="S11" s="5" t="s">
        <v>190</v>
      </c>
      <c r="T11" s="5" t="s">
        <v>191</v>
      </c>
      <c r="U11" s="5" t="s">
        <v>20</v>
      </c>
      <c r="V11" s="5" t="s">
        <v>192</v>
      </c>
      <c r="W11" s="5" t="s">
        <v>193</v>
      </c>
      <c r="X11" s="5"/>
      <c r="Y11" s="5" t="str">
        <f aca="false">IF(P11="","",INDEX(Lookups!$B$2:$B$20,MATCH(P11,Lookups!$A$2:$A$20,1)))</f>
        <v>Portland</v>
      </c>
      <c r="Z11" s="5"/>
      <c r="AA11" s="5"/>
      <c r="AB11" s="5"/>
      <c r="AC11" s="5"/>
      <c r="AD11" s="5"/>
      <c r="AE11" s="5"/>
      <c r="AF11" s="5"/>
      <c r="AG11" s="5"/>
      <c r="AH11" s="5"/>
      <c r="AI11" s="5"/>
      <c r="AJ11" s="5"/>
      <c r="AK11" s="5" t="s">
        <v>194</v>
      </c>
    </row>
    <row r="12" customFormat="false" ht="57.45" hidden="false" customHeight="false" outlineLevel="0" collapsed="false">
      <c r="A12" s="5" t="s">
        <v>195</v>
      </c>
      <c r="B12" s="5" t="s">
        <v>196</v>
      </c>
      <c r="C12" s="8" t="s">
        <v>6</v>
      </c>
      <c r="D12" s="5" t="str">
        <f aca="false">IF(U12="","",IF(U12="England","Core",IF(U12="Wales","Low priority","Check with JV")))</f>
        <v>Core</v>
      </c>
      <c r="E12" s="5" t="s">
        <v>95</v>
      </c>
      <c r="F12" s="5" t="s">
        <v>197</v>
      </c>
      <c r="G12" s="5" t="s">
        <v>198</v>
      </c>
      <c r="H12" s="5"/>
      <c r="I12" s="5" t="s">
        <v>199</v>
      </c>
      <c r="J12" s="5" t="s">
        <v>66</v>
      </c>
      <c r="K12" s="5"/>
      <c r="L12" s="5" t="s">
        <v>67</v>
      </c>
      <c r="M12" s="5" t="s">
        <v>123</v>
      </c>
      <c r="N12" s="5" t="s">
        <v>200</v>
      </c>
      <c r="O12" s="5" t="s">
        <v>201</v>
      </c>
      <c r="P12" s="7" t="s">
        <v>202</v>
      </c>
      <c r="Q12" s="5" t="n">
        <f aca="false">IF(P12="","",VALUE(LEFT(P12,4)))</f>
        <v>1794</v>
      </c>
      <c r="R12" s="5" t="s">
        <v>203</v>
      </c>
      <c r="S12" s="5" t="s">
        <v>203</v>
      </c>
      <c r="T12" s="5" t="s">
        <v>204</v>
      </c>
      <c r="U12" s="5" t="s">
        <v>20</v>
      </c>
      <c r="V12" s="5" t="s">
        <v>205</v>
      </c>
      <c r="W12" s="5" t="s">
        <v>206</v>
      </c>
      <c r="X12" s="5"/>
      <c r="Y12" s="5" t="str">
        <f aca="false">IF(P12="","",INDEX(Lookups!$B$2:$B$20,MATCH(P12,Lookups!$A$2:$A$20,1)))</f>
        <v>Dundas</v>
      </c>
      <c r="Z12" s="5" t="s">
        <v>131</v>
      </c>
      <c r="AA12" s="5"/>
      <c r="AB12" s="5"/>
      <c r="AC12" s="5"/>
      <c r="AD12" s="5"/>
      <c r="AE12" s="5"/>
      <c r="AF12" s="5"/>
      <c r="AG12" s="5"/>
      <c r="AH12" s="5"/>
      <c r="AI12" s="5"/>
      <c r="AJ12" s="5"/>
      <c r="AK12" s="5" t="s">
        <v>207</v>
      </c>
    </row>
    <row r="13" customFormat="false" ht="46.25" hidden="false" customHeight="false" outlineLevel="0" collapsed="false">
      <c r="A13" s="5" t="s">
        <v>208</v>
      </c>
      <c r="B13" s="5" t="s">
        <v>209</v>
      </c>
      <c r="C13" s="8" t="s">
        <v>6</v>
      </c>
      <c r="D13" s="5" t="str">
        <f aca="false">IF(U13="","",IF(U13="England","Core",IF(U13="Wales","Low priority","Check with JV")))</f>
        <v>Core</v>
      </c>
      <c r="E13" s="5" t="s">
        <v>95</v>
      </c>
      <c r="F13" s="5" t="s">
        <v>197</v>
      </c>
      <c r="G13" s="5" t="s">
        <v>198</v>
      </c>
      <c r="H13" s="5"/>
      <c r="I13" s="5" t="s">
        <v>210</v>
      </c>
      <c r="J13" s="5" t="s">
        <v>66</v>
      </c>
      <c r="K13" s="5"/>
      <c r="L13" s="5" t="s">
        <v>67</v>
      </c>
      <c r="M13" s="5" t="s">
        <v>68</v>
      </c>
      <c r="N13" s="5" t="s">
        <v>211</v>
      </c>
      <c r="O13" s="5" t="s">
        <v>212</v>
      </c>
      <c r="P13" s="7" t="s">
        <v>213</v>
      </c>
      <c r="Q13" s="5" t="n">
        <f aca="false">IF(P13="","",VALUE(LEFT(P13,4)))</f>
        <v>1794</v>
      </c>
      <c r="R13" s="5" t="s">
        <v>214</v>
      </c>
      <c r="S13" s="5" t="s">
        <v>214</v>
      </c>
      <c r="T13" s="5" t="s">
        <v>215</v>
      </c>
      <c r="U13" s="5" t="s">
        <v>20</v>
      </c>
      <c r="V13" s="5" t="s">
        <v>216</v>
      </c>
      <c r="W13" s="5" t="s">
        <v>206</v>
      </c>
      <c r="X13" s="5"/>
      <c r="Y13" s="5" t="str">
        <f aca="false">IF(P13="","",INDEX(Lookups!$B$2:$B$20,MATCH(P13,Lookups!$A$2:$A$20,1)))</f>
        <v>Dundas</v>
      </c>
      <c r="Z13" s="5" t="s">
        <v>131</v>
      </c>
      <c r="AA13" s="5"/>
      <c r="AB13" s="5"/>
      <c r="AC13" s="5"/>
      <c r="AD13" s="5"/>
      <c r="AE13" s="5"/>
      <c r="AF13" s="5"/>
      <c r="AG13" s="5"/>
      <c r="AH13" s="5"/>
      <c r="AI13" s="5"/>
      <c r="AJ13" s="5"/>
      <c r="AK13" s="5" t="s">
        <v>217</v>
      </c>
    </row>
    <row r="14" customFormat="false" ht="46.25" hidden="false" customHeight="false" outlineLevel="0" collapsed="false">
      <c r="A14" s="5" t="s">
        <v>218</v>
      </c>
      <c r="B14" s="5" t="s">
        <v>219</v>
      </c>
      <c r="C14" s="9" t="s">
        <v>8</v>
      </c>
      <c r="D14" s="5" t="str">
        <f aca="false">IF(U14="","",IF(U14="England","Core",IF(U14="Wales","Low priority","Check with JV")))</f>
        <v>Core</v>
      </c>
      <c r="E14" s="5" t="s">
        <v>95</v>
      </c>
      <c r="F14" s="5" t="s">
        <v>197</v>
      </c>
      <c r="G14" s="5" t="s">
        <v>198</v>
      </c>
      <c r="H14" s="5"/>
      <c r="I14" s="5" t="s">
        <v>220</v>
      </c>
      <c r="J14" s="5" t="s">
        <v>66</v>
      </c>
      <c r="K14" s="5"/>
      <c r="L14" s="5" t="s">
        <v>67</v>
      </c>
      <c r="M14" s="5" t="s">
        <v>68</v>
      </c>
      <c r="N14" s="5" t="s">
        <v>221</v>
      </c>
      <c r="O14" s="5" t="s">
        <v>222</v>
      </c>
      <c r="P14" s="7" t="s">
        <v>223</v>
      </c>
      <c r="Q14" s="5" t="n">
        <f aca="false">IF(P14="","",VALUE(LEFT(P14,4)))</f>
        <v>1794</v>
      </c>
      <c r="R14" s="5" t="s">
        <v>127</v>
      </c>
      <c r="S14" s="5" t="s">
        <v>127</v>
      </c>
      <c r="T14" s="5" t="s">
        <v>128</v>
      </c>
      <c r="U14" s="5" t="s">
        <v>20</v>
      </c>
      <c r="V14" s="5" t="s">
        <v>224</v>
      </c>
      <c r="W14" s="5" t="s">
        <v>92</v>
      </c>
      <c r="X14" s="5"/>
      <c r="Y14" s="5" t="str">
        <f aca="false">IF(P14="","",INDEX(Lookups!$B$2:$B$20,MATCH(P14,Lookups!$A$2:$A$20,1)))</f>
        <v>Dundas</v>
      </c>
      <c r="Z14" s="5" t="s">
        <v>225</v>
      </c>
      <c r="AA14" s="5" t="s">
        <v>15</v>
      </c>
      <c r="AB14" s="5"/>
      <c r="AC14" s="5" t="s">
        <v>226</v>
      </c>
      <c r="AD14" s="5" t="s">
        <v>79</v>
      </c>
      <c r="AE14" s="5"/>
      <c r="AF14" s="5"/>
      <c r="AG14" s="5"/>
      <c r="AH14" s="5"/>
      <c r="AI14" s="5"/>
      <c r="AJ14" s="5"/>
      <c r="AK14" s="5" t="s">
        <v>227</v>
      </c>
    </row>
    <row r="15" customFormat="false" ht="46.25" hidden="false" customHeight="false" outlineLevel="0" collapsed="false">
      <c r="A15" s="5" t="s">
        <v>228</v>
      </c>
      <c r="B15" s="5" t="s">
        <v>229</v>
      </c>
      <c r="C15" s="9" t="s">
        <v>8</v>
      </c>
      <c r="D15" s="5" t="str">
        <f aca="false">IF(U15="","",IF(U15="England","Core",IF(U15="Wales","Low priority","Check with JV")))</f>
        <v>Core</v>
      </c>
      <c r="E15" s="5" t="s">
        <v>62</v>
      </c>
      <c r="F15" s="5" t="s">
        <v>197</v>
      </c>
      <c r="G15" s="5" t="s">
        <v>198</v>
      </c>
      <c r="H15" s="5"/>
      <c r="I15" s="5" t="s">
        <v>230</v>
      </c>
      <c r="J15" s="5" t="s">
        <v>66</v>
      </c>
      <c r="K15" s="5"/>
      <c r="L15" s="5" t="s">
        <v>67</v>
      </c>
      <c r="M15" s="5" t="s">
        <v>68</v>
      </c>
      <c r="N15" s="5" t="s">
        <v>231</v>
      </c>
      <c r="O15" s="5" t="s">
        <v>232</v>
      </c>
      <c r="P15" s="7" t="s">
        <v>233</v>
      </c>
      <c r="Q15" s="5" t="n">
        <f aca="false">IF(P15="","",VALUE(LEFT(P15,4)))</f>
        <v>1794</v>
      </c>
      <c r="R15" s="5" t="s">
        <v>234</v>
      </c>
      <c r="S15" s="5" t="s">
        <v>234</v>
      </c>
      <c r="T15" s="5" t="s">
        <v>74</v>
      </c>
      <c r="U15" s="5" t="s">
        <v>20</v>
      </c>
      <c r="V15" s="5" t="s">
        <v>235</v>
      </c>
      <c r="W15" s="5" t="s">
        <v>236</v>
      </c>
      <c r="X15" s="5"/>
      <c r="Y15" s="5" t="str">
        <f aca="false">IF(P15="","",INDEX(Lookups!$B$2:$B$20,MATCH(P15,Lookups!$A$2:$A$20,1)))</f>
        <v>Dundas</v>
      </c>
      <c r="Z15" s="5" t="s">
        <v>131</v>
      </c>
      <c r="AA15" s="5"/>
      <c r="AB15" s="5"/>
      <c r="AC15" s="5"/>
      <c r="AD15" s="5"/>
      <c r="AE15" s="5"/>
      <c r="AF15" s="5"/>
      <c r="AG15" s="5"/>
      <c r="AH15" s="5"/>
      <c r="AI15" s="5"/>
      <c r="AJ15" s="5"/>
      <c r="AK15" s="5" t="s">
        <v>237</v>
      </c>
    </row>
    <row r="16" customFormat="false" ht="46.25" hidden="false" customHeight="false" outlineLevel="0" collapsed="false">
      <c r="A16" s="5" t="s">
        <v>238</v>
      </c>
      <c r="B16" s="5" t="s">
        <v>239</v>
      </c>
      <c r="C16" s="6" t="s">
        <v>5</v>
      </c>
      <c r="D16" s="5" t="str">
        <f aca="false">IF(U16="","",IF(U16="England","Core",IF(U16="Wales","Low priority","Check with JV")))</f>
        <v>Core</v>
      </c>
      <c r="E16" s="5" t="s">
        <v>62</v>
      </c>
      <c r="F16" s="5" t="s">
        <v>240</v>
      </c>
      <c r="G16" s="5" t="s">
        <v>241</v>
      </c>
      <c r="H16" s="5"/>
      <c r="I16" s="5" t="s">
        <v>242</v>
      </c>
      <c r="J16" s="5" t="s">
        <v>66</v>
      </c>
      <c r="K16" s="5"/>
      <c r="L16" s="5" t="s">
        <v>67</v>
      </c>
      <c r="M16" s="5" t="s">
        <v>68</v>
      </c>
      <c r="N16" s="5" t="s">
        <v>243</v>
      </c>
      <c r="O16" s="5" t="s">
        <v>244</v>
      </c>
      <c r="P16" s="7" t="s">
        <v>245</v>
      </c>
      <c r="Q16" s="5" t="n">
        <f aca="false">IF(P16="","",VALUE(LEFT(P16,4)))</f>
        <v>1794</v>
      </c>
      <c r="R16" s="5" t="s">
        <v>246</v>
      </c>
      <c r="S16" s="5" t="s">
        <v>246</v>
      </c>
      <c r="T16" s="5" t="s">
        <v>247</v>
      </c>
      <c r="U16" s="5" t="s">
        <v>20</v>
      </c>
      <c r="V16" s="5" t="s">
        <v>248</v>
      </c>
      <c r="W16" s="5" t="s">
        <v>92</v>
      </c>
      <c r="X16" s="5" t="s">
        <v>249</v>
      </c>
      <c r="Y16" s="5" t="str">
        <f aca="false">IF(P16="","",INDEX(Lookups!$B$2:$B$20,MATCH(P16,Lookups!$A$2:$A$20,1)))</f>
        <v>Portland</v>
      </c>
      <c r="Z16" s="5" t="s">
        <v>250</v>
      </c>
      <c r="AA16" s="5" t="s">
        <v>14</v>
      </c>
      <c r="AB16" s="5" t="s">
        <v>95</v>
      </c>
      <c r="AC16" s="5" t="s">
        <v>251</v>
      </c>
      <c r="AD16" s="5" t="s">
        <v>95</v>
      </c>
      <c r="AE16" s="5"/>
      <c r="AF16" s="5"/>
      <c r="AG16" s="5"/>
      <c r="AH16" s="5"/>
      <c r="AI16" s="5"/>
      <c r="AJ16" s="5"/>
      <c r="AK16" s="5" t="s">
        <v>252</v>
      </c>
    </row>
    <row r="17" customFormat="false" ht="46.25" hidden="false" customHeight="false" outlineLevel="0" collapsed="false">
      <c r="A17" s="5" t="s">
        <v>253</v>
      </c>
      <c r="B17" s="5" t="s">
        <v>239</v>
      </c>
      <c r="C17" s="10" t="s">
        <v>9</v>
      </c>
      <c r="D17" s="5" t="str">
        <f aca="false">IF(U17="","",IF(U17="England","Core",IF(U17="Wales","Low priority","Check with JV")))</f>
        <v>Core</v>
      </c>
      <c r="E17" s="5" t="s">
        <v>62</v>
      </c>
      <c r="F17" s="5" t="s">
        <v>240</v>
      </c>
      <c r="G17" s="5" t="s">
        <v>254</v>
      </c>
      <c r="H17" s="5"/>
      <c r="I17" s="5" t="s">
        <v>255</v>
      </c>
      <c r="J17" s="5" t="s">
        <v>66</v>
      </c>
      <c r="K17" s="5"/>
      <c r="L17" s="5" t="s">
        <v>67</v>
      </c>
      <c r="M17" s="5" t="s">
        <v>68</v>
      </c>
      <c r="N17" s="5" t="s">
        <v>256</v>
      </c>
      <c r="O17" s="5" t="s">
        <v>257</v>
      </c>
      <c r="P17" s="7" t="s">
        <v>258</v>
      </c>
      <c r="Q17" s="5" t="n">
        <f aca="false">IF(P17="","",VALUE(LEFT(P17,4)))</f>
        <v>1794</v>
      </c>
      <c r="R17" s="5" t="s">
        <v>259</v>
      </c>
      <c r="S17" s="5" t="s">
        <v>246</v>
      </c>
      <c r="T17" s="5" t="s">
        <v>260</v>
      </c>
      <c r="U17" s="5" t="s">
        <v>20</v>
      </c>
      <c r="V17" s="5" t="s">
        <v>261</v>
      </c>
      <c r="W17" s="5" t="s">
        <v>76</v>
      </c>
      <c r="X17" s="5"/>
      <c r="Y17" s="5" t="str">
        <f aca="false">IF(P17="","",INDEX(Lookups!$B$2:$B$20,MATCH(P17,Lookups!$A$2:$A$20,1)))</f>
        <v>Portland</v>
      </c>
      <c r="Z17" s="5"/>
      <c r="AA17" s="5"/>
      <c r="AB17" s="5"/>
      <c r="AC17" s="5"/>
      <c r="AD17" s="5"/>
      <c r="AE17" s="5"/>
      <c r="AF17" s="5"/>
      <c r="AG17" s="5"/>
      <c r="AH17" s="5"/>
      <c r="AI17" s="5"/>
      <c r="AJ17" s="5"/>
      <c r="AK17" s="5" t="s">
        <v>262</v>
      </c>
    </row>
    <row r="18" customFormat="false" ht="68.65" hidden="false" customHeight="false" outlineLevel="0" collapsed="false">
      <c r="A18" s="5" t="s">
        <v>263</v>
      </c>
      <c r="B18" s="5" t="s">
        <v>264</v>
      </c>
      <c r="C18" s="8" t="s">
        <v>7</v>
      </c>
      <c r="D18" s="5" t="str">
        <f aca="false">IF(U18="","",IF(U18="England","Core",IF(U18="Wales","Low priority","Check with JV")))</f>
        <v>Core</v>
      </c>
      <c r="E18" s="5" t="s">
        <v>62</v>
      </c>
      <c r="F18" s="5" t="s">
        <v>197</v>
      </c>
      <c r="G18" s="5" t="s">
        <v>265</v>
      </c>
      <c r="H18" s="5"/>
      <c r="I18" s="5" t="s">
        <v>266</v>
      </c>
      <c r="J18" s="5" t="s">
        <v>66</v>
      </c>
      <c r="K18" s="5"/>
      <c r="L18" s="5" t="s">
        <v>67</v>
      </c>
      <c r="M18" s="5" t="s">
        <v>68</v>
      </c>
      <c r="N18" s="5" t="s">
        <v>267</v>
      </c>
      <c r="O18" s="5" t="s">
        <v>268</v>
      </c>
      <c r="P18" s="7" t="s">
        <v>269</v>
      </c>
      <c r="Q18" s="5" t="n">
        <f aca="false">IF(P18="","",VALUE(LEFT(P18,4)))</f>
        <v>1794</v>
      </c>
      <c r="R18" s="5" t="s">
        <v>270</v>
      </c>
      <c r="S18" s="5" t="s">
        <v>270</v>
      </c>
      <c r="T18" s="5" t="s">
        <v>271</v>
      </c>
      <c r="U18" s="5" t="s">
        <v>20</v>
      </c>
      <c r="V18" s="5" t="s">
        <v>272</v>
      </c>
      <c r="W18" s="5" t="s">
        <v>273</v>
      </c>
      <c r="X18" s="5"/>
      <c r="Y18" s="5" t="str">
        <f aca="false">IF(P18="","",INDEX(Lookups!$B$2:$B$20,MATCH(P18,Lookups!$A$2:$A$20,1)))</f>
        <v>Dundas</v>
      </c>
      <c r="Z18" s="5" t="s">
        <v>131</v>
      </c>
      <c r="AA18" s="5"/>
      <c r="AB18" s="5"/>
      <c r="AC18" s="5"/>
      <c r="AD18" s="5"/>
      <c r="AE18" s="5" t="s">
        <v>274</v>
      </c>
      <c r="AF18" s="5" t="s">
        <v>113</v>
      </c>
      <c r="AG18" s="5"/>
      <c r="AH18" s="5"/>
      <c r="AI18" s="5"/>
      <c r="AJ18" s="5" t="s">
        <v>10</v>
      </c>
      <c r="AK18" s="5" t="s">
        <v>275</v>
      </c>
    </row>
    <row r="19" customFormat="false" ht="57.45" hidden="false" customHeight="false" outlineLevel="0" collapsed="false">
      <c r="A19" s="5" t="s">
        <v>276</v>
      </c>
      <c r="B19" s="5" t="s">
        <v>277</v>
      </c>
      <c r="C19" s="6" t="s">
        <v>5</v>
      </c>
      <c r="D19" s="5" t="str">
        <f aca="false">IF(U19="","",IF(U19="England","Core",IF(U19="Wales","Low priority","Check with JV")))</f>
        <v>Core</v>
      </c>
      <c r="E19" s="5" t="s">
        <v>62</v>
      </c>
      <c r="F19" s="5" t="s">
        <v>240</v>
      </c>
      <c r="G19" s="5" t="s">
        <v>278</v>
      </c>
      <c r="H19" s="5"/>
      <c r="I19" s="5" t="s">
        <v>279</v>
      </c>
      <c r="J19" s="5" t="s">
        <v>66</v>
      </c>
      <c r="K19" s="5"/>
      <c r="L19" s="5" t="s">
        <v>67</v>
      </c>
      <c r="M19" s="5" t="s">
        <v>68</v>
      </c>
      <c r="N19" s="5" t="s">
        <v>280</v>
      </c>
      <c r="O19" s="5" t="s">
        <v>281</v>
      </c>
      <c r="P19" s="7" t="s">
        <v>282</v>
      </c>
      <c r="Q19" s="5" t="n">
        <f aca="false">IF(P19="","",VALUE(LEFT(P19,4)))</f>
        <v>1794</v>
      </c>
      <c r="R19" s="5" t="s">
        <v>283</v>
      </c>
      <c r="S19" s="5" t="s">
        <v>246</v>
      </c>
      <c r="T19" s="5" t="s">
        <v>284</v>
      </c>
      <c r="U19" s="5" t="s">
        <v>20</v>
      </c>
      <c r="V19" s="5" t="s">
        <v>285</v>
      </c>
      <c r="W19" s="5" t="s">
        <v>92</v>
      </c>
      <c r="X19" s="5"/>
      <c r="Y19" s="5" t="str">
        <f aca="false">IF(P19="","",INDEX(Lookups!$B$2:$B$20,MATCH(P19,Lookups!$A$2:$A$20,1)))</f>
        <v>Portland</v>
      </c>
      <c r="Z19" s="5" t="s">
        <v>286</v>
      </c>
      <c r="AA19" s="5" t="s">
        <v>17</v>
      </c>
      <c r="AB19" s="5" t="s">
        <v>62</v>
      </c>
      <c r="AC19" s="5" t="s">
        <v>287</v>
      </c>
      <c r="AD19" s="5" t="s">
        <v>95</v>
      </c>
      <c r="AE19" s="5"/>
      <c r="AF19" s="5"/>
      <c r="AG19" s="5"/>
      <c r="AH19" s="5"/>
      <c r="AI19" s="5"/>
      <c r="AJ19" s="5"/>
      <c r="AK19" s="5" t="s">
        <v>288</v>
      </c>
    </row>
    <row r="20" customFormat="false" ht="15" hidden="false" customHeight="false" outlineLevel="0" collapsed="false">
      <c r="P20" s="11"/>
    </row>
    <row r="21" customFormat="false" ht="15" hidden="false" customHeight="false" outlineLevel="0" collapsed="false">
      <c r="P21" s="11"/>
    </row>
    <row r="22" customFormat="false" ht="15" hidden="false" customHeight="false" outlineLevel="0" collapsed="false">
      <c r="P22" s="11"/>
    </row>
    <row r="23" customFormat="false" ht="15" hidden="false" customHeight="false" outlineLevel="0" collapsed="false">
      <c r="P23" s="11"/>
    </row>
    <row r="24" customFormat="false" ht="15" hidden="false" customHeight="false" outlineLevel="0" collapsed="false">
      <c r="P24" s="11"/>
    </row>
    <row r="25" customFormat="false" ht="15" hidden="false" customHeight="false" outlineLevel="0" collapsed="false">
      <c r="P25" s="11"/>
    </row>
    <row r="26" customFormat="false" ht="15" hidden="false" customHeight="false" outlineLevel="0" collapsed="false">
      <c r="P26" s="11"/>
    </row>
    <row r="27" customFormat="false" ht="15" hidden="false" customHeight="false" outlineLevel="0" collapsed="false">
      <c r="P27" s="11"/>
    </row>
    <row r="28" customFormat="false" ht="15" hidden="false" customHeight="false" outlineLevel="0" collapsed="false">
      <c r="P28" s="11"/>
    </row>
    <row r="29" customFormat="false" ht="15" hidden="false" customHeight="false" outlineLevel="0" collapsed="false">
      <c r="P29" s="11"/>
    </row>
    <row r="30" customFormat="false" ht="15" hidden="false" customHeight="false" outlineLevel="0" collapsed="false">
      <c r="P30" s="11"/>
    </row>
    <row r="31" customFormat="false" ht="15" hidden="false" customHeight="false" outlineLevel="0" collapsed="false">
      <c r="P31" s="11"/>
    </row>
    <row r="32" customFormat="false" ht="15" hidden="false" customHeight="false" outlineLevel="0" collapsed="false">
      <c r="P32" s="11"/>
    </row>
    <row r="33" customFormat="false" ht="15" hidden="false" customHeight="false" outlineLevel="0" collapsed="false">
      <c r="P33" s="11"/>
    </row>
    <row r="34" customFormat="false" ht="15" hidden="false" customHeight="false" outlineLevel="0" collapsed="false">
      <c r="P34" s="11"/>
    </row>
    <row r="35" customFormat="false" ht="15" hidden="false" customHeight="false" outlineLevel="0" collapsed="false">
      <c r="P35" s="11"/>
    </row>
    <row r="36" customFormat="false" ht="15" hidden="false" customHeight="false" outlineLevel="0" collapsed="false">
      <c r="P36" s="11"/>
    </row>
    <row r="37" customFormat="false" ht="15" hidden="false" customHeight="false" outlineLevel="0" collapsed="false">
      <c r="P37" s="11"/>
    </row>
    <row r="38" customFormat="false" ht="15" hidden="false" customHeight="false" outlineLevel="0" collapsed="false">
      <c r="P38" s="11"/>
    </row>
    <row r="39" customFormat="false" ht="15" hidden="false" customHeight="false" outlineLevel="0" collapsed="false">
      <c r="P39" s="11"/>
    </row>
    <row r="40" customFormat="false" ht="15" hidden="false" customHeight="false" outlineLevel="0" collapsed="false">
      <c r="P40" s="11"/>
    </row>
    <row r="41" customFormat="false" ht="15" hidden="false" customHeight="false" outlineLevel="0" collapsed="false">
      <c r="P41" s="11"/>
    </row>
    <row r="42" customFormat="false" ht="15" hidden="false" customHeight="false" outlineLevel="0" collapsed="false">
      <c r="P42" s="11"/>
    </row>
    <row r="43" customFormat="false" ht="15" hidden="false" customHeight="false" outlineLevel="0" collapsed="false">
      <c r="P43" s="11"/>
    </row>
    <row r="44" customFormat="false" ht="15" hidden="false" customHeight="false" outlineLevel="0" collapsed="false">
      <c r="P44" s="11"/>
    </row>
    <row r="45" customFormat="false" ht="15" hidden="false" customHeight="false" outlineLevel="0" collapsed="false">
      <c r="P45" s="11"/>
    </row>
    <row r="46" customFormat="false" ht="15" hidden="false" customHeight="false" outlineLevel="0" collapsed="false">
      <c r="P46" s="11"/>
    </row>
    <row r="47" customFormat="false" ht="15" hidden="false" customHeight="false" outlineLevel="0" collapsed="false">
      <c r="P47" s="11"/>
    </row>
    <row r="48" customFormat="false" ht="15" hidden="false" customHeight="false" outlineLevel="0" collapsed="false">
      <c r="P48" s="11"/>
    </row>
    <row r="49" customFormat="false" ht="15" hidden="false" customHeight="false" outlineLevel="0" collapsed="false">
      <c r="P49" s="11"/>
    </row>
    <row r="50" customFormat="false" ht="15" hidden="false" customHeight="false" outlineLevel="0" collapsed="false">
      <c r="P50" s="11"/>
    </row>
    <row r="51" customFormat="false" ht="15" hidden="false" customHeight="false" outlineLevel="0" collapsed="false">
      <c r="P51" s="11"/>
    </row>
    <row r="52" customFormat="false" ht="15" hidden="false" customHeight="false" outlineLevel="0" collapsed="false">
      <c r="P52" s="11"/>
    </row>
    <row r="53" customFormat="false" ht="15" hidden="false" customHeight="false" outlineLevel="0" collapsed="false">
      <c r="P53" s="11"/>
    </row>
    <row r="54" customFormat="false" ht="15" hidden="false" customHeight="false" outlineLevel="0" collapsed="false">
      <c r="P54" s="11"/>
    </row>
    <row r="55" customFormat="false" ht="15" hidden="false" customHeight="false" outlineLevel="0" collapsed="false">
      <c r="P55" s="11"/>
    </row>
    <row r="56" customFormat="false" ht="15" hidden="false" customHeight="false" outlineLevel="0" collapsed="false">
      <c r="P56" s="11"/>
    </row>
    <row r="57" customFormat="false" ht="15" hidden="false" customHeight="false" outlineLevel="0" collapsed="false">
      <c r="P57" s="11"/>
    </row>
    <row r="58" customFormat="false" ht="15" hidden="false" customHeight="false" outlineLevel="0" collapsed="false">
      <c r="P58" s="11"/>
    </row>
    <row r="59" customFormat="false" ht="15" hidden="false" customHeight="false" outlineLevel="0" collapsed="false">
      <c r="P59" s="11"/>
    </row>
    <row r="60" customFormat="false" ht="15" hidden="false" customHeight="false" outlineLevel="0" collapsed="false">
      <c r="P60" s="11"/>
    </row>
    <row r="61" customFormat="false" ht="15" hidden="false" customHeight="false" outlineLevel="0" collapsed="false">
      <c r="P61" s="11"/>
    </row>
    <row r="62" customFormat="false" ht="15" hidden="false" customHeight="false" outlineLevel="0" collapsed="false">
      <c r="P62" s="11"/>
    </row>
    <row r="63" customFormat="false" ht="15" hidden="false" customHeight="false" outlineLevel="0" collapsed="false">
      <c r="P63" s="11"/>
    </row>
    <row r="64" customFormat="false" ht="15" hidden="false" customHeight="false" outlineLevel="0" collapsed="false">
      <c r="P64" s="11"/>
    </row>
    <row r="65" customFormat="false" ht="15" hidden="false" customHeight="false" outlineLevel="0" collapsed="false">
      <c r="P65" s="11"/>
    </row>
    <row r="66" customFormat="false" ht="15" hidden="false" customHeight="false" outlineLevel="0" collapsed="false">
      <c r="P66" s="11"/>
    </row>
    <row r="67" customFormat="false" ht="15" hidden="false" customHeight="false" outlineLevel="0" collapsed="false">
      <c r="P67" s="11"/>
    </row>
    <row r="68" customFormat="false" ht="15" hidden="false" customHeight="false" outlineLevel="0" collapsed="false">
      <c r="P68" s="11"/>
    </row>
    <row r="69" customFormat="false" ht="15" hidden="false" customHeight="false" outlineLevel="0" collapsed="false">
      <c r="P69" s="11"/>
    </row>
    <row r="70" customFormat="false" ht="15" hidden="false" customHeight="false" outlineLevel="0" collapsed="false">
      <c r="P70" s="11"/>
    </row>
    <row r="71" customFormat="false" ht="15" hidden="false" customHeight="false" outlineLevel="0" collapsed="false">
      <c r="P71" s="11"/>
    </row>
    <row r="72" customFormat="false" ht="15" hidden="false" customHeight="false" outlineLevel="0" collapsed="false">
      <c r="P72" s="11"/>
    </row>
    <row r="73" customFormat="false" ht="15" hidden="false" customHeight="false" outlineLevel="0" collapsed="false">
      <c r="P73" s="11"/>
    </row>
    <row r="74" customFormat="false" ht="15" hidden="false" customHeight="false" outlineLevel="0" collapsed="false">
      <c r="P74" s="11"/>
    </row>
    <row r="75" customFormat="false" ht="15" hidden="false" customHeight="false" outlineLevel="0" collapsed="false">
      <c r="P75" s="11"/>
    </row>
    <row r="76" customFormat="false" ht="15" hidden="false" customHeight="false" outlineLevel="0" collapsed="false">
      <c r="P76" s="11"/>
    </row>
    <row r="77" customFormat="false" ht="15" hidden="false" customHeight="false" outlineLevel="0" collapsed="false">
      <c r="P77" s="11"/>
    </row>
    <row r="78" customFormat="false" ht="15" hidden="false" customHeight="false" outlineLevel="0" collapsed="false">
      <c r="P78" s="11"/>
    </row>
    <row r="79" customFormat="false" ht="15" hidden="false" customHeight="false" outlineLevel="0" collapsed="false">
      <c r="P79" s="11"/>
    </row>
    <row r="80" customFormat="false" ht="15" hidden="false" customHeight="false" outlineLevel="0" collapsed="false">
      <c r="P80" s="11"/>
    </row>
    <row r="81" customFormat="false" ht="15" hidden="false" customHeight="false" outlineLevel="0" collapsed="false">
      <c r="P81" s="11"/>
    </row>
    <row r="82" customFormat="false" ht="15" hidden="false" customHeight="false" outlineLevel="0" collapsed="false">
      <c r="P82" s="11"/>
    </row>
    <row r="83" customFormat="false" ht="15" hidden="false" customHeight="false" outlineLevel="0" collapsed="false">
      <c r="P83" s="11"/>
    </row>
    <row r="84" customFormat="false" ht="15" hidden="false" customHeight="false" outlineLevel="0" collapsed="false">
      <c r="P84" s="11"/>
    </row>
    <row r="85" customFormat="false" ht="15" hidden="false" customHeight="false" outlineLevel="0" collapsed="false">
      <c r="P85" s="11"/>
    </row>
    <row r="86" customFormat="false" ht="15" hidden="false" customHeight="false" outlineLevel="0" collapsed="false">
      <c r="P86" s="11"/>
    </row>
    <row r="87" customFormat="false" ht="15" hidden="false" customHeight="false" outlineLevel="0" collapsed="false">
      <c r="P87" s="11"/>
    </row>
    <row r="88" customFormat="false" ht="15" hidden="false" customHeight="false" outlineLevel="0" collapsed="false">
      <c r="P88" s="11"/>
    </row>
    <row r="89" customFormat="false" ht="15" hidden="false" customHeight="false" outlineLevel="0" collapsed="false">
      <c r="P89" s="11"/>
    </row>
    <row r="90" customFormat="false" ht="15" hidden="false" customHeight="false" outlineLevel="0" collapsed="false">
      <c r="P90" s="11"/>
    </row>
    <row r="91" customFormat="false" ht="15" hidden="false" customHeight="false" outlineLevel="0" collapsed="false">
      <c r="P91" s="11"/>
    </row>
    <row r="92" customFormat="false" ht="15" hidden="false" customHeight="false" outlineLevel="0" collapsed="false">
      <c r="P92" s="11"/>
    </row>
    <row r="93" customFormat="false" ht="15" hidden="false" customHeight="false" outlineLevel="0" collapsed="false">
      <c r="P93" s="11"/>
    </row>
    <row r="94" customFormat="false" ht="15" hidden="false" customHeight="false" outlineLevel="0" collapsed="false">
      <c r="P94" s="11"/>
    </row>
    <row r="95" customFormat="false" ht="15" hidden="false" customHeight="false" outlineLevel="0" collapsed="false">
      <c r="P95" s="11"/>
    </row>
    <row r="96" customFormat="false" ht="15" hidden="false" customHeight="false" outlineLevel="0" collapsed="false">
      <c r="P96" s="11"/>
    </row>
    <row r="97" customFormat="false" ht="15" hidden="false" customHeight="false" outlineLevel="0" collapsed="false">
      <c r="P97" s="11"/>
    </row>
    <row r="98" customFormat="false" ht="15" hidden="false" customHeight="false" outlineLevel="0" collapsed="false">
      <c r="P98" s="11"/>
    </row>
    <row r="99" customFormat="false" ht="15" hidden="false" customHeight="false" outlineLevel="0" collapsed="false">
      <c r="P99" s="11"/>
    </row>
    <row r="100" customFormat="false" ht="15" hidden="false" customHeight="false" outlineLevel="0" collapsed="false">
      <c r="P100" s="11"/>
    </row>
    <row r="101" customFormat="false" ht="15" hidden="false" customHeight="false" outlineLevel="0" collapsed="false">
      <c r="P101" s="11"/>
    </row>
    <row r="102" customFormat="false" ht="15" hidden="false" customHeight="false" outlineLevel="0" collapsed="false">
      <c r="P102" s="11"/>
    </row>
    <row r="103" customFormat="false" ht="15" hidden="false" customHeight="false" outlineLevel="0" collapsed="false">
      <c r="P103" s="11"/>
    </row>
    <row r="104" customFormat="false" ht="15" hidden="false" customHeight="false" outlineLevel="0" collapsed="false">
      <c r="P104" s="11"/>
    </row>
    <row r="105" customFormat="false" ht="15" hidden="false" customHeight="false" outlineLevel="0" collapsed="false">
      <c r="P105" s="11"/>
    </row>
    <row r="106" customFormat="false" ht="15" hidden="false" customHeight="false" outlineLevel="0" collapsed="false">
      <c r="P106" s="11"/>
    </row>
    <row r="107" customFormat="false" ht="15" hidden="false" customHeight="false" outlineLevel="0" collapsed="false">
      <c r="P107" s="11"/>
    </row>
    <row r="108" customFormat="false" ht="15" hidden="false" customHeight="false" outlineLevel="0" collapsed="false">
      <c r="P108" s="11"/>
    </row>
    <row r="109" customFormat="false" ht="15" hidden="false" customHeight="false" outlineLevel="0" collapsed="false">
      <c r="P109" s="11"/>
    </row>
    <row r="110" customFormat="false" ht="15" hidden="false" customHeight="false" outlineLevel="0" collapsed="false">
      <c r="P110" s="11"/>
    </row>
    <row r="111" customFormat="false" ht="15" hidden="false" customHeight="false" outlineLevel="0" collapsed="false">
      <c r="P111" s="11"/>
    </row>
    <row r="112" customFormat="false" ht="15" hidden="false" customHeight="false" outlineLevel="0" collapsed="false">
      <c r="P112" s="11"/>
    </row>
    <row r="113" customFormat="false" ht="15" hidden="false" customHeight="false" outlineLevel="0" collapsed="false">
      <c r="P113" s="11"/>
    </row>
    <row r="114" customFormat="false" ht="15" hidden="false" customHeight="false" outlineLevel="0" collapsed="false">
      <c r="P114" s="11"/>
    </row>
    <row r="115" customFormat="false" ht="15" hidden="false" customHeight="false" outlineLevel="0" collapsed="false">
      <c r="P115" s="11"/>
    </row>
    <row r="116" customFormat="false" ht="15" hidden="false" customHeight="false" outlineLevel="0" collapsed="false">
      <c r="P116" s="11"/>
    </row>
    <row r="117" customFormat="false" ht="15" hidden="false" customHeight="false" outlineLevel="0" collapsed="false">
      <c r="P117" s="11"/>
    </row>
    <row r="118" customFormat="false" ht="15" hidden="false" customHeight="false" outlineLevel="0" collapsed="false">
      <c r="P118" s="11"/>
    </row>
    <row r="119" customFormat="false" ht="15" hidden="false" customHeight="false" outlineLevel="0" collapsed="false">
      <c r="P119" s="11"/>
    </row>
    <row r="120" customFormat="false" ht="15" hidden="false" customHeight="false" outlineLevel="0" collapsed="false">
      <c r="P120" s="11"/>
    </row>
    <row r="121" customFormat="false" ht="15" hidden="false" customHeight="false" outlineLevel="0" collapsed="false">
      <c r="P121" s="11"/>
    </row>
    <row r="122" customFormat="false" ht="15" hidden="false" customHeight="false" outlineLevel="0" collapsed="false">
      <c r="P122" s="11"/>
    </row>
    <row r="123" customFormat="false" ht="15" hidden="false" customHeight="false" outlineLevel="0" collapsed="false">
      <c r="P123" s="11"/>
    </row>
    <row r="124" customFormat="false" ht="15" hidden="false" customHeight="false" outlineLevel="0" collapsed="false">
      <c r="P124" s="11"/>
    </row>
    <row r="125" customFormat="false" ht="15" hidden="false" customHeight="false" outlineLevel="0" collapsed="false">
      <c r="P125" s="11"/>
    </row>
    <row r="126" customFormat="false" ht="15" hidden="false" customHeight="false" outlineLevel="0" collapsed="false">
      <c r="P126" s="11"/>
    </row>
    <row r="127" customFormat="false" ht="15" hidden="false" customHeight="false" outlineLevel="0" collapsed="false">
      <c r="P127" s="11"/>
    </row>
    <row r="128" customFormat="false" ht="15" hidden="false" customHeight="false" outlineLevel="0" collapsed="false">
      <c r="P128" s="11"/>
    </row>
    <row r="129" customFormat="false" ht="15" hidden="false" customHeight="false" outlineLevel="0" collapsed="false">
      <c r="P129" s="11"/>
    </row>
    <row r="130" customFormat="false" ht="15" hidden="false" customHeight="false" outlineLevel="0" collapsed="false">
      <c r="P130" s="11"/>
    </row>
    <row r="131" customFormat="false" ht="15" hidden="false" customHeight="false" outlineLevel="0" collapsed="false">
      <c r="P131" s="11"/>
    </row>
    <row r="132" customFormat="false" ht="15" hidden="false" customHeight="false" outlineLevel="0" collapsed="false">
      <c r="P132" s="11"/>
    </row>
    <row r="133" customFormat="false" ht="15" hidden="false" customHeight="false" outlineLevel="0" collapsed="false">
      <c r="P133" s="11"/>
    </row>
    <row r="134" customFormat="false" ht="15" hidden="false" customHeight="false" outlineLevel="0" collapsed="false">
      <c r="P134" s="11"/>
    </row>
    <row r="135" customFormat="false" ht="15" hidden="false" customHeight="false" outlineLevel="0" collapsed="false">
      <c r="P135" s="11"/>
    </row>
    <row r="136" customFormat="false" ht="15" hidden="false" customHeight="false" outlineLevel="0" collapsed="false">
      <c r="P136" s="11"/>
    </row>
    <row r="137" customFormat="false" ht="15" hidden="false" customHeight="false" outlineLevel="0" collapsed="false">
      <c r="P137" s="11"/>
    </row>
    <row r="138" customFormat="false" ht="15" hidden="false" customHeight="false" outlineLevel="0" collapsed="false">
      <c r="P138" s="11"/>
    </row>
    <row r="139" customFormat="false" ht="15" hidden="false" customHeight="false" outlineLevel="0" collapsed="false">
      <c r="P139" s="11"/>
    </row>
    <row r="140" customFormat="false" ht="15" hidden="false" customHeight="false" outlineLevel="0" collapsed="false">
      <c r="P140" s="11"/>
    </row>
    <row r="141" customFormat="false" ht="15" hidden="false" customHeight="false" outlineLevel="0" collapsed="false">
      <c r="P141" s="11"/>
    </row>
    <row r="142" customFormat="false" ht="15" hidden="false" customHeight="false" outlineLevel="0" collapsed="false">
      <c r="P142" s="11"/>
    </row>
    <row r="143" customFormat="false" ht="15" hidden="false" customHeight="false" outlineLevel="0" collapsed="false">
      <c r="P143" s="11"/>
    </row>
    <row r="144" customFormat="false" ht="15" hidden="false" customHeight="false" outlineLevel="0" collapsed="false">
      <c r="P144" s="11"/>
    </row>
    <row r="145" customFormat="false" ht="15" hidden="false" customHeight="false" outlineLevel="0" collapsed="false">
      <c r="P145" s="11"/>
    </row>
    <row r="146" customFormat="false" ht="15" hidden="false" customHeight="false" outlineLevel="0" collapsed="false">
      <c r="P146" s="11"/>
    </row>
    <row r="147" customFormat="false" ht="15" hidden="false" customHeight="false" outlineLevel="0" collapsed="false">
      <c r="P147" s="11"/>
    </row>
    <row r="148" customFormat="false" ht="15" hidden="false" customHeight="false" outlineLevel="0" collapsed="false">
      <c r="P148" s="11"/>
    </row>
    <row r="149" customFormat="false" ht="15" hidden="false" customHeight="false" outlineLevel="0" collapsed="false">
      <c r="P149" s="11"/>
    </row>
    <row r="150" customFormat="false" ht="15" hidden="false" customHeight="false" outlineLevel="0" collapsed="false">
      <c r="P150" s="11"/>
    </row>
    <row r="151" customFormat="false" ht="15" hidden="false" customHeight="false" outlineLevel="0" collapsed="false">
      <c r="P151" s="11"/>
    </row>
    <row r="152" customFormat="false" ht="15" hidden="false" customHeight="false" outlineLevel="0" collapsed="false">
      <c r="P152" s="11"/>
    </row>
    <row r="153" customFormat="false" ht="15" hidden="false" customHeight="false" outlineLevel="0" collapsed="false">
      <c r="P153" s="11"/>
    </row>
    <row r="154" customFormat="false" ht="15" hidden="false" customHeight="false" outlineLevel="0" collapsed="false">
      <c r="P154" s="11"/>
    </row>
    <row r="155" customFormat="false" ht="15" hidden="false" customHeight="false" outlineLevel="0" collapsed="false">
      <c r="P155" s="11"/>
    </row>
    <row r="156" customFormat="false" ht="15" hidden="false" customHeight="false" outlineLevel="0" collapsed="false">
      <c r="P156" s="11"/>
    </row>
    <row r="157" customFormat="false" ht="15" hidden="false" customHeight="false" outlineLevel="0" collapsed="false">
      <c r="P157" s="11"/>
    </row>
    <row r="158" customFormat="false" ht="15" hidden="false" customHeight="false" outlineLevel="0" collapsed="false">
      <c r="P158" s="11"/>
    </row>
    <row r="159" customFormat="false" ht="15" hidden="false" customHeight="false" outlineLevel="0" collapsed="false">
      <c r="P159" s="11"/>
    </row>
    <row r="160" customFormat="false" ht="15" hidden="false" customHeight="false" outlineLevel="0" collapsed="false">
      <c r="P160" s="11"/>
    </row>
    <row r="161" customFormat="false" ht="15" hidden="false" customHeight="false" outlineLevel="0" collapsed="false">
      <c r="P161" s="11"/>
    </row>
    <row r="162" customFormat="false" ht="15" hidden="false" customHeight="false" outlineLevel="0" collapsed="false">
      <c r="P162" s="11"/>
    </row>
    <row r="163" customFormat="false" ht="15" hidden="false" customHeight="false" outlineLevel="0" collapsed="false">
      <c r="P163" s="11"/>
    </row>
    <row r="164" customFormat="false" ht="15" hidden="false" customHeight="false" outlineLevel="0" collapsed="false">
      <c r="P164" s="11"/>
    </row>
    <row r="165" customFormat="false" ht="15" hidden="false" customHeight="false" outlineLevel="0" collapsed="false">
      <c r="P165" s="11"/>
    </row>
    <row r="166" customFormat="false" ht="15" hidden="false" customHeight="false" outlineLevel="0" collapsed="false">
      <c r="P166" s="11"/>
    </row>
    <row r="167" customFormat="false" ht="15" hidden="false" customHeight="false" outlineLevel="0" collapsed="false">
      <c r="P167" s="11"/>
    </row>
    <row r="168" customFormat="false" ht="15" hidden="false" customHeight="false" outlineLevel="0" collapsed="false">
      <c r="P168" s="11"/>
    </row>
    <row r="169" customFormat="false" ht="15" hidden="false" customHeight="false" outlineLevel="0" collapsed="false">
      <c r="P169" s="11"/>
    </row>
    <row r="170" customFormat="false" ht="15" hidden="false" customHeight="false" outlineLevel="0" collapsed="false">
      <c r="P170" s="11"/>
    </row>
    <row r="171" customFormat="false" ht="15" hidden="false" customHeight="false" outlineLevel="0" collapsed="false">
      <c r="P171" s="11"/>
    </row>
    <row r="172" customFormat="false" ht="15" hidden="false" customHeight="false" outlineLevel="0" collapsed="false">
      <c r="P172" s="11"/>
    </row>
    <row r="173" customFormat="false" ht="15" hidden="false" customHeight="false" outlineLevel="0" collapsed="false">
      <c r="P173" s="11"/>
    </row>
    <row r="174" customFormat="false" ht="15" hidden="false" customHeight="false" outlineLevel="0" collapsed="false">
      <c r="P174" s="11"/>
    </row>
    <row r="175" customFormat="false" ht="15" hidden="false" customHeight="false" outlineLevel="0" collapsed="false">
      <c r="P175" s="11"/>
    </row>
    <row r="176" customFormat="false" ht="15" hidden="false" customHeight="false" outlineLevel="0" collapsed="false">
      <c r="P176" s="11"/>
    </row>
    <row r="177" customFormat="false" ht="15" hidden="false" customHeight="false" outlineLevel="0" collapsed="false">
      <c r="P177" s="11"/>
    </row>
    <row r="178" customFormat="false" ht="15" hidden="false" customHeight="false" outlineLevel="0" collapsed="false">
      <c r="P178" s="11"/>
    </row>
    <row r="179" customFormat="false" ht="15" hidden="false" customHeight="false" outlineLevel="0" collapsed="false">
      <c r="P179" s="11"/>
    </row>
    <row r="180" customFormat="false" ht="15" hidden="false" customHeight="false" outlineLevel="0" collapsed="false">
      <c r="P180" s="11"/>
    </row>
    <row r="181" customFormat="false" ht="15" hidden="false" customHeight="false" outlineLevel="0" collapsed="false">
      <c r="P181" s="11"/>
    </row>
    <row r="182" customFormat="false" ht="15" hidden="false" customHeight="false" outlineLevel="0" collapsed="false">
      <c r="P182" s="11"/>
    </row>
    <row r="183" customFormat="false" ht="15" hidden="false" customHeight="false" outlineLevel="0" collapsed="false">
      <c r="P183" s="11"/>
    </row>
    <row r="184" customFormat="false" ht="15" hidden="false" customHeight="false" outlineLevel="0" collapsed="false">
      <c r="P184" s="11"/>
    </row>
    <row r="185" customFormat="false" ht="15" hidden="false" customHeight="false" outlineLevel="0" collapsed="false">
      <c r="P185" s="11"/>
    </row>
    <row r="186" customFormat="false" ht="15" hidden="false" customHeight="false" outlineLevel="0" collapsed="false">
      <c r="P186" s="11"/>
    </row>
    <row r="187" customFormat="false" ht="15" hidden="false" customHeight="false" outlineLevel="0" collapsed="false">
      <c r="P187" s="11"/>
    </row>
    <row r="188" customFormat="false" ht="15" hidden="false" customHeight="false" outlineLevel="0" collapsed="false">
      <c r="P188" s="11"/>
    </row>
    <row r="189" customFormat="false" ht="15" hidden="false" customHeight="false" outlineLevel="0" collapsed="false">
      <c r="P189" s="11"/>
    </row>
    <row r="190" customFormat="false" ht="15" hidden="false" customHeight="false" outlineLevel="0" collapsed="false">
      <c r="P190" s="11"/>
    </row>
    <row r="191" customFormat="false" ht="15" hidden="false" customHeight="false" outlineLevel="0" collapsed="false">
      <c r="P191" s="11"/>
    </row>
    <row r="192" customFormat="false" ht="15" hidden="false" customHeight="false" outlineLevel="0" collapsed="false">
      <c r="P192" s="11"/>
    </row>
    <row r="193" customFormat="false" ht="15" hidden="false" customHeight="false" outlineLevel="0" collapsed="false">
      <c r="P193" s="11"/>
    </row>
    <row r="194" customFormat="false" ht="15" hidden="false" customHeight="false" outlineLevel="0" collapsed="false">
      <c r="P194" s="11"/>
    </row>
    <row r="195" customFormat="false" ht="15" hidden="false" customHeight="false" outlineLevel="0" collapsed="false">
      <c r="P195" s="11"/>
    </row>
    <row r="196" customFormat="false" ht="15" hidden="false" customHeight="false" outlineLevel="0" collapsed="false">
      <c r="P196" s="11"/>
    </row>
    <row r="197" customFormat="false" ht="15" hidden="false" customHeight="false" outlineLevel="0" collapsed="false">
      <c r="P197" s="11"/>
    </row>
    <row r="198" customFormat="false" ht="15" hidden="false" customHeight="false" outlineLevel="0" collapsed="false">
      <c r="P198" s="11"/>
    </row>
    <row r="199" customFormat="false" ht="15" hidden="false" customHeight="false" outlineLevel="0" collapsed="false">
      <c r="P199" s="11"/>
    </row>
    <row r="200" customFormat="false" ht="15" hidden="false" customHeight="false" outlineLevel="0" collapsed="false">
      <c r="P200" s="11"/>
    </row>
    <row r="201" customFormat="false" ht="15" hidden="false" customHeight="false" outlineLevel="0" collapsed="false">
      <c r="P201" s="11"/>
    </row>
    <row r="202" customFormat="false" ht="15" hidden="false" customHeight="false" outlineLevel="0" collapsed="false">
      <c r="P202" s="11"/>
    </row>
    <row r="203" customFormat="false" ht="15" hidden="false" customHeight="false" outlineLevel="0" collapsed="false">
      <c r="P203" s="11"/>
    </row>
    <row r="204" customFormat="false" ht="15" hidden="false" customHeight="false" outlineLevel="0" collapsed="false">
      <c r="P204" s="11"/>
    </row>
    <row r="205" customFormat="false" ht="15" hidden="false" customHeight="false" outlineLevel="0" collapsed="false">
      <c r="P205" s="11"/>
    </row>
    <row r="206" customFormat="false" ht="15" hidden="false" customHeight="false" outlineLevel="0" collapsed="false">
      <c r="P206" s="11"/>
    </row>
    <row r="207" customFormat="false" ht="15" hidden="false" customHeight="false" outlineLevel="0" collapsed="false">
      <c r="P207" s="11"/>
    </row>
    <row r="208" customFormat="false" ht="15" hidden="false" customHeight="false" outlineLevel="0" collapsed="false">
      <c r="P208" s="11"/>
    </row>
    <row r="209" customFormat="false" ht="15" hidden="false" customHeight="false" outlineLevel="0" collapsed="false">
      <c r="P209" s="11"/>
    </row>
    <row r="210" customFormat="false" ht="15" hidden="false" customHeight="false" outlineLevel="0" collapsed="false">
      <c r="P210" s="11"/>
    </row>
    <row r="211" customFormat="false" ht="15" hidden="false" customHeight="false" outlineLevel="0" collapsed="false">
      <c r="P211" s="11"/>
    </row>
    <row r="212" customFormat="false" ht="15" hidden="false" customHeight="false" outlineLevel="0" collapsed="false">
      <c r="P212" s="11"/>
    </row>
    <row r="213" customFormat="false" ht="15" hidden="false" customHeight="false" outlineLevel="0" collapsed="false">
      <c r="P213" s="11"/>
    </row>
    <row r="214" customFormat="false" ht="15" hidden="false" customHeight="false" outlineLevel="0" collapsed="false">
      <c r="P214" s="11"/>
    </row>
    <row r="215" customFormat="false" ht="15" hidden="false" customHeight="false" outlineLevel="0" collapsed="false">
      <c r="P215" s="11"/>
    </row>
    <row r="216" customFormat="false" ht="15" hidden="false" customHeight="false" outlineLevel="0" collapsed="false">
      <c r="P216" s="11"/>
    </row>
    <row r="217" customFormat="false" ht="15" hidden="false" customHeight="false" outlineLevel="0" collapsed="false">
      <c r="P217" s="11"/>
    </row>
    <row r="218" customFormat="false" ht="15" hidden="false" customHeight="false" outlineLevel="0" collapsed="false">
      <c r="P218" s="11"/>
    </row>
    <row r="219" customFormat="false" ht="15" hidden="false" customHeight="false" outlineLevel="0" collapsed="false">
      <c r="P219" s="11"/>
    </row>
    <row r="220" customFormat="false" ht="15" hidden="false" customHeight="false" outlineLevel="0" collapsed="false">
      <c r="P220" s="11"/>
    </row>
    <row r="221" customFormat="false" ht="15" hidden="false" customHeight="false" outlineLevel="0" collapsed="false">
      <c r="P221" s="11"/>
    </row>
    <row r="222" customFormat="false" ht="15" hidden="false" customHeight="false" outlineLevel="0" collapsed="false">
      <c r="P222" s="11"/>
    </row>
    <row r="223" customFormat="false" ht="15" hidden="false" customHeight="false" outlineLevel="0" collapsed="false">
      <c r="P223" s="11"/>
    </row>
    <row r="224" customFormat="false" ht="15" hidden="false" customHeight="false" outlineLevel="0" collapsed="false">
      <c r="P224" s="11"/>
    </row>
    <row r="225" customFormat="false" ht="15" hidden="false" customHeight="false" outlineLevel="0" collapsed="false">
      <c r="P225" s="11"/>
    </row>
    <row r="226" customFormat="false" ht="15" hidden="false" customHeight="false" outlineLevel="0" collapsed="false">
      <c r="P226" s="11"/>
    </row>
    <row r="227" customFormat="false" ht="15" hidden="false" customHeight="false" outlineLevel="0" collapsed="false">
      <c r="P227" s="11"/>
    </row>
    <row r="228" customFormat="false" ht="15" hidden="false" customHeight="false" outlineLevel="0" collapsed="false">
      <c r="P228" s="11"/>
    </row>
    <row r="229" customFormat="false" ht="15" hidden="false" customHeight="false" outlineLevel="0" collapsed="false">
      <c r="P229" s="11"/>
    </row>
    <row r="230" customFormat="false" ht="15" hidden="false" customHeight="false" outlineLevel="0" collapsed="false">
      <c r="P230" s="11"/>
    </row>
    <row r="231" customFormat="false" ht="15" hidden="false" customHeight="false" outlineLevel="0" collapsed="false">
      <c r="P231" s="11"/>
    </row>
    <row r="232" customFormat="false" ht="15" hidden="false" customHeight="false" outlineLevel="0" collapsed="false">
      <c r="P232" s="11"/>
    </row>
    <row r="233" customFormat="false" ht="15" hidden="false" customHeight="false" outlineLevel="0" collapsed="false">
      <c r="P233" s="11"/>
    </row>
    <row r="234" customFormat="false" ht="15" hidden="false" customHeight="false" outlineLevel="0" collapsed="false">
      <c r="P234" s="11"/>
    </row>
    <row r="235" customFormat="false" ht="15" hidden="false" customHeight="false" outlineLevel="0" collapsed="false">
      <c r="P235" s="11"/>
    </row>
    <row r="236" customFormat="false" ht="15" hidden="false" customHeight="false" outlineLevel="0" collapsed="false">
      <c r="P236" s="11"/>
    </row>
    <row r="237" customFormat="false" ht="15" hidden="false" customHeight="false" outlineLevel="0" collapsed="false">
      <c r="P237" s="11"/>
    </row>
    <row r="238" customFormat="false" ht="15" hidden="false" customHeight="false" outlineLevel="0" collapsed="false">
      <c r="P238" s="11"/>
    </row>
    <row r="239" customFormat="false" ht="15" hidden="false" customHeight="false" outlineLevel="0" collapsed="false">
      <c r="P239" s="11"/>
    </row>
    <row r="240" customFormat="false" ht="15" hidden="false" customHeight="false" outlineLevel="0" collapsed="false">
      <c r="P240" s="11"/>
    </row>
    <row r="241" customFormat="false" ht="15" hidden="false" customHeight="false" outlineLevel="0" collapsed="false">
      <c r="P241" s="11"/>
    </row>
    <row r="242" customFormat="false" ht="15" hidden="false" customHeight="false" outlineLevel="0" collapsed="false">
      <c r="P242" s="11"/>
    </row>
    <row r="243" customFormat="false" ht="15" hidden="false" customHeight="false" outlineLevel="0" collapsed="false">
      <c r="P243" s="11"/>
    </row>
    <row r="244" customFormat="false" ht="15" hidden="false" customHeight="false" outlineLevel="0" collapsed="false">
      <c r="P244" s="11"/>
    </row>
    <row r="245" customFormat="false" ht="15" hidden="false" customHeight="false" outlineLevel="0" collapsed="false">
      <c r="P245" s="11"/>
    </row>
    <row r="246" customFormat="false" ht="15" hidden="false" customHeight="false" outlineLevel="0" collapsed="false">
      <c r="P246" s="11"/>
    </row>
    <row r="247" customFormat="false" ht="15" hidden="false" customHeight="false" outlineLevel="0" collapsed="false">
      <c r="P247" s="11"/>
    </row>
    <row r="248" customFormat="false" ht="15" hidden="false" customHeight="false" outlineLevel="0" collapsed="false">
      <c r="P248" s="11"/>
    </row>
    <row r="249" customFormat="false" ht="15" hidden="false" customHeight="false" outlineLevel="0" collapsed="false">
      <c r="P249" s="11"/>
    </row>
    <row r="250" customFormat="false" ht="15" hidden="false" customHeight="false" outlineLevel="0" collapsed="false">
      <c r="P250" s="11"/>
    </row>
    <row r="251" customFormat="false" ht="15" hidden="false" customHeight="false" outlineLevel="0" collapsed="false">
      <c r="P251" s="11"/>
    </row>
    <row r="252" customFormat="false" ht="15" hidden="false" customHeight="false" outlineLevel="0" collapsed="false">
      <c r="P252" s="11"/>
    </row>
    <row r="253" customFormat="false" ht="15" hidden="false" customHeight="false" outlineLevel="0" collapsed="false">
      <c r="P253" s="11"/>
    </row>
    <row r="254" customFormat="false" ht="15" hidden="false" customHeight="false" outlineLevel="0" collapsed="false">
      <c r="P254" s="11"/>
    </row>
    <row r="255" customFormat="false" ht="15" hidden="false" customHeight="false" outlineLevel="0" collapsed="false">
      <c r="P255" s="11"/>
    </row>
    <row r="256" customFormat="false" ht="15" hidden="false" customHeight="false" outlineLevel="0" collapsed="false">
      <c r="P256" s="11"/>
    </row>
    <row r="257" customFormat="false" ht="15" hidden="false" customHeight="false" outlineLevel="0" collapsed="false">
      <c r="P257" s="11"/>
    </row>
    <row r="258" customFormat="false" ht="15" hidden="false" customHeight="false" outlineLevel="0" collapsed="false">
      <c r="P258" s="11"/>
    </row>
    <row r="259" customFormat="false" ht="15" hidden="false" customHeight="false" outlineLevel="0" collapsed="false">
      <c r="P259" s="11"/>
    </row>
    <row r="260" customFormat="false" ht="15" hidden="false" customHeight="false" outlineLevel="0" collapsed="false">
      <c r="P260" s="11"/>
    </row>
    <row r="261" customFormat="false" ht="15" hidden="false" customHeight="false" outlineLevel="0" collapsed="false">
      <c r="P261" s="11"/>
    </row>
    <row r="262" customFormat="false" ht="15" hidden="false" customHeight="false" outlineLevel="0" collapsed="false">
      <c r="P262" s="11"/>
    </row>
    <row r="263" customFormat="false" ht="15" hidden="false" customHeight="false" outlineLevel="0" collapsed="false">
      <c r="P263" s="11"/>
    </row>
    <row r="264" customFormat="false" ht="15" hidden="false" customHeight="false" outlineLevel="0" collapsed="false">
      <c r="P264" s="11"/>
    </row>
    <row r="265" customFormat="false" ht="15" hidden="false" customHeight="false" outlineLevel="0" collapsed="false">
      <c r="P265" s="11"/>
    </row>
    <row r="266" customFormat="false" ht="15" hidden="false" customHeight="false" outlineLevel="0" collapsed="false">
      <c r="P266" s="11"/>
    </row>
    <row r="267" customFormat="false" ht="15" hidden="false" customHeight="false" outlineLevel="0" collapsed="false">
      <c r="P267" s="11"/>
    </row>
    <row r="268" customFormat="false" ht="15" hidden="false" customHeight="false" outlineLevel="0" collapsed="false">
      <c r="P268" s="11"/>
    </row>
    <row r="269" customFormat="false" ht="15" hidden="false" customHeight="false" outlineLevel="0" collapsed="false">
      <c r="P269" s="11"/>
    </row>
    <row r="270" customFormat="false" ht="15" hidden="false" customHeight="false" outlineLevel="0" collapsed="false">
      <c r="P270" s="11"/>
    </row>
    <row r="271" customFormat="false" ht="15" hidden="false" customHeight="false" outlineLevel="0" collapsed="false">
      <c r="P271" s="11"/>
    </row>
    <row r="272" customFormat="false" ht="15" hidden="false" customHeight="false" outlineLevel="0" collapsed="false">
      <c r="P272" s="11"/>
    </row>
    <row r="273" customFormat="false" ht="15" hidden="false" customHeight="false" outlineLevel="0" collapsed="false">
      <c r="P273" s="11"/>
    </row>
    <row r="274" customFormat="false" ht="15" hidden="false" customHeight="false" outlineLevel="0" collapsed="false">
      <c r="P274" s="11"/>
    </row>
    <row r="275" customFormat="false" ht="15" hidden="false" customHeight="false" outlineLevel="0" collapsed="false">
      <c r="P275" s="11"/>
    </row>
    <row r="276" customFormat="false" ht="15" hidden="false" customHeight="false" outlineLevel="0" collapsed="false">
      <c r="P276" s="11"/>
    </row>
    <row r="277" customFormat="false" ht="15" hidden="false" customHeight="false" outlineLevel="0" collapsed="false">
      <c r="P277" s="11"/>
    </row>
    <row r="278" customFormat="false" ht="15" hidden="false" customHeight="false" outlineLevel="0" collapsed="false">
      <c r="P278" s="11"/>
    </row>
    <row r="279" customFormat="false" ht="15" hidden="false" customHeight="false" outlineLevel="0" collapsed="false">
      <c r="P279" s="11"/>
    </row>
    <row r="280" customFormat="false" ht="15" hidden="false" customHeight="false" outlineLevel="0" collapsed="false">
      <c r="P280" s="11"/>
    </row>
    <row r="281" customFormat="false" ht="15" hidden="false" customHeight="false" outlineLevel="0" collapsed="false">
      <c r="P281" s="11"/>
    </row>
    <row r="282" customFormat="false" ht="15" hidden="false" customHeight="false" outlineLevel="0" collapsed="false">
      <c r="P282" s="11"/>
    </row>
    <row r="283" customFormat="false" ht="15" hidden="false" customHeight="false" outlineLevel="0" collapsed="false">
      <c r="P283" s="11"/>
    </row>
    <row r="284" customFormat="false" ht="15" hidden="false" customHeight="false" outlineLevel="0" collapsed="false">
      <c r="P284" s="11"/>
    </row>
    <row r="285" customFormat="false" ht="15" hidden="false" customHeight="false" outlineLevel="0" collapsed="false">
      <c r="P285" s="11"/>
    </row>
    <row r="286" customFormat="false" ht="15" hidden="false" customHeight="false" outlineLevel="0" collapsed="false">
      <c r="P286" s="11"/>
    </row>
    <row r="287" customFormat="false" ht="15" hidden="false" customHeight="false" outlineLevel="0" collapsed="false">
      <c r="P287" s="11"/>
    </row>
    <row r="288" customFormat="false" ht="15" hidden="false" customHeight="false" outlineLevel="0" collapsed="false">
      <c r="P288" s="11"/>
    </row>
    <row r="289" customFormat="false" ht="15" hidden="false" customHeight="false" outlineLevel="0" collapsed="false">
      <c r="P289" s="11"/>
    </row>
    <row r="290" customFormat="false" ht="15" hidden="false" customHeight="false" outlineLevel="0" collapsed="false">
      <c r="P290" s="11"/>
    </row>
    <row r="291" customFormat="false" ht="15" hidden="false" customHeight="false" outlineLevel="0" collapsed="false">
      <c r="P291" s="11"/>
    </row>
    <row r="292" customFormat="false" ht="15" hidden="false" customHeight="false" outlineLevel="0" collapsed="false">
      <c r="P292" s="11"/>
    </row>
    <row r="293" customFormat="false" ht="15" hidden="false" customHeight="false" outlineLevel="0" collapsed="false">
      <c r="P293" s="11"/>
    </row>
    <row r="294" customFormat="false" ht="15" hidden="false" customHeight="false" outlineLevel="0" collapsed="false">
      <c r="P294" s="11"/>
    </row>
    <row r="295" customFormat="false" ht="15" hidden="false" customHeight="false" outlineLevel="0" collapsed="false">
      <c r="P295" s="11"/>
    </row>
    <row r="296" customFormat="false" ht="15" hidden="false" customHeight="false" outlineLevel="0" collapsed="false">
      <c r="P296" s="11"/>
    </row>
    <row r="297" customFormat="false" ht="15" hidden="false" customHeight="false" outlineLevel="0" collapsed="false">
      <c r="P297" s="11"/>
    </row>
    <row r="298" customFormat="false" ht="15" hidden="false" customHeight="false" outlineLevel="0" collapsed="false">
      <c r="P298" s="11"/>
    </row>
    <row r="299" customFormat="false" ht="15" hidden="false" customHeight="false" outlineLevel="0" collapsed="false">
      <c r="P299" s="11"/>
    </row>
    <row r="300" customFormat="false" ht="15" hidden="false" customHeight="false" outlineLevel="0" collapsed="false">
      <c r="P300" s="11"/>
    </row>
    <row r="301" customFormat="false" ht="15" hidden="false" customHeight="false" outlineLevel="0" collapsed="false">
      <c r="P301" s="11"/>
    </row>
    <row r="302" customFormat="false" ht="15" hidden="false" customHeight="false" outlineLevel="0" collapsed="false">
      <c r="P302" s="11"/>
    </row>
    <row r="303" customFormat="false" ht="15" hidden="false" customHeight="false" outlineLevel="0" collapsed="false">
      <c r="P303" s="11"/>
    </row>
    <row r="304" customFormat="false" ht="15" hidden="false" customHeight="false" outlineLevel="0" collapsed="false">
      <c r="P304" s="11"/>
    </row>
    <row r="305" customFormat="false" ht="15" hidden="false" customHeight="false" outlineLevel="0" collapsed="false">
      <c r="P305" s="11"/>
    </row>
    <row r="306" customFormat="false" ht="15" hidden="false" customHeight="false" outlineLevel="0" collapsed="false">
      <c r="P306" s="11"/>
    </row>
    <row r="307" customFormat="false" ht="15" hidden="false" customHeight="false" outlineLevel="0" collapsed="false">
      <c r="P307" s="11"/>
    </row>
    <row r="308" customFormat="false" ht="15" hidden="false" customHeight="false" outlineLevel="0" collapsed="false">
      <c r="P308" s="11"/>
    </row>
    <row r="309" customFormat="false" ht="15" hidden="false" customHeight="false" outlineLevel="0" collapsed="false">
      <c r="P309" s="11"/>
    </row>
    <row r="310" customFormat="false" ht="15" hidden="false" customHeight="false" outlineLevel="0" collapsed="false">
      <c r="P310" s="11"/>
    </row>
    <row r="311" customFormat="false" ht="15" hidden="false" customHeight="false" outlineLevel="0" collapsed="false">
      <c r="P311" s="11"/>
    </row>
    <row r="312" customFormat="false" ht="15" hidden="false" customHeight="false" outlineLevel="0" collapsed="false">
      <c r="P312" s="11"/>
    </row>
    <row r="313" customFormat="false" ht="15" hidden="false" customHeight="false" outlineLevel="0" collapsed="false">
      <c r="P313" s="11"/>
    </row>
    <row r="314" customFormat="false" ht="15" hidden="false" customHeight="false" outlineLevel="0" collapsed="false">
      <c r="P314" s="11"/>
    </row>
    <row r="315" customFormat="false" ht="15" hidden="false" customHeight="false" outlineLevel="0" collapsed="false">
      <c r="P315" s="11"/>
    </row>
    <row r="316" customFormat="false" ht="15" hidden="false" customHeight="false" outlineLevel="0" collapsed="false">
      <c r="P316" s="11"/>
    </row>
    <row r="317" customFormat="false" ht="15" hidden="false" customHeight="false" outlineLevel="0" collapsed="false">
      <c r="P317" s="11"/>
    </row>
    <row r="318" customFormat="false" ht="15" hidden="false" customHeight="false" outlineLevel="0" collapsed="false">
      <c r="P318" s="11"/>
    </row>
    <row r="319" customFormat="false" ht="15" hidden="false" customHeight="false" outlineLevel="0" collapsed="false">
      <c r="P319" s="11"/>
    </row>
    <row r="320" customFormat="false" ht="15" hidden="false" customHeight="false" outlineLevel="0" collapsed="false">
      <c r="P320" s="11"/>
    </row>
    <row r="321" customFormat="false" ht="15" hidden="false" customHeight="false" outlineLevel="0" collapsed="false">
      <c r="P321" s="11"/>
    </row>
    <row r="322" customFormat="false" ht="15" hidden="false" customHeight="false" outlineLevel="0" collapsed="false">
      <c r="P322" s="11"/>
    </row>
    <row r="323" customFormat="false" ht="15" hidden="false" customHeight="false" outlineLevel="0" collapsed="false">
      <c r="P323" s="11"/>
    </row>
    <row r="324" customFormat="false" ht="15" hidden="false" customHeight="false" outlineLevel="0" collapsed="false">
      <c r="P324" s="11"/>
    </row>
    <row r="325" customFormat="false" ht="15" hidden="false" customHeight="false" outlineLevel="0" collapsed="false">
      <c r="P325" s="11"/>
    </row>
    <row r="326" customFormat="false" ht="15" hidden="false" customHeight="false" outlineLevel="0" collapsed="false">
      <c r="P326" s="11"/>
    </row>
    <row r="327" customFormat="false" ht="15" hidden="false" customHeight="false" outlineLevel="0" collapsed="false">
      <c r="P327" s="11"/>
    </row>
    <row r="328" customFormat="false" ht="15" hidden="false" customHeight="false" outlineLevel="0" collapsed="false">
      <c r="P328" s="11"/>
    </row>
    <row r="329" customFormat="false" ht="15" hidden="false" customHeight="false" outlineLevel="0" collapsed="false">
      <c r="P329" s="11"/>
    </row>
    <row r="330" customFormat="false" ht="15" hidden="false" customHeight="false" outlineLevel="0" collapsed="false">
      <c r="P330" s="11"/>
    </row>
    <row r="331" customFormat="false" ht="15" hidden="false" customHeight="false" outlineLevel="0" collapsed="false">
      <c r="P331" s="11"/>
    </row>
    <row r="332" customFormat="false" ht="15" hidden="false" customHeight="false" outlineLevel="0" collapsed="false">
      <c r="P332" s="11"/>
    </row>
    <row r="333" customFormat="false" ht="15" hidden="false" customHeight="false" outlineLevel="0" collapsed="false">
      <c r="P333" s="11"/>
    </row>
    <row r="334" customFormat="false" ht="15" hidden="false" customHeight="false" outlineLevel="0" collapsed="false">
      <c r="P334" s="11"/>
    </row>
    <row r="335" customFormat="false" ht="15" hidden="false" customHeight="false" outlineLevel="0" collapsed="false">
      <c r="P335" s="11"/>
    </row>
    <row r="336" customFormat="false" ht="15" hidden="false" customHeight="false" outlineLevel="0" collapsed="false">
      <c r="P336" s="11"/>
    </row>
    <row r="337" customFormat="false" ht="15" hidden="false" customHeight="false" outlineLevel="0" collapsed="false">
      <c r="P337" s="11"/>
    </row>
    <row r="338" customFormat="false" ht="15" hidden="false" customHeight="false" outlineLevel="0" collapsed="false">
      <c r="P338" s="11"/>
    </row>
    <row r="339" customFormat="false" ht="15" hidden="false" customHeight="false" outlineLevel="0" collapsed="false">
      <c r="P339" s="11"/>
    </row>
    <row r="340" customFormat="false" ht="15" hidden="false" customHeight="false" outlineLevel="0" collapsed="false">
      <c r="P340" s="11"/>
    </row>
    <row r="341" customFormat="false" ht="15" hidden="false" customHeight="false" outlineLevel="0" collapsed="false">
      <c r="P341" s="11"/>
    </row>
    <row r="342" customFormat="false" ht="15" hidden="false" customHeight="false" outlineLevel="0" collapsed="false">
      <c r="P342" s="11"/>
    </row>
    <row r="343" customFormat="false" ht="15" hidden="false" customHeight="false" outlineLevel="0" collapsed="false">
      <c r="P343" s="11"/>
    </row>
    <row r="344" customFormat="false" ht="15" hidden="false" customHeight="false" outlineLevel="0" collapsed="false">
      <c r="P344" s="11"/>
    </row>
    <row r="345" customFormat="false" ht="15" hidden="false" customHeight="false" outlineLevel="0" collapsed="false">
      <c r="P345" s="11"/>
    </row>
    <row r="346" customFormat="false" ht="15" hidden="false" customHeight="false" outlineLevel="0" collapsed="false">
      <c r="P346" s="11"/>
    </row>
    <row r="347" customFormat="false" ht="15" hidden="false" customHeight="false" outlineLevel="0" collapsed="false">
      <c r="P347" s="11"/>
    </row>
    <row r="348" customFormat="false" ht="15" hidden="false" customHeight="false" outlineLevel="0" collapsed="false">
      <c r="P348" s="11"/>
    </row>
    <row r="349" customFormat="false" ht="15" hidden="false" customHeight="false" outlineLevel="0" collapsed="false">
      <c r="P349" s="11"/>
    </row>
    <row r="350" customFormat="false" ht="15" hidden="false" customHeight="false" outlineLevel="0" collapsed="false">
      <c r="P350" s="11"/>
    </row>
    <row r="351" customFormat="false" ht="15" hidden="false" customHeight="false" outlineLevel="0" collapsed="false">
      <c r="P351" s="11"/>
    </row>
    <row r="352" customFormat="false" ht="15" hidden="false" customHeight="false" outlineLevel="0" collapsed="false">
      <c r="P352" s="11"/>
    </row>
    <row r="353" customFormat="false" ht="15" hidden="false" customHeight="false" outlineLevel="0" collapsed="false">
      <c r="P353" s="11"/>
    </row>
    <row r="354" customFormat="false" ht="15" hidden="false" customHeight="false" outlineLevel="0" collapsed="false">
      <c r="P354" s="11"/>
    </row>
    <row r="355" customFormat="false" ht="15" hidden="false" customHeight="false" outlineLevel="0" collapsed="false">
      <c r="P355" s="11"/>
    </row>
    <row r="356" customFormat="false" ht="15" hidden="false" customHeight="false" outlineLevel="0" collapsed="false">
      <c r="P356" s="11"/>
    </row>
    <row r="357" customFormat="false" ht="15" hidden="false" customHeight="false" outlineLevel="0" collapsed="false">
      <c r="P357" s="11"/>
    </row>
    <row r="358" customFormat="false" ht="15" hidden="false" customHeight="false" outlineLevel="0" collapsed="false">
      <c r="P358" s="11"/>
    </row>
    <row r="359" customFormat="false" ht="15" hidden="false" customHeight="false" outlineLevel="0" collapsed="false">
      <c r="P359" s="11"/>
    </row>
    <row r="360" customFormat="false" ht="15" hidden="false" customHeight="false" outlineLevel="0" collapsed="false">
      <c r="P360" s="11"/>
    </row>
    <row r="361" customFormat="false" ht="15" hidden="false" customHeight="false" outlineLevel="0" collapsed="false">
      <c r="P361" s="11"/>
    </row>
    <row r="362" customFormat="false" ht="15" hidden="false" customHeight="false" outlineLevel="0" collapsed="false">
      <c r="P362" s="11"/>
    </row>
    <row r="363" customFormat="false" ht="15" hidden="false" customHeight="false" outlineLevel="0" collapsed="false">
      <c r="P363" s="11"/>
    </row>
    <row r="364" customFormat="false" ht="15" hidden="false" customHeight="false" outlineLevel="0" collapsed="false">
      <c r="P364" s="11"/>
    </row>
    <row r="365" customFormat="false" ht="15" hidden="false" customHeight="false" outlineLevel="0" collapsed="false">
      <c r="P365" s="11"/>
    </row>
    <row r="366" customFormat="false" ht="15" hidden="false" customHeight="false" outlineLevel="0" collapsed="false">
      <c r="P366" s="11"/>
    </row>
    <row r="367" customFormat="false" ht="15" hidden="false" customHeight="false" outlineLevel="0" collapsed="false">
      <c r="P367" s="11"/>
    </row>
    <row r="368" customFormat="false" ht="15" hidden="false" customHeight="false" outlineLevel="0" collapsed="false">
      <c r="P368" s="11"/>
    </row>
    <row r="369" customFormat="false" ht="15" hidden="false" customHeight="false" outlineLevel="0" collapsed="false">
      <c r="P369" s="11"/>
    </row>
    <row r="370" customFormat="false" ht="15" hidden="false" customHeight="false" outlineLevel="0" collapsed="false">
      <c r="P370" s="11"/>
    </row>
    <row r="371" customFormat="false" ht="15" hidden="false" customHeight="false" outlineLevel="0" collapsed="false">
      <c r="P371" s="11"/>
    </row>
    <row r="372" customFormat="false" ht="15" hidden="false" customHeight="false" outlineLevel="0" collapsed="false">
      <c r="P372" s="11"/>
    </row>
    <row r="373" customFormat="false" ht="15" hidden="false" customHeight="false" outlineLevel="0" collapsed="false">
      <c r="P373" s="11"/>
    </row>
    <row r="374" customFormat="false" ht="15" hidden="false" customHeight="false" outlineLevel="0" collapsed="false">
      <c r="P374" s="11"/>
    </row>
    <row r="375" customFormat="false" ht="15" hidden="false" customHeight="false" outlineLevel="0" collapsed="false">
      <c r="P375" s="11"/>
    </row>
    <row r="376" customFormat="false" ht="15" hidden="false" customHeight="false" outlineLevel="0" collapsed="false">
      <c r="P376" s="11"/>
    </row>
    <row r="377" customFormat="false" ht="15" hidden="false" customHeight="false" outlineLevel="0" collapsed="false">
      <c r="P377" s="11"/>
    </row>
    <row r="378" customFormat="false" ht="15" hidden="false" customHeight="false" outlineLevel="0" collapsed="false">
      <c r="P378" s="11"/>
    </row>
    <row r="379" customFormat="false" ht="15" hidden="false" customHeight="false" outlineLevel="0" collapsed="false">
      <c r="P379" s="11"/>
    </row>
    <row r="380" customFormat="false" ht="15" hidden="false" customHeight="false" outlineLevel="0" collapsed="false">
      <c r="P380" s="11"/>
    </row>
    <row r="381" customFormat="false" ht="15" hidden="false" customHeight="false" outlineLevel="0" collapsed="false">
      <c r="P381" s="11"/>
    </row>
    <row r="382" customFormat="false" ht="15" hidden="false" customHeight="false" outlineLevel="0" collapsed="false">
      <c r="P382" s="11"/>
    </row>
    <row r="383" customFormat="false" ht="15" hidden="false" customHeight="false" outlineLevel="0" collapsed="false">
      <c r="P383" s="11"/>
    </row>
    <row r="384" customFormat="false" ht="15" hidden="false" customHeight="false" outlineLevel="0" collapsed="false">
      <c r="P384" s="11"/>
    </row>
    <row r="385" customFormat="false" ht="15" hidden="false" customHeight="false" outlineLevel="0" collapsed="false">
      <c r="P385" s="11"/>
    </row>
    <row r="386" customFormat="false" ht="15" hidden="false" customHeight="false" outlineLevel="0" collapsed="false">
      <c r="P386" s="11"/>
    </row>
    <row r="387" customFormat="false" ht="15" hidden="false" customHeight="false" outlineLevel="0" collapsed="false">
      <c r="P387" s="11"/>
    </row>
    <row r="388" customFormat="false" ht="15" hidden="false" customHeight="false" outlineLevel="0" collapsed="false">
      <c r="P388" s="11"/>
    </row>
    <row r="389" customFormat="false" ht="15" hidden="false" customHeight="false" outlineLevel="0" collapsed="false">
      <c r="P389" s="11"/>
    </row>
    <row r="390" customFormat="false" ht="15" hidden="false" customHeight="false" outlineLevel="0" collapsed="false">
      <c r="P390" s="11"/>
    </row>
    <row r="391" customFormat="false" ht="15" hidden="false" customHeight="false" outlineLevel="0" collapsed="false">
      <c r="P391" s="11"/>
    </row>
    <row r="392" customFormat="false" ht="15" hidden="false" customHeight="false" outlineLevel="0" collapsed="false">
      <c r="P392" s="11"/>
    </row>
    <row r="393" customFormat="false" ht="15" hidden="false" customHeight="false" outlineLevel="0" collapsed="false">
      <c r="P393" s="11"/>
    </row>
    <row r="394" customFormat="false" ht="15" hidden="false" customHeight="false" outlineLevel="0" collapsed="false">
      <c r="P394" s="11"/>
    </row>
    <row r="395" customFormat="false" ht="15" hidden="false" customHeight="false" outlineLevel="0" collapsed="false">
      <c r="P395" s="11"/>
    </row>
    <row r="396" customFormat="false" ht="15" hidden="false" customHeight="false" outlineLevel="0" collapsed="false">
      <c r="P396" s="11"/>
    </row>
    <row r="397" customFormat="false" ht="15" hidden="false" customHeight="false" outlineLevel="0" collapsed="false">
      <c r="P397" s="11"/>
    </row>
    <row r="398" customFormat="false" ht="15" hidden="false" customHeight="false" outlineLevel="0" collapsed="false">
      <c r="P398" s="11"/>
    </row>
    <row r="399" customFormat="false" ht="15" hidden="false" customHeight="false" outlineLevel="0" collapsed="false">
      <c r="P399" s="11"/>
    </row>
    <row r="400" customFormat="false" ht="15" hidden="false" customHeight="false" outlineLevel="0" collapsed="false">
      <c r="P400" s="11"/>
    </row>
    <row r="401" customFormat="false" ht="15" hidden="false" customHeight="false" outlineLevel="0" collapsed="false">
      <c r="P401" s="11"/>
    </row>
    <row r="402" customFormat="false" ht="15" hidden="false" customHeight="false" outlineLevel="0" collapsed="false">
      <c r="P402" s="11"/>
    </row>
    <row r="403" customFormat="false" ht="15" hidden="false" customHeight="false" outlineLevel="0" collapsed="false">
      <c r="P403" s="11"/>
    </row>
    <row r="404" customFormat="false" ht="15" hidden="false" customHeight="false" outlineLevel="0" collapsed="false">
      <c r="P404" s="11"/>
    </row>
    <row r="405" customFormat="false" ht="15" hidden="false" customHeight="false" outlineLevel="0" collapsed="false">
      <c r="P405" s="11"/>
    </row>
    <row r="406" customFormat="false" ht="15" hidden="false" customHeight="false" outlineLevel="0" collapsed="false">
      <c r="P406" s="11"/>
    </row>
    <row r="407" customFormat="false" ht="15" hidden="false" customHeight="false" outlineLevel="0" collapsed="false">
      <c r="P407" s="11"/>
    </row>
    <row r="408" customFormat="false" ht="15" hidden="false" customHeight="false" outlineLevel="0" collapsed="false">
      <c r="P408" s="11"/>
    </row>
    <row r="409" customFormat="false" ht="15" hidden="false" customHeight="false" outlineLevel="0" collapsed="false">
      <c r="P409" s="11"/>
    </row>
    <row r="410" customFormat="false" ht="15" hidden="false" customHeight="false" outlineLevel="0" collapsed="false">
      <c r="P410" s="11"/>
    </row>
    <row r="411" customFormat="false" ht="15" hidden="false" customHeight="false" outlineLevel="0" collapsed="false">
      <c r="P411" s="11"/>
    </row>
    <row r="412" customFormat="false" ht="15" hidden="false" customHeight="false" outlineLevel="0" collapsed="false">
      <c r="P412" s="11"/>
    </row>
    <row r="413" customFormat="false" ht="15" hidden="false" customHeight="false" outlineLevel="0" collapsed="false">
      <c r="P413" s="11"/>
    </row>
    <row r="414" customFormat="false" ht="15" hidden="false" customHeight="false" outlineLevel="0" collapsed="false">
      <c r="P414" s="11"/>
    </row>
    <row r="415" customFormat="false" ht="15" hidden="false" customHeight="false" outlineLevel="0" collapsed="false">
      <c r="P415" s="11"/>
    </row>
    <row r="416" customFormat="false" ht="15" hidden="false" customHeight="false" outlineLevel="0" collapsed="false">
      <c r="P416" s="11"/>
    </row>
    <row r="417" customFormat="false" ht="15" hidden="false" customHeight="false" outlineLevel="0" collapsed="false">
      <c r="P417" s="11"/>
    </row>
    <row r="418" customFormat="false" ht="15" hidden="false" customHeight="false" outlineLevel="0" collapsed="false">
      <c r="P418" s="11"/>
    </row>
    <row r="419" customFormat="false" ht="15" hidden="false" customHeight="false" outlineLevel="0" collapsed="false">
      <c r="P419" s="11"/>
    </row>
    <row r="420" customFormat="false" ht="15" hidden="false" customHeight="false" outlineLevel="0" collapsed="false">
      <c r="P420" s="11"/>
    </row>
    <row r="421" customFormat="false" ht="15" hidden="false" customHeight="false" outlineLevel="0" collapsed="false">
      <c r="P421" s="11"/>
    </row>
    <row r="422" customFormat="false" ht="15" hidden="false" customHeight="false" outlineLevel="0" collapsed="false">
      <c r="P422" s="11"/>
    </row>
    <row r="423" customFormat="false" ht="15" hidden="false" customHeight="false" outlineLevel="0" collapsed="false">
      <c r="P423" s="11"/>
    </row>
    <row r="424" customFormat="false" ht="15" hidden="false" customHeight="false" outlineLevel="0" collapsed="false">
      <c r="P424" s="11"/>
    </row>
    <row r="425" customFormat="false" ht="15" hidden="false" customHeight="false" outlineLevel="0" collapsed="false">
      <c r="P425" s="11"/>
    </row>
    <row r="426" customFormat="false" ht="15" hidden="false" customHeight="false" outlineLevel="0" collapsed="false">
      <c r="P426" s="11"/>
    </row>
    <row r="427" customFormat="false" ht="15" hidden="false" customHeight="false" outlineLevel="0" collapsed="false">
      <c r="P427" s="11"/>
    </row>
    <row r="428" customFormat="false" ht="15" hidden="false" customHeight="false" outlineLevel="0" collapsed="false">
      <c r="P428" s="11"/>
    </row>
    <row r="429" customFormat="false" ht="15" hidden="false" customHeight="false" outlineLevel="0" collapsed="false">
      <c r="P429" s="11"/>
    </row>
    <row r="430" customFormat="false" ht="15" hidden="false" customHeight="false" outlineLevel="0" collapsed="false">
      <c r="P430" s="11"/>
    </row>
    <row r="431" customFormat="false" ht="15" hidden="false" customHeight="false" outlineLevel="0" collapsed="false">
      <c r="P431" s="11"/>
    </row>
    <row r="432" customFormat="false" ht="15" hidden="false" customHeight="false" outlineLevel="0" collapsed="false">
      <c r="P432" s="11"/>
    </row>
    <row r="433" customFormat="false" ht="15" hidden="false" customHeight="false" outlineLevel="0" collapsed="false">
      <c r="P433" s="11"/>
    </row>
    <row r="434" customFormat="false" ht="15" hidden="false" customHeight="false" outlineLevel="0" collapsed="false">
      <c r="P434" s="11"/>
    </row>
    <row r="435" customFormat="false" ht="15" hidden="false" customHeight="false" outlineLevel="0" collapsed="false">
      <c r="P435" s="11"/>
    </row>
    <row r="436" customFormat="false" ht="15" hidden="false" customHeight="false" outlineLevel="0" collapsed="false">
      <c r="P436" s="11"/>
    </row>
    <row r="437" customFormat="false" ht="15" hidden="false" customHeight="false" outlineLevel="0" collapsed="false">
      <c r="P437" s="11"/>
    </row>
    <row r="438" customFormat="false" ht="15" hidden="false" customHeight="false" outlineLevel="0" collapsed="false">
      <c r="P438" s="11"/>
    </row>
    <row r="439" customFormat="false" ht="15" hidden="false" customHeight="false" outlineLevel="0" collapsed="false">
      <c r="P439" s="11"/>
    </row>
    <row r="440" customFormat="false" ht="15" hidden="false" customHeight="false" outlineLevel="0" collapsed="false">
      <c r="P440" s="11"/>
    </row>
    <row r="441" customFormat="false" ht="15" hidden="false" customHeight="false" outlineLevel="0" collapsed="false">
      <c r="P441" s="11"/>
    </row>
    <row r="442" customFormat="false" ht="15" hidden="false" customHeight="false" outlineLevel="0" collapsed="false">
      <c r="P442" s="11"/>
    </row>
    <row r="443" customFormat="false" ht="15" hidden="false" customHeight="false" outlineLevel="0" collapsed="false">
      <c r="P443" s="11"/>
    </row>
    <row r="444" customFormat="false" ht="15" hidden="false" customHeight="false" outlineLevel="0" collapsed="false">
      <c r="P444" s="11"/>
    </row>
    <row r="445" customFormat="false" ht="15" hidden="false" customHeight="false" outlineLevel="0" collapsed="false">
      <c r="P445" s="11"/>
    </row>
    <row r="446" customFormat="false" ht="15" hidden="false" customHeight="false" outlineLevel="0" collapsed="false">
      <c r="P446" s="11"/>
    </row>
    <row r="447" customFormat="false" ht="15" hidden="false" customHeight="false" outlineLevel="0" collapsed="false">
      <c r="P447" s="11"/>
    </row>
    <row r="448" customFormat="false" ht="15" hidden="false" customHeight="false" outlineLevel="0" collapsed="false">
      <c r="P448" s="11"/>
    </row>
    <row r="449" customFormat="false" ht="15" hidden="false" customHeight="false" outlineLevel="0" collapsed="false">
      <c r="P449" s="11"/>
    </row>
    <row r="450" customFormat="false" ht="15" hidden="false" customHeight="false" outlineLevel="0" collapsed="false">
      <c r="P450" s="11"/>
    </row>
    <row r="451" customFormat="false" ht="15" hidden="false" customHeight="false" outlineLevel="0" collapsed="false">
      <c r="P451" s="11"/>
    </row>
    <row r="452" customFormat="false" ht="15" hidden="false" customHeight="false" outlineLevel="0" collapsed="false">
      <c r="P452" s="11"/>
    </row>
    <row r="453" customFormat="false" ht="15" hidden="false" customHeight="false" outlineLevel="0" collapsed="false">
      <c r="P453" s="11"/>
    </row>
    <row r="454" customFormat="false" ht="15" hidden="false" customHeight="false" outlineLevel="0" collapsed="false">
      <c r="P454" s="11"/>
    </row>
    <row r="455" customFormat="false" ht="15" hidden="false" customHeight="false" outlineLevel="0" collapsed="false">
      <c r="P455" s="11"/>
    </row>
    <row r="456" customFormat="false" ht="15" hidden="false" customHeight="false" outlineLevel="0" collapsed="false">
      <c r="P456" s="11"/>
    </row>
    <row r="457" customFormat="false" ht="15" hidden="false" customHeight="false" outlineLevel="0" collapsed="false">
      <c r="P457" s="11"/>
    </row>
    <row r="458" customFormat="false" ht="15" hidden="false" customHeight="false" outlineLevel="0" collapsed="false">
      <c r="P458" s="11"/>
    </row>
    <row r="459" customFormat="false" ht="15" hidden="false" customHeight="false" outlineLevel="0" collapsed="false">
      <c r="P459" s="11"/>
    </row>
    <row r="460" customFormat="false" ht="15" hidden="false" customHeight="false" outlineLevel="0" collapsed="false">
      <c r="P460" s="11"/>
    </row>
    <row r="461" customFormat="false" ht="15" hidden="false" customHeight="false" outlineLevel="0" collapsed="false">
      <c r="P461" s="11"/>
    </row>
    <row r="462" customFormat="false" ht="15" hidden="false" customHeight="false" outlineLevel="0" collapsed="false">
      <c r="P462" s="11"/>
    </row>
    <row r="463" customFormat="false" ht="15" hidden="false" customHeight="false" outlineLevel="0" collapsed="false">
      <c r="P463" s="11"/>
    </row>
    <row r="464" customFormat="false" ht="15" hidden="false" customHeight="false" outlineLevel="0" collapsed="false">
      <c r="P464" s="11"/>
    </row>
    <row r="465" customFormat="false" ht="15" hidden="false" customHeight="false" outlineLevel="0" collapsed="false">
      <c r="P465" s="11"/>
    </row>
    <row r="466" customFormat="false" ht="15" hidden="false" customHeight="false" outlineLevel="0" collapsed="false">
      <c r="P466" s="11"/>
    </row>
    <row r="467" customFormat="false" ht="15" hidden="false" customHeight="false" outlineLevel="0" collapsed="false">
      <c r="P467" s="11"/>
    </row>
    <row r="468" customFormat="false" ht="15" hidden="false" customHeight="false" outlineLevel="0" collapsed="false">
      <c r="P468" s="11"/>
    </row>
    <row r="469" customFormat="false" ht="15" hidden="false" customHeight="false" outlineLevel="0" collapsed="false">
      <c r="P469" s="11"/>
    </row>
    <row r="470" customFormat="false" ht="15" hidden="false" customHeight="false" outlineLevel="0" collapsed="false">
      <c r="P470" s="11"/>
    </row>
    <row r="471" customFormat="false" ht="15" hidden="false" customHeight="false" outlineLevel="0" collapsed="false">
      <c r="P471" s="11"/>
    </row>
    <row r="472" customFormat="false" ht="15" hidden="false" customHeight="false" outlineLevel="0" collapsed="false">
      <c r="P472" s="11"/>
    </row>
    <row r="473" customFormat="false" ht="15" hidden="false" customHeight="false" outlineLevel="0" collapsed="false">
      <c r="P473" s="11"/>
    </row>
    <row r="474" customFormat="false" ht="15" hidden="false" customHeight="false" outlineLevel="0" collapsed="false">
      <c r="P474" s="11"/>
    </row>
    <row r="475" customFormat="false" ht="15" hidden="false" customHeight="false" outlineLevel="0" collapsed="false">
      <c r="P475" s="11"/>
    </row>
    <row r="476" customFormat="false" ht="15" hidden="false" customHeight="false" outlineLevel="0" collapsed="false">
      <c r="P476" s="11"/>
    </row>
    <row r="477" customFormat="false" ht="15" hidden="false" customHeight="false" outlineLevel="0" collapsed="false">
      <c r="P477" s="11"/>
    </row>
    <row r="478" customFormat="false" ht="15" hidden="false" customHeight="false" outlineLevel="0" collapsed="false">
      <c r="P478" s="11"/>
    </row>
    <row r="479" customFormat="false" ht="15" hidden="false" customHeight="false" outlineLevel="0" collapsed="false">
      <c r="P479" s="11"/>
    </row>
    <row r="480" customFormat="false" ht="15" hidden="false" customHeight="false" outlineLevel="0" collapsed="false">
      <c r="P480" s="11"/>
    </row>
    <row r="481" customFormat="false" ht="15" hidden="false" customHeight="false" outlineLevel="0" collapsed="false">
      <c r="P481" s="11"/>
    </row>
    <row r="482" customFormat="false" ht="15" hidden="false" customHeight="false" outlineLevel="0" collapsed="false">
      <c r="P482" s="11"/>
    </row>
    <row r="483" customFormat="false" ht="15" hidden="false" customHeight="false" outlineLevel="0" collapsed="false">
      <c r="P483" s="11"/>
    </row>
    <row r="484" customFormat="false" ht="15" hidden="false" customHeight="false" outlineLevel="0" collapsed="false">
      <c r="P484" s="11"/>
    </row>
    <row r="485" customFormat="false" ht="15" hidden="false" customHeight="false" outlineLevel="0" collapsed="false">
      <c r="P485" s="11"/>
    </row>
    <row r="486" customFormat="false" ht="15" hidden="false" customHeight="false" outlineLevel="0" collapsed="false">
      <c r="P486" s="11"/>
    </row>
    <row r="487" customFormat="false" ht="15" hidden="false" customHeight="false" outlineLevel="0" collapsed="false">
      <c r="P487" s="11"/>
    </row>
    <row r="488" customFormat="false" ht="15" hidden="false" customHeight="false" outlineLevel="0" collapsed="false">
      <c r="P488" s="11"/>
    </row>
    <row r="489" customFormat="false" ht="15" hidden="false" customHeight="false" outlineLevel="0" collapsed="false">
      <c r="P489" s="11"/>
    </row>
    <row r="490" customFormat="false" ht="15" hidden="false" customHeight="false" outlineLevel="0" collapsed="false">
      <c r="P490" s="11"/>
    </row>
    <row r="491" customFormat="false" ht="15" hidden="false" customHeight="false" outlineLevel="0" collapsed="false">
      <c r="P491" s="11"/>
    </row>
    <row r="492" customFormat="false" ht="15" hidden="false" customHeight="false" outlineLevel="0" collapsed="false">
      <c r="P492" s="11"/>
    </row>
    <row r="493" customFormat="false" ht="15" hidden="false" customHeight="false" outlineLevel="0" collapsed="false">
      <c r="P493" s="11"/>
    </row>
    <row r="494" customFormat="false" ht="15" hidden="false" customHeight="false" outlineLevel="0" collapsed="false">
      <c r="P494" s="11"/>
    </row>
    <row r="495" customFormat="false" ht="15" hidden="false" customHeight="false" outlineLevel="0" collapsed="false">
      <c r="P495" s="11"/>
    </row>
    <row r="496" customFormat="false" ht="15" hidden="false" customHeight="false" outlineLevel="0" collapsed="false">
      <c r="P496" s="11"/>
    </row>
    <row r="497" customFormat="false" ht="15" hidden="false" customHeight="false" outlineLevel="0" collapsed="false">
      <c r="P497" s="11"/>
    </row>
    <row r="498" customFormat="false" ht="15" hidden="false" customHeight="false" outlineLevel="0" collapsed="false">
      <c r="P498" s="11"/>
    </row>
    <row r="499" customFormat="false" ht="15" hidden="false" customHeight="false" outlineLevel="0" collapsed="false">
      <c r="P499" s="11"/>
    </row>
    <row r="500" customFormat="false" ht="15" hidden="false" customHeight="false" outlineLevel="0" collapsed="false">
      <c r="P500" s="11"/>
    </row>
    <row r="501" customFormat="false" ht="15" hidden="false" customHeight="false" outlineLevel="0" collapsed="false">
      <c r="P501" s="11"/>
    </row>
    <row r="502" customFormat="false" ht="15" hidden="false" customHeight="false" outlineLevel="0" collapsed="false">
      <c r="P502" s="11"/>
    </row>
    <row r="503" customFormat="false" ht="15" hidden="false" customHeight="false" outlineLevel="0" collapsed="false">
      <c r="P503" s="11"/>
    </row>
    <row r="504" customFormat="false" ht="15" hidden="false" customHeight="false" outlineLevel="0" collapsed="false">
      <c r="P504" s="11"/>
    </row>
    <row r="505" customFormat="false" ht="15" hidden="false" customHeight="false" outlineLevel="0" collapsed="false">
      <c r="P505" s="11"/>
    </row>
    <row r="506" customFormat="false" ht="15" hidden="false" customHeight="false" outlineLevel="0" collapsed="false">
      <c r="P506" s="11"/>
    </row>
    <row r="507" customFormat="false" ht="15" hidden="false" customHeight="false" outlineLevel="0" collapsed="false">
      <c r="P507" s="11"/>
    </row>
    <row r="508" customFormat="false" ht="15" hidden="false" customHeight="false" outlineLevel="0" collapsed="false">
      <c r="P508" s="11"/>
    </row>
    <row r="509" customFormat="false" ht="15" hidden="false" customHeight="false" outlineLevel="0" collapsed="false">
      <c r="P509" s="11"/>
    </row>
    <row r="510" customFormat="false" ht="15" hidden="false" customHeight="false" outlineLevel="0" collapsed="false">
      <c r="P510" s="11"/>
    </row>
    <row r="511" customFormat="false" ht="15" hidden="false" customHeight="false" outlineLevel="0" collapsed="false">
      <c r="P511" s="11"/>
    </row>
    <row r="512" customFormat="false" ht="15" hidden="false" customHeight="false" outlineLevel="0" collapsed="false">
      <c r="P512" s="11"/>
    </row>
    <row r="513" customFormat="false" ht="15" hidden="false" customHeight="false" outlineLevel="0" collapsed="false">
      <c r="P513" s="11"/>
    </row>
    <row r="514" customFormat="false" ht="15" hidden="false" customHeight="false" outlineLevel="0" collapsed="false">
      <c r="P514" s="11"/>
    </row>
    <row r="515" customFormat="false" ht="15" hidden="false" customHeight="false" outlineLevel="0" collapsed="false">
      <c r="P515" s="11"/>
    </row>
    <row r="516" customFormat="false" ht="15" hidden="false" customHeight="false" outlineLevel="0" collapsed="false">
      <c r="P516" s="11"/>
    </row>
    <row r="517" customFormat="false" ht="15" hidden="false" customHeight="false" outlineLevel="0" collapsed="false">
      <c r="P517" s="11"/>
    </row>
    <row r="518" customFormat="false" ht="15" hidden="false" customHeight="false" outlineLevel="0" collapsed="false">
      <c r="P518" s="11"/>
    </row>
    <row r="519" customFormat="false" ht="15" hidden="false" customHeight="false" outlineLevel="0" collapsed="false">
      <c r="P519" s="11"/>
    </row>
    <row r="520" customFormat="false" ht="15" hidden="false" customHeight="false" outlineLevel="0" collapsed="false">
      <c r="P520" s="11"/>
    </row>
    <row r="521" customFormat="false" ht="15" hidden="false" customHeight="false" outlineLevel="0" collapsed="false">
      <c r="P521" s="11"/>
    </row>
    <row r="522" customFormat="false" ht="15" hidden="false" customHeight="false" outlineLevel="0" collapsed="false">
      <c r="P522" s="11"/>
    </row>
    <row r="523" customFormat="false" ht="15" hidden="false" customHeight="false" outlineLevel="0" collapsed="false">
      <c r="P523" s="11"/>
    </row>
    <row r="524" customFormat="false" ht="15" hidden="false" customHeight="false" outlineLevel="0" collapsed="false">
      <c r="P524" s="11"/>
    </row>
    <row r="525" customFormat="false" ht="15" hidden="false" customHeight="false" outlineLevel="0" collapsed="false">
      <c r="P525" s="11"/>
    </row>
    <row r="526" customFormat="false" ht="15" hidden="false" customHeight="false" outlineLevel="0" collapsed="false">
      <c r="P526" s="11"/>
    </row>
    <row r="527" customFormat="false" ht="15" hidden="false" customHeight="false" outlineLevel="0" collapsed="false">
      <c r="P527" s="11"/>
    </row>
    <row r="528" customFormat="false" ht="15" hidden="false" customHeight="false" outlineLevel="0" collapsed="false">
      <c r="P528" s="11"/>
    </row>
    <row r="529" customFormat="false" ht="15" hidden="false" customHeight="false" outlineLevel="0" collapsed="false">
      <c r="P529" s="11"/>
    </row>
    <row r="530" customFormat="false" ht="15" hidden="false" customHeight="false" outlineLevel="0" collapsed="false">
      <c r="P530" s="11"/>
    </row>
    <row r="531" customFormat="false" ht="15" hidden="false" customHeight="false" outlineLevel="0" collapsed="false">
      <c r="P531" s="11"/>
    </row>
    <row r="532" customFormat="false" ht="15" hidden="false" customHeight="false" outlineLevel="0" collapsed="false">
      <c r="P532" s="11"/>
    </row>
    <row r="533" customFormat="false" ht="15" hidden="false" customHeight="false" outlineLevel="0" collapsed="false">
      <c r="P533" s="11"/>
    </row>
    <row r="534" customFormat="false" ht="15" hidden="false" customHeight="false" outlineLevel="0" collapsed="false">
      <c r="P534" s="11"/>
    </row>
    <row r="535" customFormat="false" ht="15" hidden="false" customHeight="false" outlineLevel="0" collapsed="false">
      <c r="P535" s="11"/>
    </row>
    <row r="536" customFormat="false" ht="15" hidden="false" customHeight="false" outlineLevel="0" collapsed="false">
      <c r="P536" s="11"/>
    </row>
    <row r="537" customFormat="false" ht="15" hidden="false" customHeight="false" outlineLevel="0" collapsed="false">
      <c r="P537" s="11"/>
    </row>
    <row r="538" customFormat="false" ht="15" hidden="false" customHeight="false" outlineLevel="0" collapsed="false">
      <c r="P538" s="11"/>
    </row>
    <row r="539" customFormat="false" ht="15" hidden="false" customHeight="false" outlineLevel="0" collapsed="false">
      <c r="P539" s="11"/>
    </row>
    <row r="540" customFormat="false" ht="15" hidden="false" customHeight="false" outlineLevel="0" collapsed="false">
      <c r="P540" s="11"/>
    </row>
    <row r="541" customFormat="false" ht="15" hidden="false" customHeight="false" outlineLevel="0" collapsed="false">
      <c r="P541" s="11"/>
    </row>
    <row r="542" customFormat="false" ht="15" hidden="false" customHeight="false" outlineLevel="0" collapsed="false">
      <c r="P542" s="11"/>
    </row>
    <row r="543" customFormat="false" ht="15" hidden="false" customHeight="false" outlineLevel="0" collapsed="false">
      <c r="P543" s="11"/>
    </row>
    <row r="544" customFormat="false" ht="15" hidden="false" customHeight="false" outlineLevel="0" collapsed="false">
      <c r="P544" s="11"/>
    </row>
    <row r="545" customFormat="false" ht="15" hidden="false" customHeight="false" outlineLevel="0" collapsed="false">
      <c r="P545" s="11"/>
    </row>
    <row r="546" customFormat="false" ht="15" hidden="false" customHeight="false" outlineLevel="0" collapsed="false">
      <c r="P546" s="11"/>
    </row>
    <row r="547" customFormat="false" ht="15" hidden="false" customHeight="false" outlineLevel="0" collapsed="false">
      <c r="P547" s="11"/>
    </row>
    <row r="548" customFormat="false" ht="15" hidden="false" customHeight="false" outlineLevel="0" collapsed="false">
      <c r="P548" s="11"/>
    </row>
    <row r="549" customFormat="false" ht="15" hidden="false" customHeight="false" outlineLevel="0" collapsed="false">
      <c r="P549" s="11"/>
    </row>
    <row r="550" customFormat="false" ht="15" hidden="false" customHeight="false" outlineLevel="0" collapsed="false">
      <c r="P550" s="11"/>
    </row>
    <row r="551" customFormat="false" ht="15" hidden="false" customHeight="false" outlineLevel="0" collapsed="false">
      <c r="P551" s="11"/>
    </row>
    <row r="552" customFormat="false" ht="15" hidden="false" customHeight="false" outlineLevel="0" collapsed="false">
      <c r="P552" s="11"/>
    </row>
    <row r="553" customFormat="false" ht="15" hidden="false" customHeight="false" outlineLevel="0" collapsed="false">
      <c r="P553" s="11"/>
    </row>
    <row r="554" customFormat="false" ht="15" hidden="false" customHeight="false" outlineLevel="0" collapsed="false">
      <c r="P554" s="11"/>
    </row>
    <row r="555" customFormat="false" ht="15" hidden="false" customHeight="false" outlineLevel="0" collapsed="false">
      <c r="P555" s="11"/>
    </row>
    <row r="556" customFormat="false" ht="15" hidden="false" customHeight="false" outlineLevel="0" collapsed="false">
      <c r="P556" s="11"/>
    </row>
    <row r="557" customFormat="false" ht="15" hidden="false" customHeight="false" outlineLevel="0" collapsed="false">
      <c r="P557" s="11"/>
    </row>
    <row r="558" customFormat="false" ht="15" hidden="false" customHeight="false" outlineLevel="0" collapsed="false">
      <c r="P558" s="11"/>
    </row>
    <row r="559" customFormat="false" ht="15" hidden="false" customHeight="false" outlineLevel="0" collapsed="false">
      <c r="P559" s="11"/>
    </row>
    <row r="560" customFormat="false" ht="15" hidden="false" customHeight="false" outlineLevel="0" collapsed="false">
      <c r="P560" s="11"/>
    </row>
    <row r="561" customFormat="false" ht="15" hidden="false" customHeight="false" outlineLevel="0" collapsed="false">
      <c r="P561" s="11"/>
    </row>
    <row r="562" customFormat="false" ht="15" hidden="false" customHeight="false" outlineLevel="0" collapsed="false">
      <c r="P562" s="11"/>
    </row>
    <row r="563" customFormat="false" ht="15" hidden="false" customHeight="false" outlineLevel="0" collapsed="false">
      <c r="P563" s="11"/>
    </row>
    <row r="564" customFormat="false" ht="15" hidden="false" customHeight="false" outlineLevel="0" collapsed="false">
      <c r="P564" s="11"/>
    </row>
    <row r="565" customFormat="false" ht="15" hidden="false" customHeight="false" outlineLevel="0" collapsed="false">
      <c r="P565" s="11"/>
    </row>
    <row r="566" customFormat="false" ht="15" hidden="false" customHeight="false" outlineLevel="0" collapsed="false">
      <c r="P566" s="11"/>
    </row>
    <row r="567" customFormat="false" ht="15" hidden="false" customHeight="false" outlineLevel="0" collapsed="false">
      <c r="P567" s="11"/>
    </row>
    <row r="568" customFormat="false" ht="15" hidden="false" customHeight="false" outlineLevel="0" collapsed="false">
      <c r="P568" s="11"/>
    </row>
    <row r="569" customFormat="false" ht="15" hidden="false" customHeight="false" outlineLevel="0" collapsed="false">
      <c r="P569" s="11"/>
    </row>
    <row r="570" customFormat="false" ht="15" hidden="false" customHeight="false" outlineLevel="0" collapsed="false">
      <c r="P570" s="11"/>
    </row>
    <row r="571" customFormat="false" ht="15" hidden="false" customHeight="false" outlineLevel="0" collapsed="false">
      <c r="P571" s="11"/>
    </row>
    <row r="572" customFormat="false" ht="15" hidden="false" customHeight="false" outlineLevel="0" collapsed="false">
      <c r="P572" s="11"/>
    </row>
    <row r="573" customFormat="false" ht="15" hidden="false" customHeight="false" outlineLevel="0" collapsed="false">
      <c r="P573" s="11"/>
    </row>
    <row r="574" customFormat="false" ht="15" hidden="false" customHeight="false" outlineLevel="0" collapsed="false">
      <c r="P574" s="11"/>
    </row>
    <row r="575" customFormat="false" ht="15" hidden="false" customHeight="false" outlineLevel="0" collapsed="false">
      <c r="P575" s="11"/>
    </row>
    <row r="576" customFormat="false" ht="15" hidden="false" customHeight="false" outlineLevel="0" collapsed="false">
      <c r="P576" s="11"/>
    </row>
    <row r="577" customFormat="false" ht="15" hidden="false" customHeight="false" outlineLevel="0" collapsed="false">
      <c r="P577" s="11"/>
    </row>
    <row r="578" customFormat="false" ht="15" hidden="false" customHeight="false" outlineLevel="0" collapsed="false">
      <c r="P578" s="11"/>
    </row>
    <row r="579" customFormat="false" ht="15" hidden="false" customHeight="false" outlineLevel="0" collapsed="false">
      <c r="P579" s="11"/>
    </row>
    <row r="580" customFormat="false" ht="15" hidden="false" customHeight="false" outlineLevel="0" collapsed="false">
      <c r="P580" s="11"/>
    </row>
    <row r="581" customFormat="false" ht="15" hidden="false" customHeight="false" outlineLevel="0" collapsed="false">
      <c r="P581" s="11"/>
    </row>
    <row r="582" customFormat="false" ht="15" hidden="false" customHeight="false" outlineLevel="0" collapsed="false">
      <c r="P582" s="11"/>
    </row>
    <row r="583" customFormat="false" ht="15" hidden="false" customHeight="false" outlineLevel="0" collapsed="false">
      <c r="P583" s="11"/>
    </row>
    <row r="584" customFormat="false" ht="15" hidden="false" customHeight="false" outlineLevel="0" collapsed="false">
      <c r="P584" s="11"/>
    </row>
    <row r="585" customFormat="false" ht="15" hidden="false" customHeight="false" outlineLevel="0" collapsed="false">
      <c r="P585" s="11"/>
    </row>
    <row r="586" customFormat="false" ht="15" hidden="false" customHeight="false" outlineLevel="0" collapsed="false">
      <c r="P586" s="11"/>
    </row>
    <row r="587" customFormat="false" ht="15" hidden="false" customHeight="false" outlineLevel="0" collapsed="false">
      <c r="P587" s="11"/>
    </row>
    <row r="588" customFormat="false" ht="15" hidden="false" customHeight="false" outlineLevel="0" collapsed="false">
      <c r="P588" s="11"/>
    </row>
    <row r="589" customFormat="false" ht="15" hidden="false" customHeight="false" outlineLevel="0" collapsed="false">
      <c r="P589" s="11"/>
    </row>
    <row r="590" customFormat="false" ht="15" hidden="false" customHeight="false" outlineLevel="0" collapsed="false">
      <c r="P590" s="11"/>
    </row>
    <row r="591" customFormat="false" ht="15" hidden="false" customHeight="false" outlineLevel="0" collapsed="false">
      <c r="P591" s="11"/>
    </row>
    <row r="592" customFormat="false" ht="15" hidden="false" customHeight="false" outlineLevel="0" collapsed="false">
      <c r="P592" s="11"/>
    </row>
    <row r="593" customFormat="false" ht="15" hidden="false" customHeight="false" outlineLevel="0" collapsed="false">
      <c r="P593" s="11"/>
    </row>
    <row r="594" customFormat="false" ht="15" hidden="false" customHeight="false" outlineLevel="0" collapsed="false">
      <c r="P594" s="11"/>
    </row>
    <row r="595" customFormat="false" ht="15" hidden="false" customHeight="false" outlineLevel="0" collapsed="false">
      <c r="P595" s="11"/>
    </row>
    <row r="596" customFormat="false" ht="15" hidden="false" customHeight="false" outlineLevel="0" collapsed="false">
      <c r="P596" s="11"/>
    </row>
    <row r="597" customFormat="false" ht="15" hidden="false" customHeight="false" outlineLevel="0" collapsed="false">
      <c r="P597" s="11"/>
    </row>
    <row r="598" customFormat="false" ht="15" hidden="false" customHeight="false" outlineLevel="0" collapsed="false">
      <c r="P598" s="11"/>
    </row>
    <row r="599" customFormat="false" ht="15" hidden="false" customHeight="false" outlineLevel="0" collapsed="false">
      <c r="P599" s="11"/>
    </row>
    <row r="600" customFormat="false" ht="15" hidden="false" customHeight="false" outlineLevel="0" collapsed="false">
      <c r="P600" s="11"/>
    </row>
    <row r="601" customFormat="false" ht="15" hidden="false" customHeight="false" outlineLevel="0" collapsed="false">
      <c r="P601" s="11"/>
    </row>
    <row r="602" customFormat="false" ht="15" hidden="false" customHeight="false" outlineLevel="0" collapsed="false">
      <c r="P602" s="11"/>
    </row>
    <row r="603" customFormat="false" ht="15" hidden="false" customHeight="false" outlineLevel="0" collapsed="false">
      <c r="P603" s="11"/>
    </row>
    <row r="604" customFormat="false" ht="15" hidden="false" customHeight="false" outlineLevel="0" collapsed="false">
      <c r="P604" s="11"/>
    </row>
    <row r="605" customFormat="false" ht="15" hidden="false" customHeight="false" outlineLevel="0" collapsed="false">
      <c r="P605" s="11"/>
    </row>
    <row r="606" customFormat="false" ht="15" hidden="false" customHeight="false" outlineLevel="0" collapsed="false">
      <c r="P606" s="11"/>
    </row>
    <row r="607" customFormat="false" ht="15" hidden="false" customHeight="false" outlineLevel="0" collapsed="false">
      <c r="P607" s="11"/>
    </row>
    <row r="608" customFormat="false" ht="15" hidden="false" customHeight="false" outlineLevel="0" collapsed="false">
      <c r="P608" s="11"/>
    </row>
    <row r="609" customFormat="false" ht="15" hidden="false" customHeight="false" outlineLevel="0" collapsed="false">
      <c r="P609" s="11"/>
    </row>
    <row r="610" customFormat="false" ht="15" hidden="false" customHeight="false" outlineLevel="0" collapsed="false">
      <c r="P610" s="11"/>
    </row>
    <row r="611" customFormat="false" ht="15" hidden="false" customHeight="false" outlineLevel="0" collapsed="false">
      <c r="P611" s="11"/>
    </row>
    <row r="612" customFormat="false" ht="15" hidden="false" customHeight="false" outlineLevel="0" collapsed="false">
      <c r="P612" s="11"/>
    </row>
    <row r="613" customFormat="false" ht="15" hidden="false" customHeight="false" outlineLevel="0" collapsed="false">
      <c r="P613" s="11"/>
    </row>
    <row r="614" customFormat="false" ht="15" hidden="false" customHeight="false" outlineLevel="0" collapsed="false">
      <c r="P614" s="11"/>
    </row>
    <row r="615" customFormat="false" ht="15" hidden="false" customHeight="false" outlineLevel="0" collapsed="false">
      <c r="P615" s="11"/>
    </row>
    <row r="616" customFormat="false" ht="15" hidden="false" customHeight="false" outlineLevel="0" collapsed="false">
      <c r="P616" s="11"/>
    </row>
    <row r="617" customFormat="false" ht="15" hidden="false" customHeight="false" outlineLevel="0" collapsed="false">
      <c r="P617" s="11"/>
    </row>
    <row r="618" customFormat="false" ht="15" hidden="false" customHeight="false" outlineLevel="0" collapsed="false">
      <c r="P618" s="11"/>
    </row>
    <row r="619" customFormat="false" ht="15" hidden="false" customHeight="false" outlineLevel="0" collapsed="false">
      <c r="P619" s="11"/>
    </row>
    <row r="620" customFormat="false" ht="15" hidden="false" customHeight="false" outlineLevel="0" collapsed="false">
      <c r="P620" s="11"/>
    </row>
    <row r="621" customFormat="false" ht="15" hidden="false" customHeight="false" outlineLevel="0" collapsed="false">
      <c r="P621" s="11"/>
    </row>
    <row r="622" customFormat="false" ht="15" hidden="false" customHeight="false" outlineLevel="0" collapsed="false">
      <c r="P622" s="11"/>
    </row>
    <row r="623" customFormat="false" ht="15" hidden="false" customHeight="false" outlineLevel="0" collapsed="false">
      <c r="P623" s="11"/>
    </row>
    <row r="624" customFormat="false" ht="15" hidden="false" customHeight="false" outlineLevel="0" collapsed="false">
      <c r="P624" s="11"/>
    </row>
    <row r="625" customFormat="false" ht="15" hidden="false" customHeight="false" outlineLevel="0" collapsed="false">
      <c r="P625" s="11"/>
    </row>
    <row r="626" customFormat="false" ht="15" hidden="false" customHeight="false" outlineLevel="0" collapsed="false">
      <c r="P626" s="11"/>
    </row>
    <row r="627" customFormat="false" ht="15" hidden="false" customHeight="false" outlineLevel="0" collapsed="false">
      <c r="P627" s="11"/>
    </row>
    <row r="628" customFormat="false" ht="15" hidden="false" customHeight="false" outlineLevel="0" collapsed="false">
      <c r="P628" s="11"/>
    </row>
    <row r="629" customFormat="false" ht="15" hidden="false" customHeight="false" outlineLevel="0" collapsed="false">
      <c r="P629" s="11"/>
    </row>
    <row r="630" customFormat="false" ht="15" hidden="false" customHeight="false" outlineLevel="0" collapsed="false">
      <c r="P630" s="11"/>
    </row>
    <row r="631" customFormat="false" ht="15" hidden="false" customHeight="false" outlineLevel="0" collapsed="false">
      <c r="P631" s="11"/>
    </row>
    <row r="632" customFormat="false" ht="15" hidden="false" customHeight="false" outlineLevel="0" collapsed="false">
      <c r="P632" s="11"/>
    </row>
    <row r="633" customFormat="false" ht="15" hidden="false" customHeight="false" outlineLevel="0" collapsed="false">
      <c r="P633" s="11"/>
    </row>
    <row r="634" customFormat="false" ht="15" hidden="false" customHeight="false" outlineLevel="0" collapsed="false">
      <c r="P634" s="11"/>
    </row>
    <row r="635" customFormat="false" ht="15" hidden="false" customHeight="false" outlineLevel="0" collapsed="false">
      <c r="P635" s="11"/>
    </row>
    <row r="636" customFormat="false" ht="15" hidden="false" customHeight="false" outlineLevel="0" collapsed="false">
      <c r="P636" s="11"/>
    </row>
    <row r="637" customFormat="false" ht="15" hidden="false" customHeight="false" outlineLevel="0" collapsed="false">
      <c r="P637" s="11"/>
    </row>
    <row r="638" customFormat="false" ht="15" hidden="false" customHeight="false" outlineLevel="0" collapsed="false">
      <c r="P638" s="11"/>
    </row>
    <row r="639" customFormat="false" ht="15" hidden="false" customHeight="false" outlineLevel="0" collapsed="false">
      <c r="P639" s="11"/>
    </row>
    <row r="640" customFormat="false" ht="15" hidden="false" customHeight="false" outlineLevel="0" collapsed="false">
      <c r="P640" s="11"/>
    </row>
    <row r="641" customFormat="false" ht="15" hidden="false" customHeight="false" outlineLevel="0" collapsed="false">
      <c r="P641" s="11"/>
    </row>
    <row r="642" customFormat="false" ht="15" hidden="false" customHeight="false" outlineLevel="0" collapsed="false">
      <c r="P642" s="11"/>
    </row>
    <row r="643" customFormat="false" ht="15" hidden="false" customHeight="false" outlineLevel="0" collapsed="false">
      <c r="P643" s="11"/>
    </row>
    <row r="644" customFormat="false" ht="15" hidden="false" customHeight="false" outlineLevel="0" collapsed="false">
      <c r="P644" s="11"/>
    </row>
    <row r="645" customFormat="false" ht="15" hidden="false" customHeight="false" outlineLevel="0" collapsed="false">
      <c r="P645" s="11"/>
    </row>
    <row r="646" customFormat="false" ht="15" hidden="false" customHeight="false" outlineLevel="0" collapsed="false">
      <c r="P646" s="11"/>
    </row>
    <row r="647" customFormat="false" ht="15" hidden="false" customHeight="false" outlineLevel="0" collapsed="false">
      <c r="P647" s="11"/>
    </row>
    <row r="648" customFormat="false" ht="15" hidden="false" customHeight="false" outlineLevel="0" collapsed="false">
      <c r="P648" s="11"/>
    </row>
    <row r="649" customFormat="false" ht="15" hidden="false" customHeight="false" outlineLevel="0" collapsed="false">
      <c r="P649" s="11"/>
    </row>
    <row r="650" customFormat="false" ht="15" hidden="false" customHeight="false" outlineLevel="0" collapsed="false">
      <c r="P650" s="11"/>
    </row>
    <row r="651" customFormat="false" ht="15" hidden="false" customHeight="false" outlineLevel="0" collapsed="false">
      <c r="P651" s="11"/>
    </row>
    <row r="652" customFormat="false" ht="15" hidden="false" customHeight="false" outlineLevel="0" collapsed="false">
      <c r="P652" s="11"/>
    </row>
    <row r="653" customFormat="false" ht="15" hidden="false" customHeight="false" outlineLevel="0" collapsed="false">
      <c r="P653" s="11"/>
    </row>
    <row r="654" customFormat="false" ht="15" hidden="false" customHeight="false" outlineLevel="0" collapsed="false">
      <c r="P654" s="11"/>
    </row>
    <row r="655" customFormat="false" ht="15" hidden="false" customHeight="false" outlineLevel="0" collapsed="false">
      <c r="P655" s="11"/>
    </row>
    <row r="656" customFormat="false" ht="15" hidden="false" customHeight="false" outlineLevel="0" collapsed="false">
      <c r="P656" s="11"/>
    </row>
    <row r="657" customFormat="false" ht="15" hidden="false" customHeight="false" outlineLevel="0" collapsed="false">
      <c r="P657" s="11"/>
    </row>
    <row r="658" customFormat="false" ht="15" hidden="false" customHeight="false" outlineLevel="0" collapsed="false">
      <c r="P658" s="11"/>
    </row>
    <row r="659" customFormat="false" ht="15" hidden="false" customHeight="false" outlineLevel="0" collapsed="false">
      <c r="P659" s="11"/>
    </row>
    <row r="660" customFormat="false" ht="15" hidden="false" customHeight="false" outlineLevel="0" collapsed="false">
      <c r="P660" s="11"/>
    </row>
    <row r="661" customFormat="false" ht="15" hidden="false" customHeight="false" outlineLevel="0" collapsed="false">
      <c r="P661" s="11"/>
    </row>
    <row r="662" customFormat="false" ht="15" hidden="false" customHeight="false" outlineLevel="0" collapsed="false">
      <c r="P662" s="11"/>
    </row>
    <row r="663" customFormat="false" ht="15" hidden="false" customHeight="false" outlineLevel="0" collapsed="false">
      <c r="P663" s="11"/>
    </row>
    <row r="664" customFormat="false" ht="15" hidden="false" customHeight="false" outlineLevel="0" collapsed="false">
      <c r="P664" s="11"/>
    </row>
    <row r="665" customFormat="false" ht="15" hidden="false" customHeight="false" outlineLevel="0" collapsed="false">
      <c r="P665" s="11"/>
    </row>
    <row r="666" customFormat="false" ht="15" hidden="false" customHeight="false" outlineLevel="0" collapsed="false">
      <c r="P666" s="11"/>
    </row>
    <row r="667" customFormat="false" ht="15" hidden="false" customHeight="false" outlineLevel="0" collapsed="false">
      <c r="P667" s="11"/>
    </row>
    <row r="668" customFormat="false" ht="15" hidden="false" customHeight="false" outlineLevel="0" collapsed="false">
      <c r="P668" s="11"/>
    </row>
    <row r="669" customFormat="false" ht="15" hidden="false" customHeight="false" outlineLevel="0" collapsed="false">
      <c r="P669" s="11"/>
    </row>
    <row r="670" customFormat="false" ht="15" hidden="false" customHeight="false" outlineLevel="0" collapsed="false">
      <c r="P670" s="11"/>
    </row>
    <row r="671" customFormat="false" ht="15" hidden="false" customHeight="false" outlineLevel="0" collapsed="false">
      <c r="P671" s="11"/>
    </row>
    <row r="672" customFormat="false" ht="15" hidden="false" customHeight="false" outlineLevel="0" collapsed="false">
      <c r="P672" s="11"/>
    </row>
    <row r="673" customFormat="false" ht="15" hidden="false" customHeight="false" outlineLevel="0" collapsed="false">
      <c r="P673" s="11"/>
    </row>
    <row r="674" customFormat="false" ht="15" hidden="false" customHeight="false" outlineLevel="0" collapsed="false">
      <c r="P674" s="11"/>
    </row>
    <row r="675" customFormat="false" ht="15" hidden="false" customHeight="false" outlineLevel="0" collapsed="false">
      <c r="P675" s="11"/>
    </row>
    <row r="676" customFormat="false" ht="15" hidden="false" customHeight="false" outlineLevel="0" collapsed="false">
      <c r="P676" s="11"/>
    </row>
    <row r="677" customFormat="false" ht="15" hidden="false" customHeight="false" outlineLevel="0" collapsed="false">
      <c r="P677" s="11"/>
    </row>
    <row r="678" customFormat="false" ht="15" hidden="false" customHeight="false" outlineLevel="0" collapsed="false">
      <c r="P678" s="11"/>
    </row>
    <row r="679" customFormat="false" ht="15" hidden="false" customHeight="false" outlineLevel="0" collapsed="false">
      <c r="P679" s="11"/>
    </row>
    <row r="680" customFormat="false" ht="15" hidden="false" customHeight="false" outlineLevel="0" collapsed="false">
      <c r="P680" s="11"/>
    </row>
    <row r="681" customFormat="false" ht="15" hidden="false" customHeight="false" outlineLevel="0" collapsed="false">
      <c r="P681" s="11"/>
    </row>
    <row r="682" customFormat="false" ht="15" hidden="false" customHeight="false" outlineLevel="0" collapsed="false">
      <c r="P682" s="11"/>
    </row>
    <row r="683" customFormat="false" ht="15" hidden="false" customHeight="false" outlineLevel="0" collapsed="false">
      <c r="P683" s="11"/>
    </row>
    <row r="684" customFormat="false" ht="15" hidden="false" customHeight="false" outlineLevel="0" collapsed="false">
      <c r="P684" s="11"/>
    </row>
    <row r="685" customFormat="false" ht="15" hidden="false" customHeight="false" outlineLevel="0" collapsed="false">
      <c r="P685" s="11"/>
    </row>
    <row r="686" customFormat="false" ht="15" hidden="false" customHeight="false" outlineLevel="0" collapsed="false">
      <c r="P686" s="11"/>
    </row>
    <row r="687" customFormat="false" ht="15" hidden="false" customHeight="false" outlineLevel="0" collapsed="false">
      <c r="P687" s="11"/>
    </row>
    <row r="688" customFormat="false" ht="15" hidden="false" customHeight="false" outlineLevel="0" collapsed="false">
      <c r="P688" s="11"/>
    </row>
    <row r="689" customFormat="false" ht="15" hidden="false" customHeight="false" outlineLevel="0" collapsed="false">
      <c r="P689" s="11"/>
    </row>
    <row r="690" customFormat="false" ht="15" hidden="false" customHeight="false" outlineLevel="0" collapsed="false">
      <c r="P690" s="11"/>
    </row>
    <row r="691" customFormat="false" ht="15" hidden="false" customHeight="false" outlineLevel="0" collapsed="false">
      <c r="P691" s="11"/>
    </row>
    <row r="692" customFormat="false" ht="15" hidden="false" customHeight="false" outlineLevel="0" collapsed="false">
      <c r="P692" s="11"/>
    </row>
    <row r="693" customFormat="false" ht="15" hidden="false" customHeight="false" outlineLevel="0" collapsed="false">
      <c r="P693" s="11"/>
    </row>
    <row r="694" customFormat="false" ht="15" hidden="false" customHeight="false" outlineLevel="0" collapsed="false">
      <c r="P694" s="11"/>
    </row>
    <row r="695" customFormat="false" ht="15" hidden="false" customHeight="false" outlineLevel="0" collapsed="false">
      <c r="P695" s="11"/>
    </row>
    <row r="696" customFormat="false" ht="15" hidden="false" customHeight="false" outlineLevel="0" collapsed="false">
      <c r="P696" s="11"/>
    </row>
    <row r="697" customFormat="false" ht="15" hidden="false" customHeight="false" outlineLevel="0" collapsed="false">
      <c r="P697" s="11"/>
    </row>
    <row r="698" customFormat="false" ht="15" hidden="false" customHeight="false" outlineLevel="0" collapsed="false">
      <c r="P698" s="11"/>
    </row>
    <row r="699" customFormat="false" ht="15" hidden="false" customHeight="false" outlineLevel="0" collapsed="false">
      <c r="P699" s="11"/>
    </row>
    <row r="700" customFormat="false" ht="15" hidden="false" customHeight="false" outlineLevel="0" collapsed="false">
      <c r="P700" s="11"/>
    </row>
    <row r="701" customFormat="false" ht="15" hidden="false" customHeight="false" outlineLevel="0" collapsed="false">
      <c r="P701" s="11"/>
    </row>
    <row r="702" customFormat="false" ht="15" hidden="false" customHeight="false" outlineLevel="0" collapsed="false">
      <c r="P702" s="11"/>
    </row>
    <row r="703" customFormat="false" ht="15" hidden="false" customHeight="false" outlineLevel="0" collapsed="false">
      <c r="P703" s="11"/>
    </row>
    <row r="704" customFormat="false" ht="15" hidden="false" customHeight="false" outlineLevel="0" collapsed="false">
      <c r="P704" s="11"/>
    </row>
    <row r="705" customFormat="false" ht="15" hidden="false" customHeight="false" outlineLevel="0" collapsed="false">
      <c r="P705" s="11"/>
    </row>
    <row r="706" customFormat="false" ht="15" hidden="false" customHeight="false" outlineLevel="0" collapsed="false">
      <c r="P706" s="11"/>
    </row>
    <row r="707" customFormat="false" ht="15" hidden="false" customHeight="false" outlineLevel="0" collapsed="false">
      <c r="P707" s="11"/>
    </row>
    <row r="708" customFormat="false" ht="15" hidden="false" customHeight="false" outlineLevel="0" collapsed="false">
      <c r="P708" s="11"/>
    </row>
    <row r="709" customFormat="false" ht="15" hidden="false" customHeight="false" outlineLevel="0" collapsed="false">
      <c r="P709" s="11"/>
    </row>
    <row r="710" customFormat="false" ht="15" hidden="false" customHeight="false" outlineLevel="0" collapsed="false">
      <c r="P710" s="11"/>
    </row>
    <row r="711" customFormat="false" ht="15" hidden="false" customHeight="false" outlineLevel="0" collapsed="false">
      <c r="P711" s="11"/>
    </row>
    <row r="712" customFormat="false" ht="15" hidden="false" customHeight="false" outlineLevel="0" collapsed="false">
      <c r="P712" s="11"/>
    </row>
    <row r="713" customFormat="false" ht="15" hidden="false" customHeight="false" outlineLevel="0" collapsed="false">
      <c r="P713" s="11"/>
    </row>
    <row r="714" customFormat="false" ht="15" hidden="false" customHeight="false" outlineLevel="0" collapsed="false">
      <c r="P714" s="11"/>
    </row>
    <row r="715" customFormat="false" ht="15" hidden="false" customHeight="false" outlineLevel="0" collapsed="false">
      <c r="P715" s="11"/>
    </row>
    <row r="716" customFormat="false" ht="15" hidden="false" customHeight="false" outlineLevel="0" collapsed="false">
      <c r="P716" s="11"/>
    </row>
    <row r="717" customFormat="false" ht="15" hidden="false" customHeight="false" outlineLevel="0" collapsed="false">
      <c r="P717" s="11"/>
    </row>
    <row r="718" customFormat="false" ht="15" hidden="false" customHeight="false" outlineLevel="0" collapsed="false">
      <c r="P718" s="11"/>
    </row>
    <row r="719" customFormat="false" ht="15" hidden="false" customHeight="false" outlineLevel="0" collapsed="false">
      <c r="P719" s="11"/>
    </row>
    <row r="720" customFormat="false" ht="15" hidden="false" customHeight="false" outlineLevel="0" collapsed="false">
      <c r="P720" s="11"/>
    </row>
    <row r="721" customFormat="false" ht="15" hidden="false" customHeight="false" outlineLevel="0" collapsed="false">
      <c r="P721" s="11"/>
    </row>
    <row r="722" customFormat="false" ht="15" hidden="false" customHeight="false" outlineLevel="0" collapsed="false">
      <c r="P722" s="11"/>
    </row>
    <row r="723" customFormat="false" ht="15" hidden="false" customHeight="false" outlineLevel="0" collapsed="false">
      <c r="P723" s="11"/>
    </row>
    <row r="724" customFormat="false" ht="15" hidden="false" customHeight="false" outlineLevel="0" collapsed="false">
      <c r="P724" s="11"/>
    </row>
    <row r="725" customFormat="false" ht="15" hidden="false" customHeight="false" outlineLevel="0" collapsed="false">
      <c r="P725" s="11"/>
    </row>
    <row r="726" customFormat="false" ht="15" hidden="false" customHeight="false" outlineLevel="0" collapsed="false">
      <c r="P726" s="11"/>
    </row>
    <row r="727" customFormat="false" ht="15" hidden="false" customHeight="false" outlineLevel="0" collapsed="false">
      <c r="P727" s="11"/>
    </row>
    <row r="728" customFormat="false" ht="15" hidden="false" customHeight="false" outlineLevel="0" collapsed="false">
      <c r="P728" s="11"/>
    </row>
    <row r="729" customFormat="false" ht="15" hidden="false" customHeight="false" outlineLevel="0" collapsed="false">
      <c r="P729" s="11"/>
    </row>
    <row r="730" customFormat="false" ht="15" hidden="false" customHeight="false" outlineLevel="0" collapsed="false">
      <c r="P730" s="11"/>
    </row>
    <row r="731" customFormat="false" ht="15" hidden="false" customHeight="false" outlineLevel="0" collapsed="false">
      <c r="P731" s="11"/>
    </row>
    <row r="732" customFormat="false" ht="15" hidden="false" customHeight="false" outlineLevel="0" collapsed="false">
      <c r="P732" s="11"/>
    </row>
    <row r="733" customFormat="false" ht="15" hidden="false" customHeight="false" outlineLevel="0" collapsed="false">
      <c r="P733" s="11"/>
    </row>
    <row r="734" customFormat="false" ht="15" hidden="false" customHeight="false" outlineLevel="0" collapsed="false">
      <c r="P734" s="11"/>
    </row>
    <row r="735" customFormat="false" ht="15" hidden="false" customHeight="false" outlineLevel="0" collapsed="false">
      <c r="P735" s="11"/>
    </row>
    <row r="736" customFormat="false" ht="15" hidden="false" customHeight="false" outlineLevel="0" collapsed="false">
      <c r="P736" s="11"/>
    </row>
    <row r="737" customFormat="false" ht="15" hidden="false" customHeight="false" outlineLevel="0" collapsed="false">
      <c r="P737" s="11"/>
    </row>
    <row r="738" customFormat="false" ht="15" hidden="false" customHeight="false" outlineLevel="0" collapsed="false">
      <c r="P738" s="11"/>
    </row>
    <row r="739" customFormat="false" ht="15" hidden="false" customHeight="false" outlineLevel="0" collapsed="false">
      <c r="P739" s="11"/>
    </row>
    <row r="740" customFormat="false" ht="15" hidden="false" customHeight="false" outlineLevel="0" collapsed="false">
      <c r="P740" s="11"/>
    </row>
    <row r="741" customFormat="false" ht="15" hidden="false" customHeight="false" outlineLevel="0" collapsed="false">
      <c r="P741" s="11"/>
    </row>
    <row r="742" customFormat="false" ht="15" hidden="false" customHeight="false" outlineLevel="0" collapsed="false">
      <c r="P742" s="11"/>
    </row>
    <row r="743" customFormat="false" ht="15" hidden="false" customHeight="false" outlineLevel="0" collapsed="false">
      <c r="P743" s="11"/>
    </row>
    <row r="744" customFormat="false" ht="15" hidden="false" customHeight="false" outlineLevel="0" collapsed="false">
      <c r="P744" s="11"/>
    </row>
    <row r="745" customFormat="false" ht="15" hidden="false" customHeight="false" outlineLevel="0" collapsed="false">
      <c r="P745" s="11"/>
    </row>
    <row r="746" customFormat="false" ht="15" hidden="false" customHeight="false" outlineLevel="0" collapsed="false">
      <c r="P746" s="11"/>
    </row>
    <row r="747" customFormat="false" ht="15" hidden="false" customHeight="false" outlineLevel="0" collapsed="false">
      <c r="P747" s="11"/>
    </row>
    <row r="748" customFormat="false" ht="15" hidden="false" customHeight="false" outlineLevel="0" collapsed="false">
      <c r="P748" s="11"/>
    </row>
    <row r="749" customFormat="false" ht="15" hidden="false" customHeight="false" outlineLevel="0" collapsed="false">
      <c r="P749" s="11"/>
    </row>
    <row r="750" customFormat="false" ht="15" hidden="false" customHeight="false" outlineLevel="0" collapsed="false">
      <c r="P750" s="11"/>
    </row>
    <row r="751" customFormat="false" ht="15" hidden="false" customHeight="false" outlineLevel="0" collapsed="false">
      <c r="P751" s="11"/>
    </row>
    <row r="752" customFormat="false" ht="15" hidden="false" customHeight="false" outlineLevel="0" collapsed="false">
      <c r="P752" s="11"/>
    </row>
    <row r="753" customFormat="false" ht="15" hidden="false" customHeight="false" outlineLevel="0" collapsed="false">
      <c r="P753" s="11"/>
    </row>
    <row r="754" customFormat="false" ht="15" hidden="false" customHeight="false" outlineLevel="0" collapsed="false">
      <c r="P754" s="11"/>
    </row>
    <row r="755" customFormat="false" ht="15" hidden="false" customHeight="false" outlineLevel="0" collapsed="false">
      <c r="P755" s="11"/>
    </row>
    <row r="756" customFormat="false" ht="15" hidden="false" customHeight="false" outlineLevel="0" collapsed="false">
      <c r="P756" s="11"/>
    </row>
    <row r="757" customFormat="false" ht="15" hidden="false" customHeight="false" outlineLevel="0" collapsed="false">
      <c r="P757" s="11"/>
    </row>
    <row r="758" customFormat="false" ht="15" hidden="false" customHeight="false" outlineLevel="0" collapsed="false">
      <c r="P758" s="11"/>
    </row>
    <row r="759" customFormat="false" ht="15" hidden="false" customHeight="false" outlineLevel="0" collapsed="false">
      <c r="P759" s="11"/>
    </row>
    <row r="760" customFormat="false" ht="15" hidden="false" customHeight="false" outlineLevel="0" collapsed="false">
      <c r="P760" s="11"/>
    </row>
    <row r="761" customFormat="false" ht="15" hidden="false" customHeight="false" outlineLevel="0" collapsed="false">
      <c r="P761" s="11"/>
    </row>
    <row r="762" customFormat="false" ht="15" hidden="false" customHeight="false" outlineLevel="0" collapsed="false">
      <c r="P762" s="11"/>
    </row>
    <row r="763" customFormat="false" ht="15" hidden="false" customHeight="false" outlineLevel="0" collapsed="false">
      <c r="P763" s="11"/>
    </row>
    <row r="764" customFormat="false" ht="15" hidden="false" customHeight="false" outlineLevel="0" collapsed="false">
      <c r="P764" s="11"/>
    </row>
    <row r="765" customFormat="false" ht="15" hidden="false" customHeight="false" outlineLevel="0" collapsed="false">
      <c r="P765" s="11"/>
    </row>
    <row r="766" customFormat="false" ht="15" hidden="false" customHeight="false" outlineLevel="0" collapsed="false">
      <c r="P766" s="11"/>
    </row>
    <row r="767" customFormat="false" ht="15" hidden="false" customHeight="false" outlineLevel="0" collapsed="false">
      <c r="P767" s="11"/>
    </row>
    <row r="768" customFormat="false" ht="15" hidden="false" customHeight="false" outlineLevel="0" collapsed="false">
      <c r="P768" s="11"/>
    </row>
    <row r="769" customFormat="false" ht="15" hidden="false" customHeight="false" outlineLevel="0" collapsed="false">
      <c r="P769" s="11"/>
    </row>
    <row r="770" customFormat="false" ht="15" hidden="false" customHeight="false" outlineLevel="0" collapsed="false">
      <c r="P770" s="11"/>
    </row>
    <row r="771" customFormat="false" ht="15" hidden="false" customHeight="false" outlineLevel="0" collapsed="false">
      <c r="P771" s="11"/>
    </row>
    <row r="772" customFormat="false" ht="15" hidden="false" customHeight="false" outlineLevel="0" collapsed="false">
      <c r="P772" s="11"/>
    </row>
    <row r="773" customFormat="false" ht="15" hidden="false" customHeight="false" outlineLevel="0" collapsed="false">
      <c r="P773" s="11"/>
    </row>
    <row r="774" customFormat="false" ht="15" hidden="false" customHeight="false" outlineLevel="0" collapsed="false">
      <c r="P774" s="11"/>
    </row>
    <row r="775" customFormat="false" ht="15" hidden="false" customHeight="false" outlineLevel="0" collapsed="false">
      <c r="P775" s="11"/>
    </row>
    <row r="776" customFormat="false" ht="15" hidden="false" customHeight="false" outlineLevel="0" collapsed="false">
      <c r="P776" s="11"/>
    </row>
    <row r="777" customFormat="false" ht="15" hidden="false" customHeight="false" outlineLevel="0" collapsed="false">
      <c r="P777" s="11"/>
    </row>
    <row r="778" customFormat="false" ht="15" hidden="false" customHeight="false" outlineLevel="0" collapsed="false">
      <c r="P778" s="11"/>
    </row>
    <row r="779" customFormat="false" ht="15" hidden="false" customHeight="false" outlineLevel="0" collapsed="false">
      <c r="P779" s="11"/>
    </row>
    <row r="780" customFormat="false" ht="15" hidden="false" customHeight="false" outlineLevel="0" collapsed="false">
      <c r="P780" s="11"/>
    </row>
    <row r="781" customFormat="false" ht="15" hidden="false" customHeight="false" outlineLevel="0" collapsed="false">
      <c r="P781" s="11"/>
    </row>
    <row r="782" customFormat="false" ht="15" hidden="false" customHeight="false" outlineLevel="0" collapsed="false">
      <c r="P782" s="11"/>
    </row>
    <row r="783" customFormat="false" ht="15" hidden="false" customHeight="false" outlineLevel="0" collapsed="false">
      <c r="P783" s="11"/>
    </row>
    <row r="784" customFormat="false" ht="15" hidden="false" customHeight="false" outlineLevel="0" collapsed="false">
      <c r="P784" s="11"/>
    </row>
    <row r="785" customFormat="false" ht="15" hidden="false" customHeight="false" outlineLevel="0" collapsed="false">
      <c r="P785" s="11"/>
    </row>
    <row r="786" customFormat="false" ht="15" hidden="false" customHeight="false" outlineLevel="0" collapsed="false">
      <c r="P786" s="11"/>
    </row>
    <row r="787" customFormat="false" ht="15" hidden="false" customHeight="false" outlineLevel="0" collapsed="false">
      <c r="P787" s="11"/>
    </row>
    <row r="788" customFormat="false" ht="15" hidden="false" customHeight="false" outlineLevel="0" collapsed="false">
      <c r="P788" s="11"/>
    </row>
    <row r="789" customFormat="false" ht="15" hidden="false" customHeight="false" outlineLevel="0" collapsed="false">
      <c r="P789" s="11"/>
    </row>
    <row r="790" customFormat="false" ht="15" hidden="false" customHeight="false" outlineLevel="0" collapsed="false">
      <c r="P790" s="11"/>
    </row>
    <row r="791" customFormat="false" ht="15" hidden="false" customHeight="false" outlineLevel="0" collapsed="false">
      <c r="P791" s="11"/>
    </row>
    <row r="792" customFormat="false" ht="15" hidden="false" customHeight="false" outlineLevel="0" collapsed="false">
      <c r="P792" s="11"/>
    </row>
    <row r="793" customFormat="false" ht="15" hidden="false" customHeight="false" outlineLevel="0" collapsed="false">
      <c r="P793" s="11"/>
    </row>
    <row r="794" customFormat="false" ht="15" hidden="false" customHeight="false" outlineLevel="0" collapsed="false">
      <c r="P794" s="11"/>
    </row>
    <row r="795" customFormat="false" ht="15" hidden="false" customHeight="false" outlineLevel="0" collapsed="false">
      <c r="P795" s="11"/>
    </row>
    <row r="796" customFormat="false" ht="15" hidden="false" customHeight="false" outlineLevel="0" collapsed="false">
      <c r="P796" s="11"/>
    </row>
    <row r="797" customFormat="false" ht="15" hidden="false" customHeight="false" outlineLevel="0" collapsed="false">
      <c r="P797" s="11"/>
    </row>
    <row r="798" customFormat="false" ht="15" hidden="false" customHeight="false" outlineLevel="0" collapsed="false">
      <c r="P798" s="11"/>
    </row>
    <row r="799" customFormat="false" ht="15" hidden="false" customHeight="false" outlineLevel="0" collapsed="false">
      <c r="P799" s="11"/>
    </row>
    <row r="800" customFormat="false" ht="15" hidden="false" customHeight="false" outlineLevel="0" collapsed="false">
      <c r="P800" s="11"/>
    </row>
    <row r="801" customFormat="false" ht="15" hidden="false" customHeight="false" outlineLevel="0" collapsed="false">
      <c r="P801" s="11"/>
    </row>
    <row r="802" customFormat="false" ht="15" hidden="false" customHeight="false" outlineLevel="0" collapsed="false">
      <c r="P802" s="11"/>
    </row>
    <row r="803" customFormat="false" ht="15" hidden="false" customHeight="false" outlineLevel="0" collapsed="false">
      <c r="P803" s="11"/>
    </row>
    <row r="804" customFormat="false" ht="15" hidden="false" customHeight="false" outlineLevel="0" collapsed="false">
      <c r="P804" s="11"/>
    </row>
    <row r="805" customFormat="false" ht="15" hidden="false" customHeight="false" outlineLevel="0" collapsed="false">
      <c r="P805" s="11"/>
    </row>
    <row r="806" customFormat="false" ht="15" hidden="false" customHeight="false" outlineLevel="0" collapsed="false">
      <c r="P806" s="11"/>
    </row>
    <row r="807" customFormat="false" ht="15" hidden="false" customHeight="false" outlineLevel="0" collapsed="false">
      <c r="P807" s="11"/>
    </row>
    <row r="808" customFormat="false" ht="15" hidden="false" customHeight="false" outlineLevel="0" collapsed="false">
      <c r="P808" s="11"/>
    </row>
    <row r="809" customFormat="false" ht="15" hidden="false" customHeight="false" outlineLevel="0" collapsed="false">
      <c r="P809" s="11"/>
    </row>
    <row r="810" customFormat="false" ht="15" hidden="false" customHeight="false" outlineLevel="0" collapsed="false">
      <c r="P810" s="11"/>
    </row>
    <row r="811" customFormat="false" ht="15" hidden="false" customHeight="false" outlineLevel="0" collapsed="false">
      <c r="P811" s="11"/>
    </row>
    <row r="812" customFormat="false" ht="15" hidden="false" customHeight="false" outlineLevel="0" collapsed="false">
      <c r="P812" s="11"/>
    </row>
    <row r="813" customFormat="false" ht="15" hidden="false" customHeight="false" outlineLevel="0" collapsed="false">
      <c r="P813" s="11"/>
    </row>
    <row r="814" customFormat="false" ht="15" hidden="false" customHeight="false" outlineLevel="0" collapsed="false">
      <c r="P814" s="11"/>
    </row>
    <row r="815" customFormat="false" ht="15" hidden="false" customHeight="false" outlineLevel="0" collapsed="false">
      <c r="P815" s="11"/>
    </row>
    <row r="816" customFormat="false" ht="15" hidden="false" customHeight="false" outlineLevel="0" collapsed="false">
      <c r="P816" s="11"/>
    </row>
    <row r="817" customFormat="false" ht="15" hidden="false" customHeight="false" outlineLevel="0" collapsed="false">
      <c r="P817" s="11"/>
    </row>
    <row r="818" customFormat="false" ht="15" hidden="false" customHeight="false" outlineLevel="0" collapsed="false">
      <c r="P818" s="11"/>
    </row>
    <row r="819" customFormat="false" ht="15" hidden="false" customHeight="false" outlineLevel="0" collapsed="false">
      <c r="P819" s="11"/>
    </row>
    <row r="820" customFormat="false" ht="15" hidden="false" customHeight="false" outlineLevel="0" collapsed="false">
      <c r="P820" s="11"/>
    </row>
    <row r="821" customFormat="false" ht="15" hidden="false" customHeight="false" outlineLevel="0" collapsed="false">
      <c r="P821" s="11"/>
    </row>
    <row r="822" customFormat="false" ht="15" hidden="false" customHeight="false" outlineLevel="0" collapsed="false">
      <c r="P822" s="11"/>
    </row>
    <row r="823" customFormat="false" ht="15" hidden="false" customHeight="false" outlineLevel="0" collapsed="false">
      <c r="P823" s="11"/>
    </row>
    <row r="824" customFormat="false" ht="15" hidden="false" customHeight="false" outlineLevel="0" collapsed="false">
      <c r="P824" s="11"/>
    </row>
    <row r="825" customFormat="false" ht="15" hidden="false" customHeight="false" outlineLevel="0" collapsed="false">
      <c r="P825" s="11"/>
    </row>
    <row r="826" customFormat="false" ht="15" hidden="false" customHeight="false" outlineLevel="0" collapsed="false">
      <c r="P826" s="11"/>
    </row>
    <row r="827" customFormat="false" ht="15" hidden="false" customHeight="false" outlineLevel="0" collapsed="false">
      <c r="P827" s="11"/>
    </row>
    <row r="828" customFormat="false" ht="15" hidden="false" customHeight="false" outlineLevel="0" collapsed="false">
      <c r="P828" s="11"/>
    </row>
    <row r="829" customFormat="false" ht="15" hidden="false" customHeight="false" outlineLevel="0" collapsed="false">
      <c r="P829" s="11"/>
    </row>
    <row r="830" customFormat="false" ht="15" hidden="false" customHeight="false" outlineLevel="0" collapsed="false">
      <c r="P830" s="11"/>
    </row>
    <row r="831" customFormat="false" ht="15" hidden="false" customHeight="false" outlineLevel="0" collapsed="false">
      <c r="P831" s="11"/>
    </row>
    <row r="832" customFormat="false" ht="15" hidden="false" customHeight="false" outlineLevel="0" collapsed="false">
      <c r="P832" s="11"/>
    </row>
    <row r="833" customFormat="false" ht="15" hidden="false" customHeight="false" outlineLevel="0" collapsed="false">
      <c r="P833" s="11"/>
    </row>
    <row r="834" customFormat="false" ht="15" hidden="false" customHeight="false" outlineLevel="0" collapsed="false">
      <c r="P834" s="11"/>
    </row>
    <row r="835" customFormat="false" ht="15" hidden="false" customHeight="false" outlineLevel="0" collapsed="false">
      <c r="P835" s="11"/>
    </row>
    <row r="836" customFormat="false" ht="15" hidden="false" customHeight="false" outlineLevel="0" collapsed="false">
      <c r="P836" s="11"/>
    </row>
    <row r="837" customFormat="false" ht="15" hidden="false" customHeight="false" outlineLevel="0" collapsed="false">
      <c r="P837" s="11"/>
    </row>
    <row r="838" customFormat="false" ht="15" hidden="false" customHeight="false" outlineLevel="0" collapsed="false">
      <c r="P838" s="11"/>
    </row>
    <row r="839" customFormat="false" ht="15" hidden="false" customHeight="false" outlineLevel="0" collapsed="false">
      <c r="P839" s="11"/>
    </row>
    <row r="840" customFormat="false" ht="15" hidden="false" customHeight="false" outlineLevel="0" collapsed="false">
      <c r="P840" s="11"/>
    </row>
    <row r="841" customFormat="false" ht="15" hidden="false" customHeight="false" outlineLevel="0" collapsed="false">
      <c r="P841" s="11"/>
    </row>
    <row r="842" customFormat="false" ht="15" hidden="false" customHeight="false" outlineLevel="0" collapsed="false">
      <c r="P842" s="11"/>
    </row>
    <row r="843" customFormat="false" ht="15" hidden="false" customHeight="false" outlineLevel="0" collapsed="false">
      <c r="P843" s="11"/>
    </row>
    <row r="844" customFormat="false" ht="15" hidden="false" customHeight="false" outlineLevel="0" collapsed="false">
      <c r="P844" s="11"/>
    </row>
    <row r="845" customFormat="false" ht="15" hidden="false" customHeight="false" outlineLevel="0" collapsed="false">
      <c r="P845" s="11"/>
    </row>
    <row r="846" customFormat="false" ht="15" hidden="false" customHeight="false" outlineLevel="0" collapsed="false">
      <c r="P846" s="11"/>
    </row>
    <row r="847" customFormat="false" ht="15" hidden="false" customHeight="false" outlineLevel="0" collapsed="false">
      <c r="P847" s="11"/>
    </row>
    <row r="848" customFormat="false" ht="15" hidden="false" customHeight="false" outlineLevel="0" collapsed="false">
      <c r="P848" s="11"/>
    </row>
    <row r="849" customFormat="false" ht="15" hidden="false" customHeight="false" outlineLevel="0" collapsed="false">
      <c r="P849" s="11"/>
    </row>
    <row r="850" customFormat="false" ht="15" hidden="false" customHeight="false" outlineLevel="0" collapsed="false">
      <c r="P850" s="11"/>
    </row>
    <row r="851" customFormat="false" ht="15" hidden="false" customHeight="false" outlineLevel="0" collapsed="false">
      <c r="P851" s="11"/>
    </row>
    <row r="852" customFormat="false" ht="15" hidden="false" customHeight="false" outlineLevel="0" collapsed="false">
      <c r="P852" s="11"/>
    </row>
    <row r="853" customFormat="false" ht="15" hidden="false" customHeight="false" outlineLevel="0" collapsed="false">
      <c r="P853" s="11"/>
    </row>
    <row r="854" customFormat="false" ht="15" hidden="false" customHeight="false" outlineLevel="0" collapsed="false">
      <c r="P854" s="11"/>
    </row>
    <row r="855" customFormat="false" ht="15" hidden="false" customHeight="false" outlineLevel="0" collapsed="false">
      <c r="P855" s="11"/>
    </row>
    <row r="856" customFormat="false" ht="15" hidden="false" customHeight="false" outlineLevel="0" collapsed="false">
      <c r="P856" s="11"/>
    </row>
    <row r="857" customFormat="false" ht="15" hidden="false" customHeight="false" outlineLevel="0" collapsed="false">
      <c r="P857" s="11"/>
    </row>
    <row r="858" customFormat="false" ht="15" hidden="false" customHeight="false" outlineLevel="0" collapsed="false">
      <c r="P858" s="11"/>
    </row>
    <row r="859" customFormat="false" ht="15" hidden="false" customHeight="false" outlineLevel="0" collapsed="false">
      <c r="P859" s="11"/>
    </row>
    <row r="860" customFormat="false" ht="15" hidden="false" customHeight="false" outlineLevel="0" collapsed="false">
      <c r="P860" s="11"/>
    </row>
    <row r="861" customFormat="false" ht="15" hidden="false" customHeight="false" outlineLevel="0" collapsed="false">
      <c r="P861" s="11"/>
    </row>
    <row r="862" customFormat="false" ht="15" hidden="false" customHeight="false" outlineLevel="0" collapsed="false">
      <c r="P862" s="11"/>
    </row>
    <row r="863" customFormat="false" ht="15" hidden="false" customHeight="false" outlineLevel="0" collapsed="false">
      <c r="P863" s="11"/>
    </row>
    <row r="864" customFormat="false" ht="15" hidden="false" customHeight="false" outlineLevel="0" collapsed="false">
      <c r="P864" s="11"/>
    </row>
    <row r="865" customFormat="false" ht="15" hidden="false" customHeight="false" outlineLevel="0" collapsed="false">
      <c r="P865" s="11"/>
    </row>
    <row r="866" customFormat="false" ht="15" hidden="false" customHeight="false" outlineLevel="0" collapsed="false">
      <c r="P866" s="11"/>
    </row>
    <row r="867" customFormat="false" ht="15" hidden="false" customHeight="false" outlineLevel="0" collapsed="false">
      <c r="P867" s="11"/>
    </row>
    <row r="868" customFormat="false" ht="15" hidden="false" customHeight="false" outlineLevel="0" collapsed="false">
      <c r="P868" s="11"/>
    </row>
    <row r="869" customFormat="false" ht="15" hidden="false" customHeight="false" outlineLevel="0" collapsed="false">
      <c r="P869" s="11"/>
    </row>
    <row r="870" customFormat="false" ht="15" hidden="false" customHeight="false" outlineLevel="0" collapsed="false">
      <c r="P870" s="11"/>
    </row>
    <row r="871" customFormat="false" ht="15" hidden="false" customHeight="false" outlineLevel="0" collapsed="false">
      <c r="P871" s="11"/>
    </row>
    <row r="872" customFormat="false" ht="15" hidden="false" customHeight="false" outlineLevel="0" collapsed="false">
      <c r="P872" s="11"/>
    </row>
    <row r="873" customFormat="false" ht="15" hidden="false" customHeight="false" outlineLevel="0" collapsed="false">
      <c r="P873" s="11"/>
    </row>
    <row r="874" customFormat="false" ht="15" hidden="false" customHeight="false" outlineLevel="0" collapsed="false">
      <c r="P874" s="11"/>
    </row>
    <row r="875" customFormat="false" ht="15" hidden="false" customHeight="false" outlineLevel="0" collapsed="false">
      <c r="P875" s="11"/>
    </row>
    <row r="876" customFormat="false" ht="15" hidden="false" customHeight="false" outlineLevel="0" collapsed="false">
      <c r="P876" s="11"/>
    </row>
    <row r="877" customFormat="false" ht="15" hidden="false" customHeight="false" outlineLevel="0" collapsed="false">
      <c r="P877" s="11"/>
    </row>
    <row r="878" customFormat="false" ht="15" hidden="false" customHeight="false" outlineLevel="0" collapsed="false">
      <c r="P878" s="11"/>
    </row>
    <row r="879" customFormat="false" ht="15" hidden="false" customHeight="false" outlineLevel="0" collapsed="false">
      <c r="P879" s="11"/>
    </row>
    <row r="880" customFormat="false" ht="15" hidden="false" customHeight="false" outlineLevel="0" collapsed="false">
      <c r="P880" s="11"/>
    </row>
    <row r="881" customFormat="false" ht="15" hidden="false" customHeight="false" outlineLevel="0" collapsed="false">
      <c r="P881" s="11"/>
    </row>
    <row r="882" customFormat="false" ht="15" hidden="false" customHeight="false" outlineLevel="0" collapsed="false">
      <c r="P882" s="11"/>
    </row>
    <row r="883" customFormat="false" ht="15" hidden="false" customHeight="false" outlineLevel="0" collapsed="false">
      <c r="P883" s="11"/>
    </row>
    <row r="884" customFormat="false" ht="15" hidden="false" customHeight="false" outlineLevel="0" collapsed="false">
      <c r="P884" s="11"/>
    </row>
    <row r="885" customFormat="false" ht="15" hidden="false" customHeight="false" outlineLevel="0" collapsed="false">
      <c r="P885" s="11"/>
    </row>
    <row r="886" customFormat="false" ht="15" hidden="false" customHeight="false" outlineLevel="0" collapsed="false">
      <c r="P886" s="11"/>
    </row>
    <row r="887" customFormat="false" ht="15" hidden="false" customHeight="false" outlineLevel="0" collapsed="false">
      <c r="P887" s="11"/>
    </row>
    <row r="888" customFormat="false" ht="15" hidden="false" customHeight="false" outlineLevel="0" collapsed="false">
      <c r="P888" s="11"/>
    </row>
    <row r="889" customFormat="false" ht="15" hidden="false" customHeight="false" outlineLevel="0" collapsed="false">
      <c r="P889" s="11"/>
    </row>
    <row r="890" customFormat="false" ht="15" hidden="false" customHeight="false" outlineLevel="0" collapsed="false">
      <c r="P890" s="11"/>
    </row>
    <row r="891" customFormat="false" ht="15" hidden="false" customHeight="false" outlineLevel="0" collapsed="false">
      <c r="P891" s="11"/>
    </row>
    <row r="892" customFormat="false" ht="15" hidden="false" customHeight="false" outlineLevel="0" collapsed="false">
      <c r="P892" s="11"/>
    </row>
    <row r="893" customFormat="false" ht="15" hidden="false" customHeight="false" outlineLevel="0" collapsed="false">
      <c r="P893" s="11"/>
    </row>
    <row r="894" customFormat="false" ht="15" hidden="false" customHeight="false" outlineLevel="0" collapsed="false">
      <c r="P894" s="11"/>
    </row>
    <row r="895" customFormat="false" ht="15" hidden="false" customHeight="false" outlineLevel="0" collapsed="false">
      <c r="P895" s="11"/>
    </row>
    <row r="896" customFormat="false" ht="15" hidden="false" customHeight="false" outlineLevel="0" collapsed="false">
      <c r="P896" s="11"/>
    </row>
    <row r="897" customFormat="false" ht="15" hidden="false" customHeight="false" outlineLevel="0" collapsed="false">
      <c r="P897" s="11"/>
    </row>
    <row r="898" customFormat="false" ht="15" hidden="false" customHeight="false" outlineLevel="0" collapsed="false">
      <c r="P898" s="11"/>
    </row>
    <row r="899" customFormat="false" ht="15" hidden="false" customHeight="false" outlineLevel="0" collapsed="false">
      <c r="P899" s="11"/>
    </row>
    <row r="900" customFormat="false" ht="15" hidden="false" customHeight="false" outlineLevel="0" collapsed="false">
      <c r="P900" s="11"/>
    </row>
    <row r="901" customFormat="false" ht="15" hidden="false" customHeight="false" outlineLevel="0" collapsed="false">
      <c r="P901" s="11"/>
    </row>
    <row r="902" customFormat="false" ht="15" hidden="false" customHeight="false" outlineLevel="0" collapsed="false">
      <c r="P902" s="11"/>
    </row>
    <row r="903" customFormat="false" ht="15" hidden="false" customHeight="false" outlineLevel="0" collapsed="false">
      <c r="P903" s="11"/>
    </row>
    <row r="904" customFormat="false" ht="15" hidden="false" customHeight="false" outlineLevel="0" collapsed="false">
      <c r="P904" s="11"/>
    </row>
    <row r="905" customFormat="false" ht="15" hidden="false" customHeight="false" outlineLevel="0" collapsed="false">
      <c r="P905" s="11"/>
    </row>
    <row r="906" customFormat="false" ht="15" hidden="false" customHeight="false" outlineLevel="0" collapsed="false">
      <c r="P906" s="11"/>
    </row>
    <row r="907" customFormat="false" ht="15" hidden="false" customHeight="false" outlineLevel="0" collapsed="false">
      <c r="P907" s="11"/>
    </row>
    <row r="908" customFormat="false" ht="15" hidden="false" customHeight="false" outlineLevel="0" collapsed="false">
      <c r="P908" s="11"/>
    </row>
    <row r="909" customFormat="false" ht="15" hidden="false" customHeight="false" outlineLevel="0" collapsed="false">
      <c r="P909" s="11"/>
    </row>
    <row r="910" customFormat="false" ht="15" hidden="false" customHeight="false" outlineLevel="0" collapsed="false">
      <c r="P910" s="11"/>
    </row>
    <row r="911" customFormat="false" ht="15" hidden="false" customHeight="false" outlineLevel="0" collapsed="false">
      <c r="P911" s="11"/>
    </row>
    <row r="912" customFormat="false" ht="15" hidden="false" customHeight="false" outlineLevel="0" collapsed="false">
      <c r="P912" s="11"/>
    </row>
    <row r="913" customFormat="false" ht="15" hidden="false" customHeight="false" outlineLevel="0" collapsed="false">
      <c r="P913" s="11"/>
    </row>
    <row r="914" customFormat="false" ht="15" hidden="false" customHeight="false" outlineLevel="0" collapsed="false">
      <c r="P914" s="11"/>
    </row>
    <row r="915" customFormat="false" ht="15" hidden="false" customHeight="false" outlineLevel="0" collapsed="false">
      <c r="P915" s="11"/>
    </row>
    <row r="916" customFormat="false" ht="15" hidden="false" customHeight="false" outlineLevel="0" collapsed="false">
      <c r="P916" s="11"/>
    </row>
    <row r="917" customFormat="false" ht="15" hidden="false" customHeight="false" outlineLevel="0" collapsed="false">
      <c r="P917" s="11"/>
    </row>
    <row r="918" customFormat="false" ht="15" hidden="false" customHeight="false" outlineLevel="0" collapsed="false">
      <c r="P918" s="11"/>
    </row>
    <row r="919" customFormat="false" ht="15" hidden="false" customHeight="false" outlineLevel="0" collapsed="false">
      <c r="P919" s="11"/>
    </row>
    <row r="920" customFormat="false" ht="15" hidden="false" customHeight="false" outlineLevel="0" collapsed="false">
      <c r="P920" s="11"/>
    </row>
    <row r="921" customFormat="false" ht="15" hidden="false" customHeight="false" outlineLevel="0" collapsed="false">
      <c r="P921" s="11"/>
    </row>
    <row r="922" customFormat="false" ht="15" hidden="false" customHeight="false" outlineLevel="0" collapsed="false">
      <c r="P922" s="11"/>
    </row>
    <row r="923" customFormat="false" ht="15" hidden="false" customHeight="false" outlineLevel="0" collapsed="false">
      <c r="P923" s="11"/>
    </row>
    <row r="924" customFormat="false" ht="15" hidden="false" customHeight="false" outlineLevel="0" collapsed="false">
      <c r="P924" s="11"/>
    </row>
    <row r="925" customFormat="false" ht="15" hidden="false" customHeight="false" outlineLevel="0" collapsed="false">
      <c r="P925" s="11"/>
    </row>
    <row r="926" customFormat="false" ht="15" hidden="false" customHeight="false" outlineLevel="0" collapsed="false">
      <c r="P926" s="11"/>
    </row>
    <row r="927" customFormat="false" ht="15" hidden="false" customHeight="false" outlineLevel="0" collapsed="false">
      <c r="P927" s="11"/>
    </row>
    <row r="928" customFormat="false" ht="15" hidden="false" customHeight="false" outlineLevel="0" collapsed="false">
      <c r="P928" s="11"/>
    </row>
    <row r="929" customFormat="false" ht="15" hidden="false" customHeight="false" outlineLevel="0" collapsed="false">
      <c r="P929" s="11"/>
    </row>
    <row r="930" customFormat="false" ht="15" hidden="false" customHeight="false" outlineLevel="0" collapsed="false">
      <c r="P930" s="11"/>
    </row>
    <row r="931" customFormat="false" ht="15" hidden="false" customHeight="false" outlineLevel="0" collapsed="false">
      <c r="P931" s="11"/>
    </row>
    <row r="932" customFormat="false" ht="15" hidden="false" customHeight="false" outlineLevel="0" collapsed="false">
      <c r="P932" s="11"/>
    </row>
    <row r="933" customFormat="false" ht="15" hidden="false" customHeight="false" outlineLevel="0" collapsed="false">
      <c r="P933" s="11"/>
    </row>
    <row r="934" customFormat="false" ht="15" hidden="false" customHeight="false" outlineLevel="0" collapsed="false">
      <c r="P934" s="11"/>
    </row>
    <row r="935" customFormat="false" ht="15" hidden="false" customHeight="false" outlineLevel="0" collapsed="false">
      <c r="P935" s="11"/>
    </row>
    <row r="936" customFormat="false" ht="15" hidden="false" customHeight="false" outlineLevel="0" collapsed="false">
      <c r="P936" s="11"/>
    </row>
    <row r="937" customFormat="false" ht="15" hidden="false" customHeight="false" outlineLevel="0" collapsed="false">
      <c r="P937" s="11"/>
    </row>
    <row r="938" customFormat="false" ht="15" hidden="false" customHeight="false" outlineLevel="0" collapsed="false">
      <c r="P938" s="11"/>
    </row>
    <row r="939" customFormat="false" ht="15" hidden="false" customHeight="false" outlineLevel="0" collapsed="false">
      <c r="P939" s="11"/>
    </row>
    <row r="940" customFormat="false" ht="15" hidden="false" customHeight="false" outlineLevel="0" collapsed="false">
      <c r="P940" s="11"/>
    </row>
    <row r="941" customFormat="false" ht="15" hidden="false" customHeight="false" outlineLevel="0" collapsed="false">
      <c r="P941" s="11"/>
    </row>
    <row r="942" customFormat="false" ht="15" hidden="false" customHeight="false" outlineLevel="0" collapsed="false">
      <c r="P942" s="11"/>
    </row>
    <row r="943" customFormat="false" ht="15" hidden="false" customHeight="false" outlineLevel="0" collapsed="false">
      <c r="P943" s="11"/>
    </row>
    <row r="944" customFormat="false" ht="15" hidden="false" customHeight="false" outlineLevel="0" collapsed="false">
      <c r="P944" s="11"/>
    </row>
    <row r="945" customFormat="false" ht="15" hidden="false" customHeight="false" outlineLevel="0" collapsed="false">
      <c r="P945" s="11"/>
    </row>
    <row r="946" customFormat="false" ht="15" hidden="false" customHeight="false" outlineLevel="0" collapsed="false">
      <c r="P946" s="11"/>
    </row>
    <row r="947" customFormat="false" ht="15" hidden="false" customHeight="false" outlineLevel="0" collapsed="false">
      <c r="P947" s="11"/>
    </row>
    <row r="948" customFormat="false" ht="15" hidden="false" customHeight="false" outlineLevel="0" collapsed="false">
      <c r="P948" s="11"/>
    </row>
    <row r="949" customFormat="false" ht="15" hidden="false" customHeight="false" outlineLevel="0" collapsed="false">
      <c r="P949" s="11"/>
    </row>
    <row r="950" customFormat="false" ht="15" hidden="false" customHeight="false" outlineLevel="0" collapsed="false">
      <c r="P950" s="11"/>
    </row>
    <row r="951" customFormat="false" ht="15" hidden="false" customHeight="false" outlineLevel="0" collapsed="false">
      <c r="P951" s="11"/>
    </row>
    <row r="952" customFormat="false" ht="15" hidden="false" customHeight="false" outlineLevel="0" collapsed="false">
      <c r="P952" s="11"/>
    </row>
    <row r="953" customFormat="false" ht="15" hidden="false" customHeight="false" outlineLevel="0" collapsed="false">
      <c r="P953" s="11"/>
    </row>
    <row r="954" customFormat="false" ht="15" hidden="false" customHeight="false" outlineLevel="0" collapsed="false">
      <c r="P954" s="11"/>
    </row>
    <row r="955" customFormat="false" ht="15" hidden="false" customHeight="false" outlineLevel="0" collapsed="false">
      <c r="P955" s="11"/>
    </row>
    <row r="956" customFormat="false" ht="15" hidden="false" customHeight="false" outlineLevel="0" collapsed="false">
      <c r="P956" s="11"/>
    </row>
    <row r="957" customFormat="false" ht="15" hidden="false" customHeight="false" outlineLevel="0" collapsed="false">
      <c r="P957" s="11"/>
    </row>
    <row r="958" customFormat="false" ht="15" hidden="false" customHeight="false" outlineLevel="0" collapsed="false">
      <c r="P958" s="11"/>
    </row>
    <row r="959" customFormat="false" ht="15" hidden="false" customHeight="false" outlineLevel="0" collapsed="false">
      <c r="P959" s="11"/>
    </row>
    <row r="960" customFormat="false" ht="15" hidden="false" customHeight="false" outlineLevel="0" collapsed="false">
      <c r="P960" s="11"/>
    </row>
    <row r="961" customFormat="false" ht="15" hidden="false" customHeight="false" outlineLevel="0" collapsed="false">
      <c r="P961" s="11"/>
    </row>
    <row r="962" customFormat="false" ht="15" hidden="false" customHeight="false" outlineLevel="0" collapsed="false">
      <c r="P962" s="11"/>
    </row>
    <row r="963" customFormat="false" ht="15" hidden="false" customHeight="false" outlineLevel="0" collapsed="false">
      <c r="P963" s="11"/>
    </row>
    <row r="964" customFormat="false" ht="15" hidden="false" customHeight="false" outlineLevel="0" collapsed="false">
      <c r="P964" s="11"/>
    </row>
    <row r="965" customFormat="false" ht="15" hidden="false" customHeight="false" outlineLevel="0" collapsed="false">
      <c r="P965" s="11"/>
    </row>
    <row r="966" customFormat="false" ht="15" hidden="false" customHeight="false" outlineLevel="0" collapsed="false">
      <c r="P966" s="11"/>
    </row>
    <row r="967" customFormat="false" ht="15" hidden="false" customHeight="false" outlineLevel="0" collapsed="false">
      <c r="P967" s="11"/>
    </row>
    <row r="968" customFormat="false" ht="15" hidden="false" customHeight="false" outlineLevel="0" collapsed="false">
      <c r="P968" s="11"/>
    </row>
    <row r="969" customFormat="false" ht="15" hidden="false" customHeight="false" outlineLevel="0" collapsed="false">
      <c r="P969" s="11"/>
    </row>
    <row r="970" customFormat="false" ht="15" hidden="false" customHeight="false" outlineLevel="0" collapsed="false">
      <c r="P970" s="11"/>
    </row>
    <row r="971" customFormat="false" ht="15" hidden="false" customHeight="false" outlineLevel="0" collapsed="false">
      <c r="P971" s="11"/>
    </row>
    <row r="972" customFormat="false" ht="15" hidden="false" customHeight="false" outlineLevel="0" collapsed="false">
      <c r="P972" s="11"/>
    </row>
    <row r="973" customFormat="false" ht="15" hidden="false" customHeight="false" outlineLevel="0" collapsed="false">
      <c r="P973" s="11"/>
    </row>
    <row r="974" customFormat="false" ht="15" hidden="false" customHeight="false" outlineLevel="0" collapsed="false">
      <c r="P974" s="11"/>
    </row>
    <row r="975" customFormat="false" ht="15" hidden="false" customHeight="false" outlineLevel="0" collapsed="false">
      <c r="P975" s="11"/>
    </row>
    <row r="976" customFormat="false" ht="15" hidden="false" customHeight="false" outlineLevel="0" collapsed="false">
      <c r="P976" s="11"/>
    </row>
    <row r="977" customFormat="false" ht="15" hidden="false" customHeight="false" outlineLevel="0" collapsed="false">
      <c r="P977" s="11"/>
    </row>
    <row r="978" customFormat="false" ht="15" hidden="false" customHeight="false" outlineLevel="0" collapsed="false">
      <c r="P978" s="11"/>
    </row>
    <row r="979" customFormat="false" ht="15" hidden="false" customHeight="false" outlineLevel="0" collapsed="false">
      <c r="P979" s="11"/>
    </row>
    <row r="980" customFormat="false" ht="15" hidden="false" customHeight="false" outlineLevel="0" collapsed="false">
      <c r="P980" s="11"/>
    </row>
    <row r="981" customFormat="false" ht="15" hidden="false" customHeight="false" outlineLevel="0" collapsed="false">
      <c r="P981" s="11"/>
    </row>
    <row r="982" customFormat="false" ht="15" hidden="false" customHeight="false" outlineLevel="0" collapsed="false">
      <c r="P982" s="11"/>
    </row>
    <row r="983" customFormat="false" ht="15" hidden="false" customHeight="false" outlineLevel="0" collapsed="false">
      <c r="P983" s="11"/>
    </row>
    <row r="984" customFormat="false" ht="15" hidden="false" customHeight="false" outlineLevel="0" collapsed="false">
      <c r="P984" s="11"/>
    </row>
    <row r="985" customFormat="false" ht="15" hidden="false" customHeight="false" outlineLevel="0" collapsed="false">
      <c r="P985" s="11"/>
    </row>
    <row r="986" customFormat="false" ht="15" hidden="false" customHeight="false" outlineLevel="0" collapsed="false">
      <c r="P986" s="11"/>
    </row>
    <row r="987" customFormat="false" ht="15" hidden="false" customHeight="false" outlineLevel="0" collapsed="false">
      <c r="P987" s="11"/>
    </row>
    <row r="988" customFormat="false" ht="15" hidden="false" customHeight="false" outlineLevel="0" collapsed="false">
      <c r="P988" s="11"/>
    </row>
    <row r="989" customFormat="false" ht="15" hidden="false" customHeight="false" outlineLevel="0" collapsed="false">
      <c r="P989" s="11"/>
    </row>
    <row r="990" customFormat="false" ht="15" hidden="false" customHeight="false" outlineLevel="0" collapsed="false">
      <c r="P990" s="11"/>
    </row>
    <row r="991" customFormat="false" ht="15" hidden="false" customHeight="false" outlineLevel="0" collapsed="false">
      <c r="P991" s="11"/>
    </row>
    <row r="992" customFormat="false" ht="15" hidden="false" customHeight="false" outlineLevel="0" collapsed="false">
      <c r="P992" s="11"/>
    </row>
    <row r="993" customFormat="false" ht="15" hidden="false" customHeight="false" outlineLevel="0" collapsed="false">
      <c r="P993" s="11"/>
    </row>
    <row r="994" customFormat="false" ht="15" hidden="false" customHeight="false" outlineLevel="0" collapsed="false">
      <c r="P994" s="11"/>
    </row>
    <row r="995" customFormat="false" ht="15" hidden="false" customHeight="false" outlineLevel="0" collapsed="false">
      <c r="P995" s="11"/>
    </row>
    <row r="996" customFormat="false" ht="15" hidden="false" customHeight="false" outlineLevel="0" collapsed="false">
      <c r="P996" s="11"/>
    </row>
    <row r="997" customFormat="false" ht="15" hidden="false" customHeight="false" outlineLevel="0" collapsed="false">
      <c r="P997" s="11"/>
    </row>
    <row r="998" customFormat="false" ht="15" hidden="false" customHeight="false" outlineLevel="0" collapsed="false">
      <c r="P998" s="11"/>
    </row>
    <row r="999" customFormat="false" ht="15" hidden="false" customHeight="false" outlineLevel="0" collapsed="false">
      <c r="P999" s="11"/>
    </row>
    <row r="1000" customFormat="false" ht="15" hidden="false" customHeight="false" outlineLevel="0" collapsed="false">
      <c r="P1000" s="11"/>
    </row>
  </sheetData>
  <autoFilter ref="A1:AK19"/>
  <dataValidations count="13">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E2:E1000" type="list">
      <formula1>Lookups!$E$2:$E$3</formula1>
      <formula2>0</formula2>
    </dataValidation>
    <dataValidation allowBlank="true" errorStyle="stop" operator="between" showDropDown="false" showErrorMessage="false" showInputMessage="false" sqref="J2:J1000" type="list">
      <formula1>Lookups!$F$2:$F$4</formula1>
      <formula2>0</formula2>
    </dataValidation>
    <dataValidation allowBlank="true" errorStyle="stop" operator="between" showDropDown="false" showErrorMessage="false" showInputMessage="false" sqref="L2:L1000" type="list">
      <formula1>Lookups!$G$2:$G$5</formula1>
      <formula2>0</formula2>
    </dataValidation>
    <dataValidation allowBlank="true" errorStyle="stop" operator="between" showDropDown="false" showErrorMessage="false" showInputMessage="false" sqref="M2:M1000" type="list">
      <formula1>Lookups!$H$2:$H$6</formula1>
      <formula2>0</formula2>
    </dataValidation>
    <dataValidation allowBlank="true" errorStyle="stop" operator="between" showDropDown="false" showErrorMessage="false" showInputMessage="false" sqref="U2:U1000" type="list">
      <formula1>Lookups!$I$2:$I$4</formula1>
      <formula2>0</formula2>
    </dataValidation>
    <dataValidation allowBlank="true" errorStyle="stop" operator="between" showDropDown="false" showErrorMessage="false" showInputMessage="false" sqref="W2:W1000" type="list">
      <formula1>Lookups!$J$2:$J$10</formula1>
      <formula2>0</formula2>
    </dataValidation>
    <dataValidation allowBlank="true" errorStyle="stop" operator="between" showDropDown="false" showErrorMessage="false" showInputMessage="false" sqref="Z2:Z1000" type="list">
      <formula1>Lookups!$K$2:$K$10</formula1>
      <formula2>0</formula2>
    </dataValidation>
    <dataValidation allowBlank="true" errorStyle="stop" operator="between" showDropDown="false" showErrorMessage="false" showInputMessage="false" sqref="AA2:AA1000" type="list">
      <formula1>Lookups!$L$2:$L$5</formula1>
      <formula2>0</formula2>
    </dataValidation>
    <dataValidation allowBlank="true" errorStyle="stop" operator="between" showDropDown="false" showErrorMessage="false" showInputMessage="false" sqref="AB2:AB1000" type="list">
      <formula1>Lookups!$M$2:$M$4</formula1>
      <formula2>0</formula2>
    </dataValidation>
    <dataValidation allowBlank="true" errorStyle="stop" operator="between" showDropDown="false" showErrorMessage="false" showInputMessage="false" sqref="AD2:AD1000" type="list">
      <formula1>Lookups!$N$2:$N$5</formula1>
      <formula2>0</formula2>
    </dataValidation>
    <dataValidation allowBlank="true" errorStyle="stop" operator="between" showDropDown="false" showErrorMessage="false" showInputMessage="false" sqref="AF2:AF1000" type="list">
      <formula1>Lookups!$O$2:$O$7</formula1>
      <formula2>0</formula2>
    </dataValidation>
    <dataValidation allowBlank="true" errorStyle="stop" operator="between" showDropDown="false" showErrorMessage="false" showInputMessage="false" sqref="AJ2:AJ1000" type="list">
      <formula1>Lookups!$P$2:$P$5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5" hidden="false" customHeight="false" outlineLevel="0" collapsed="false">
      <c r="A1" s="12" t="s">
        <v>289</v>
      </c>
      <c r="B1" s="13"/>
    </row>
    <row r="2" customFormat="false" ht="15" hidden="false" customHeight="false" outlineLevel="0" collapsed="false">
      <c r="A2" s="14"/>
      <c r="B2" s="13"/>
    </row>
    <row r="3" customFormat="false" ht="15" hidden="false" customHeight="false" outlineLevel="0" collapsed="false">
      <c r="A3" s="14" t="s">
        <v>290</v>
      </c>
      <c r="B3" s="13" t="s">
        <v>291</v>
      </c>
    </row>
    <row r="4" customFormat="false" ht="23.85" hidden="false" customHeight="false" outlineLevel="0" collapsed="false">
      <c r="A4" s="14" t="s">
        <v>292</v>
      </c>
      <c r="B4" s="13" t="s">
        <v>293</v>
      </c>
    </row>
    <row r="5" customFormat="false" ht="23.85" hidden="false" customHeight="false" outlineLevel="0" collapsed="false">
      <c r="A5" s="14" t="s">
        <v>294</v>
      </c>
      <c r="B5" s="13" t="s">
        <v>295</v>
      </c>
    </row>
    <row r="6" customFormat="false" ht="15" hidden="false" customHeight="false" outlineLevel="0" collapsed="false">
      <c r="A6" s="14" t="s">
        <v>296</v>
      </c>
      <c r="B6" s="13" t="s">
        <v>297</v>
      </c>
    </row>
    <row r="7" customFormat="false" ht="15" hidden="false" customHeight="false" outlineLevel="0" collapsed="false">
      <c r="A7" s="14"/>
      <c r="B7" s="13"/>
    </row>
    <row r="8" customFormat="false" ht="15" hidden="false" customHeight="false" outlineLevel="0" collapsed="false">
      <c r="A8" s="14" t="s">
        <v>298</v>
      </c>
      <c r="B8" s="13"/>
    </row>
    <row r="9" customFormat="false" ht="15" hidden="false" customHeight="false" outlineLevel="0" collapsed="false">
      <c r="A9" s="14" t="s">
        <v>5</v>
      </c>
      <c r="B9" s="13" t="s">
        <v>299</v>
      </c>
    </row>
    <row r="10" customFormat="false" ht="15" hidden="false" customHeight="false" outlineLevel="0" collapsed="false">
      <c r="A10" s="14" t="s">
        <v>6</v>
      </c>
      <c r="B10" s="13" t="s">
        <v>300</v>
      </c>
    </row>
    <row r="11" customFormat="false" ht="15" hidden="false" customHeight="false" outlineLevel="0" collapsed="false">
      <c r="A11" s="14" t="s">
        <v>7</v>
      </c>
      <c r="B11" s="13" t="s">
        <v>301</v>
      </c>
    </row>
    <row r="12" customFormat="false" ht="15" hidden="false" customHeight="false" outlineLevel="0" collapsed="false">
      <c r="A12" s="14" t="s">
        <v>8</v>
      </c>
      <c r="B12" s="13" t="s">
        <v>302</v>
      </c>
    </row>
    <row r="13" customFormat="false" ht="15" hidden="false" customHeight="false" outlineLevel="0" collapsed="false">
      <c r="A13" s="14" t="s">
        <v>9</v>
      </c>
      <c r="B13" s="13" t="s">
        <v>303</v>
      </c>
    </row>
    <row r="14" customFormat="false" ht="15" hidden="false" customHeight="false" outlineLevel="0" collapsed="false">
      <c r="A14" s="14"/>
      <c r="B14" s="13"/>
    </row>
    <row r="15" customFormat="false" ht="15" hidden="false" customHeight="false" outlineLevel="0" collapsed="false">
      <c r="A15" s="14" t="s">
        <v>304</v>
      </c>
      <c r="B15" s="13"/>
    </row>
    <row r="16" customFormat="false" ht="15" hidden="false" customHeight="false" outlineLevel="0" collapsed="false">
      <c r="A16" s="14" t="s">
        <v>305</v>
      </c>
      <c r="B16" s="13" t="s">
        <v>306</v>
      </c>
    </row>
    <row r="17" customFormat="false" ht="15" hidden="false" customHeight="false" outlineLevel="0" collapsed="false">
      <c r="A17" s="14" t="s">
        <v>307</v>
      </c>
      <c r="B17" s="13" t="s">
        <v>308</v>
      </c>
    </row>
    <row r="18" customFormat="false" ht="15" hidden="false" customHeight="false" outlineLevel="0" collapsed="false">
      <c r="A18" s="14" t="s">
        <v>309</v>
      </c>
      <c r="B18" s="13" t="s">
        <v>310</v>
      </c>
    </row>
    <row r="19" customFormat="false" ht="15" hidden="false" customHeight="false" outlineLevel="0" collapsed="false">
      <c r="A19" s="14" t="s">
        <v>311</v>
      </c>
      <c r="B19" s="13" t="s">
        <v>312</v>
      </c>
    </row>
    <row r="20" customFormat="false" ht="15" hidden="false" customHeight="false" outlineLevel="0" collapsed="false">
      <c r="A20" s="14" t="s">
        <v>313</v>
      </c>
      <c r="B20" s="13" t="s">
        <v>314</v>
      </c>
    </row>
    <row r="21" customFormat="false" ht="15" hidden="false" customHeight="false" outlineLevel="0" collapsed="false">
      <c r="A21" s="14" t="s">
        <v>315</v>
      </c>
      <c r="B21" s="13" t="s">
        <v>316</v>
      </c>
    </row>
    <row r="22" customFormat="false" ht="15" hidden="false" customHeight="false" outlineLevel="0" collapsed="false">
      <c r="A22" s="14" t="s">
        <v>317</v>
      </c>
      <c r="B22" s="13" t="s">
        <v>318</v>
      </c>
    </row>
    <row r="23" customFormat="false" ht="15" hidden="false" customHeight="false" outlineLevel="0" collapsed="false">
      <c r="A23" s="14"/>
      <c r="B23" s="13"/>
    </row>
    <row r="24" customFormat="false" ht="15" hidden="false" customHeight="false" outlineLevel="0" collapsed="false">
      <c r="A24" s="14" t="s">
        <v>319</v>
      </c>
      <c r="B24" s="13" t="s">
        <v>320</v>
      </c>
    </row>
    <row r="25" customFormat="false" ht="23.85" hidden="false" customHeight="false" outlineLevel="0" collapsed="false">
      <c r="A25" s="14" t="s">
        <v>321</v>
      </c>
      <c r="B25" s="13" t="s">
        <v>322</v>
      </c>
    </row>
    <row r="26" customFormat="false" ht="15" hidden="false" customHeight="false" outlineLevel="0" collapsed="false">
      <c r="A26" s="14" t="s">
        <v>323</v>
      </c>
      <c r="B26" s="13" t="s">
        <v>324</v>
      </c>
    </row>
    <row r="27" customFormat="false" ht="23.85" hidden="false" customHeight="false" outlineLevel="0" collapsed="false">
      <c r="A27" s="14" t="s">
        <v>325</v>
      </c>
      <c r="B27" s="13" t="s">
        <v>326</v>
      </c>
    </row>
    <row r="28" customFormat="false" ht="23.85" hidden="false" customHeight="false" outlineLevel="0" collapsed="false">
      <c r="A28" s="14" t="s">
        <v>327</v>
      </c>
      <c r="B28" s="13" t="s">
        <v>328</v>
      </c>
    </row>
    <row r="29" customFormat="false" ht="15" hidden="false" customHeight="false" outlineLevel="0" collapsed="false">
      <c r="A29" s="14"/>
      <c r="B29" s="13"/>
    </row>
    <row r="30" customFormat="false" ht="15" hidden="false" customHeight="false" outlineLevel="0" collapsed="false">
      <c r="A30" s="14" t="s">
        <v>329</v>
      </c>
      <c r="B30" s="13"/>
    </row>
    <row r="31" customFormat="false" ht="15" hidden="false" customHeight="false" outlineLevel="0" collapsed="false">
      <c r="A31" s="14" t="s">
        <v>330</v>
      </c>
      <c r="B31" s="13" t="s">
        <v>331</v>
      </c>
    </row>
    <row r="32" customFormat="false" ht="35.05" hidden="false" customHeight="false" outlineLevel="0" collapsed="false">
      <c r="A32" s="14" t="s">
        <v>332</v>
      </c>
      <c r="B32" s="13" t="s">
        <v>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20"/>
  </cols>
  <sheetData>
    <row r="1" customFormat="false" ht="15" hidden="false" customHeight="false" outlineLevel="0" collapsed="false">
      <c r="A1" s="2" t="s">
        <v>334</v>
      </c>
      <c r="B1" s="2" t="s">
        <v>335</v>
      </c>
      <c r="C1" s="2"/>
      <c r="D1" s="2" t="s">
        <v>2</v>
      </c>
      <c r="E1" s="2" t="s">
        <v>30</v>
      </c>
      <c r="F1" s="2" t="s">
        <v>35</v>
      </c>
      <c r="G1" s="2" t="s">
        <v>37</v>
      </c>
      <c r="H1" s="2" t="s">
        <v>38</v>
      </c>
      <c r="I1" s="2" t="s">
        <v>19</v>
      </c>
      <c r="J1" s="2" t="s">
        <v>46</v>
      </c>
      <c r="K1" s="2" t="s">
        <v>49</v>
      </c>
      <c r="L1" s="2" t="s">
        <v>13</v>
      </c>
      <c r="M1" s="2" t="s">
        <v>50</v>
      </c>
      <c r="N1" s="2" t="s">
        <v>52</v>
      </c>
      <c r="O1" s="2" t="s">
        <v>54</v>
      </c>
      <c r="P1" s="2" t="s">
        <v>58</v>
      </c>
    </row>
    <row r="2" customFormat="false" ht="15" hidden="false" customHeight="false" outlineLevel="0" collapsed="false">
      <c r="A2" s="15" t="s">
        <v>336</v>
      </c>
      <c r="B2" s="3" t="s">
        <v>337</v>
      </c>
      <c r="C2" s="3"/>
      <c r="D2" s="3" t="s">
        <v>5</v>
      </c>
      <c r="E2" s="3" t="s">
        <v>95</v>
      </c>
      <c r="F2" s="3" t="s">
        <v>338</v>
      </c>
      <c r="G2" s="3" t="s">
        <v>67</v>
      </c>
      <c r="H2" s="3" t="s">
        <v>68</v>
      </c>
      <c r="I2" s="3" t="s">
        <v>20</v>
      </c>
      <c r="J2" s="3" t="s">
        <v>76</v>
      </c>
      <c r="K2" s="3" t="s">
        <v>110</v>
      </c>
      <c r="L2" s="3" t="s">
        <v>14</v>
      </c>
      <c r="M2" s="3" t="s">
        <v>95</v>
      </c>
      <c r="N2" s="3" t="s">
        <v>95</v>
      </c>
      <c r="O2" s="3" t="s">
        <v>113</v>
      </c>
      <c r="P2" s="3" t="s">
        <v>117</v>
      </c>
    </row>
    <row r="3" customFormat="false" ht="15" hidden="false" customHeight="false" outlineLevel="0" collapsed="false">
      <c r="A3" s="15" t="s">
        <v>339</v>
      </c>
      <c r="B3" s="3" t="s">
        <v>340</v>
      </c>
      <c r="C3" s="3"/>
      <c r="D3" s="3" t="s">
        <v>6</v>
      </c>
      <c r="E3" s="3" t="s">
        <v>62</v>
      </c>
      <c r="F3" s="3" t="s">
        <v>341</v>
      </c>
      <c r="G3" s="3" t="s">
        <v>342</v>
      </c>
      <c r="H3" s="3" t="s">
        <v>123</v>
      </c>
      <c r="I3" s="3" t="s">
        <v>21</v>
      </c>
      <c r="J3" s="3" t="s">
        <v>92</v>
      </c>
      <c r="K3" s="3" t="s">
        <v>225</v>
      </c>
      <c r="L3" s="3" t="s">
        <v>15</v>
      </c>
      <c r="M3" s="3" t="s">
        <v>62</v>
      </c>
      <c r="N3" s="3" t="s">
        <v>62</v>
      </c>
      <c r="O3" s="3" t="s">
        <v>343</v>
      </c>
      <c r="P3" s="3" t="s">
        <v>344</v>
      </c>
    </row>
    <row r="4" customFormat="false" ht="15" hidden="false" customHeight="false" outlineLevel="0" collapsed="false">
      <c r="A4" s="15" t="s">
        <v>345</v>
      </c>
      <c r="B4" s="3" t="s">
        <v>346</v>
      </c>
      <c r="C4" s="3"/>
      <c r="D4" s="3" t="s">
        <v>7</v>
      </c>
      <c r="E4" s="3"/>
      <c r="F4" s="3" t="s">
        <v>66</v>
      </c>
      <c r="G4" s="3" t="s">
        <v>347</v>
      </c>
      <c r="H4" s="3" t="s">
        <v>348</v>
      </c>
      <c r="I4" s="3" t="s">
        <v>22</v>
      </c>
      <c r="J4" s="3" t="s">
        <v>349</v>
      </c>
      <c r="K4" s="3" t="s">
        <v>77</v>
      </c>
      <c r="L4" s="3" t="s">
        <v>16</v>
      </c>
      <c r="M4" s="3" t="s">
        <v>79</v>
      </c>
      <c r="N4" s="3" t="s">
        <v>160</v>
      </c>
      <c r="O4" s="3" t="s">
        <v>350</v>
      </c>
      <c r="P4" s="3" t="s">
        <v>10</v>
      </c>
    </row>
    <row r="5" customFormat="false" ht="15" hidden="false" customHeight="false" outlineLevel="0" collapsed="false">
      <c r="A5" s="15" t="s">
        <v>351</v>
      </c>
      <c r="B5" s="3" t="s">
        <v>352</v>
      </c>
      <c r="C5" s="3"/>
      <c r="D5" s="3" t="s">
        <v>8</v>
      </c>
      <c r="E5" s="3"/>
      <c r="F5" s="3"/>
      <c r="G5" s="3" t="s">
        <v>80</v>
      </c>
      <c r="H5" s="3" t="s">
        <v>353</v>
      </c>
      <c r="I5" s="3"/>
      <c r="J5" s="3" t="s">
        <v>193</v>
      </c>
      <c r="K5" s="3" t="s">
        <v>94</v>
      </c>
      <c r="L5" s="3" t="s">
        <v>17</v>
      </c>
      <c r="M5" s="3"/>
      <c r="N5" s="3" t="s">
        <v>79</v>
      </c>
      <c r="O5" s="3" t="s">
        <v>97</v>
      </c>
      <c r="P5" s="3" t="s">
        <v>354</v>
      </c>
    </row>
    <row r="6" customFormat="false" ht="15" hidden="false" customHeight="false" outlineLevel="0" collapsed="false">
      <c r="A6" s="15" t="s">
        <v>355</v>
      </c>
      <c r="B6" s="3" t="s">
        <v>356</v>
      </c>
      <c r="C6" s="3"/>
      <c r="D6" s="3" t="s">
        <v>9</v>
      </c>
      <c r="E6" s="3"/>
      <c r="F6" s="3"/>
      <c r="G6" s="3"/>
      <c r="H6" s="3" t="s">
        <v>357</v>
      </c>
      <c r="I6" s="3"/>
      <c r="J6" s="3" t="s">
        <v>158</v>
      </c>
      <c r="K6" s="3" t="s">
        <v>286</v>
      </c>
      <c r="L6" s="3"/>
      <c r="M6" s="3"/>
      <c r="N6" s="3"/>
      <c r="O6" s="3" t="s">
        <v>80</v>
      </c>
      <c r="P6" s="3"/>
    </row>
    <row r="7" customFormat="false" ht="15" hidden="false" customHeight="false" outlineLevel="0" collapsed="false">
      <c r="A7" s="15" t="s">
        <v>358</v>
      </c>
      <c r="B7" s="3" t="s">
        <v>359</v>
      </c>
      <c r="C7" s="3"/>
      <c r="D7" s="3" t="s">
        <v>10</v>
      </c>
      <c r="E7" s="3"/>
      <c r="F7" s="3"/>
      <c r="G7" s="3"/>
      <c r="H7" s="3"/>
      <c r="I7" s="3"/>
      <c r="J7" s="3" t="s">
        <v>206</v>
      </c>
      <c r="K7" s="3" t="s">
        <v>250</v>
      </c>
      <c r="L7" s="3"/>
      <c r="M7" s="3"/>
      <c r="N7" s="3"/>
      <c r="O7" s="3" t="s">
        <v>360</v>
      </c>
      <c r="P7" s="3"/>
    </row>
    <row r="8" customFormat="false" ht="15" hidden="false" customHeight="false" outlineLevel="0" collapsed="false">
      <c r="A8" s="15" t="s">
        <v>361</v>
      </c>
      <c r="B8" s="3" t="s">
        <v>362</v>
      </c>
      <c r="C8" s="3"/>
      <c r="D8" s="3"/>
      <c r="E8" s="3"/>
      <c r="F8" s="3"/>
      <c r="G8" s="3"/>
      <c r="H8" s="3"/>
      <c r="I8" s="3"/>
      <c r="J8" s="3" t="s">
        <v>363</v>
      </c>
      <c r="K8" s="3" t="s">
        <v>364</v>
      </c>
      <c r="L8" s="3"/>
      <c r="M8" s="3"/>
      <c r="N8" s="3"/>
      <c r="O8" s="3"/>
      <c r="P8" s="3"/>
    </row>
    <row r="9" customFormat="false" ht="15" hidden="false" customHeight="false" outlineLevel="0" collapsed="false">
      <c r="A9" s="15" t="s">
        <v>365</v>
      </c>
      <c r="B9" s="3" t="s">
        <v>359</v>
      </c>
      <c r="C9" s="3"/>
      <c r="D9" s="3"/>
      <c r="E9" s="3"/>
      <c r="F9" s="3"/>
      <c r="G9" s="3"/>
      <c r="H9" s="3"/>
      <c r="I9" s="3"/>
      <c r="J9" s="3" t="s">
        <v>273</v>
      </c>
      <c r="K9" s="3" t="s">
        <v>131</v>
      </c>
      <c r="L9" s="3"/>
      <c r="M9" s="3"/>
      <c r="N9" s="3"/>
      <c r="O9" s="3"/>
      <c r="P9" s="3"/>
    </row>
    <row r="10" customFormat="false" ht="15" hidden="false" customHeight="false" outlineLevel="0" collapsed="false">
      <c r="A10" s="15" t="s">
        <v>366</v>
      </c>
      <c r="B10" s="3" t="s">
        <v>367</v>
      </c>
      <c r="C10" s="3"/>
      <c r="D10" s="3"/>
      <c r="E10" s="3"/>
      <c r="F10" s="3"/>
      <c r="G10" s="3"/>
      <c r="H10" s="3"/>
      <c r="I10" s="3"/>
      <c r="J10" s="3" t="s">
        <v>236</v>
      </c>
      <c r="K10" s="3" t="s">
        <v>159</v>
      </c>
      <c r="L10" s="3"/>
      <c r="M10" s="3"/>
      <c r="N10" s="3"/>
      <c r="O10" s="3"/>
      <c r="P10" s="3"/>
    </row>
    <row r="11" customFormat="false" ht="15" hidden="false" customHeight="false" outlineLevel="0" collapsed="false">
      <c r="A11" s="15" t="s">
        <v>368</v>
      </c>
      <c r="B11" s="3" t="s">
        <v>369</v>
      </c>
      <c r="C11" s="3"/>
      <c r="D11" s="3"/>
      <c r="E11" s="3"/>
      <c r="F11" s="3"/>
      <c r="G11" s="3"/>
      <c r="H11" s="3"/>
      <c r="I11" s="3"/>
      <c r="J11" s="3"/>
      <c r="K11" s="3"/>
      <c r="L11" s="3"/>
      <c r="M11" s="3"/>
      <c r="N11" s="3"/>
      <c r="O11" s="3"/>
      <c r="P11" s="3"/>
    </row>
    <row r="12" customFormat="false" ht="15" hidden="false" customHeight="false" outlineLevel="0" collapsed="false">
      <c r="A12" s="15" t="s">
        <v>370</v>
      </c>
      <c r="B12" s="3" t="s">
        <v>371</v>
      </c>
      <c r="C12" s="3"/>
      <c r="D12" s="3"/>
      <c r="E12" s="3"/>
      <c r="F12" s="3"/>
      <c r="G12" s="3"/>
      <c r="H12" s="3"/>
      <c r="I12" s="3"/>
      <c r="J12" s="3"/>
      <c r="K12" s="3"/>
      <c r="L12" s="3"/>
      <c r="M12" s="3"/>
      <c r="N12" s="3"/>
      <c r="O12" s="3"/>
      <c r="P12" s="3"/>
    </row>
    <row r="13" customFormat="false" ht="15" hidden="false" customHeight="false" outlineLevel="0" collapsed="false">
      <c r="A13" s="3"/>
      <c r="B13" s="3"/>
      <c r="C13" s="3"/>
      <c r="D13" s="3"/>
      <c r="E13" s="3"/>
      <c r="F13" s="3"/>
      <c r="G13" s="3"/>
      <c r="H13" s="3"/>
      <c r="I13" s="3"/>
      <c r="J13" s="3"/>
      <c r="K13" s="3"/>
      <c r="L13" s="3"/>
      <c r="M13" s="3"/>
      <c r="N13" s="3"/>
      <c r="O13" s="3"/>
      <c r="P13" s="3"/>
    </row>
    <row r="14" customFormat="false" ht="15" hidden="false" customHeight="false" outlineLevel="0" collapsed="false">
      <c r="A14" s="3" t="s">
        <v>372</v>
      </c>
      <c r="B14" s="3"/>
      <c r="C14" s="3"/>
      <c r="D14" s="3"/>
      <c r="E14" s="3"/>
      <c r="F14" s="3"/>
      <c r="G14" s="3"/>
      <c r="H14" s="3"/>
      <c r="I14" s="3"/>
      <c r="J14" s="3"/>
      <c r="K14" s="3"/>
      <c r="L14" s="3"/>
      <c r="M14" s="3"/>
      <c r="N14" s="3"/>
      <c r="O14" s="3"/>
      <c r="P14"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2026-10-07T14:04:51Z</dcterms:created>
  <dc:creator>openpyxl</dc:creator>
  <dc:description/>
  <dc:language>en-US</dc:language>
  <cp:lastModifiedBy/>
  <dcterms:modified xsi:type="dcterms:W3CDTF">2026-10-07T14:04:52Z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