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Events" sheetId="2" state="visible" r:id="rId4"/>
    <sheet name="Leads" sheetId="3" state="visible" r:id="rId5"/>
    <sheet name="Legend" sheetId="4" state="visible" r:id="rId6"/>
    <sheet name="Lookups" sheetId="5" state="visible" r:id="rId7"/>
  </sheets>
  <definedNames>
    <definedName function="false" hidden="true" localSheetId="1" name="_xlnm._FilterDatabase" vbProcedure="false">Events!$A$1:$AI$20</definedName>
    <definedName function="false" hidden="true" localSheetId="2" name="_xlnm._FilterDatabase" vbProcedure="false">Leads!$A$1:$K$20</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Unique, never reused. HO42-0001 etc.</t>
        </r>
      </text>
    </comment>
    <comment ref="B1" authorId="0">
      <text>
        <r>
          <rPr>
            <sz val="10"/>
            <rFont val="Arial"/>
            <family val="2"/>
          </rPr>
          <t xml:space="preserve">Groups letters about the SAME incident (e.g. all Penzance Mar-1795 letters = one episode). Count requests by episode, not by letter.</t>
        </r>
      </text>
    </comment>
    <comment ref="C1" authorId="0">
      <text>
        <r>
          <rPr>
            <sz val="10"/>
            <rFont val="Arial"/>
            <family val="2"/>
          </rPr>
          <t xml:space="preserve">Dropdown - see Legend.</t>
        </r>
      </text>
    </comment>
    <comment ref="D1" authorId="0">
      <text>
        <r>
          <rPr>
            <sz val="10"/>
            <rFont val="Arial"/>
            <family val="2"/>
          </rPr>
          <t xml:space="preserve">Y if the quote ties corps/barracks/troops explicitly to suppressing riots/insurrection.</t>
        </r>
      </text>
    </comment>
    <comment ref="G1" authorId="0">
      <text>
        <r>
          <rPr>
            <sz val="10"/>
            <rFont val="Arial"/>
            <family val="2"/>
          </rPr>
          <t xml:space="preserve">Page/image number inside the TNA PDF. TNA PDFs come from old microfilm made BEFORE re-foliation, so PDF page and folio stamp can disagree - record both.</t>
        </r>
      </text>
    </comment>
    <comment ref="H1" authorId="0">
      <text>
        <r>
          <rPr>
            <sz val="10"/>
            <rFont val="Arial"/>
            <family val="2"/>
          </rPr>
          <t xml:space="preserve">Folio number as stamped on the document.</t>
        </r>
      </text>
    </comment>
    <comment ref="I1" authorId="0">
      <text>
        <r>
          <rPr>
            <sz val="10"/>
            <rFont val="Arial"/>
            <family val="2"/>
          </rPr>
          <t xml:space="preserve">Which numbering the Folio column uses. Existing rows were logged as "stamp where visible, else PDF page" - so marked Unclear until checked.</t>
        </r>
      </text>
    </comment>
    <comment ref="J1" authorId="0">
      <text>
        <r>
          <rPr>
            <sz val="10"/>
            <rFont val="Arial"/>
            <family val="2"/>
          </rPr>
          <t xml:space="preserve">Dropbox link once uploaded.</t>
        </r>
      </text>
    </comment>
    <comment ref="K1" authorId="0">
      <text>
        <r>
          <rPr>
            <sz val="10"/>
            <rFont val="Arial"/>
            <family val="2"/>
          </rPr>
          <t xml:space="preserve">Funnel step (JV): if in doubt, scan it.</t>
        </r>
      </text>
    </comment>
    <comment ref="O1" authorId="0">
      <text>
        <r>
          <rPr>
            <sz val="10"/>
            <rFont val="Arial"/>
            <family val="2"/>
          </rPr>
          <t xml:space="preserve">YYYY-MM-DD, typed as TEXT (Excel cannot store pre-1900 dates). Use the date of the letter itself; first date if a range.</t>
        </r>
      </text>
    </comment>
    <comment ref="P1" authorId="0">
      <text>
        <r>
          <rPr>
            <sz val="10"/>
            <rFont val="Arial"/>
            <family val="2"/>
          </rPr>
          <t xml:space="preserve">Formula from Date (ISO).</t>
        </r>
      </text>
    </comment>
    <comment ref="R1" authorId="0">
      <text>
        <r>
          <rPr>
            <sz val="10"/>
            <rFont val="Arial"/>
            <family val="2"/>
          </rPr>
          <t xml:space="preserve">Town/parish name for geocoding.</t>
        </r>
      </text>
    </comment>
    <comment ref="S1" authorId="0">
      <text>
        <r>
          <rPr>
            <sz val="10"/>
            <rFont val="Arial"/>
            <family val="2"/>
          </rPr>
          <t xml:space="preserve">Historic county.</t>
        </r>
      </text>
    </comment>
    <comment ref="U1" authorId="0">
      <text>
        <r>
          <rPr>
            <sz val="10"/>
            <rFont val="Arial"/>
            <family val="2"/>
          </rPr>
          <t xml:space="preserve">Dropdown.</t>
        </r>
      </text>
    </comment>
    <comment ref="V1" authorId="0">
      <text>
        <r>
          <rPr>
            <sz val="10"/>
            <rFont val="Arial"/>
            <family val="2"/>
          </rPr>
          <t xml:space="preserve">Who the letter/request went to (Home Sec, Ld Lieutenant, local commander...). Matters for the selection question: which requests reach Whitehall at all.</t>
        </r>
      </text>
    </comment>
    <comment ref="W1" authorId="0">
      <text>
        <r>
          <rPr>
            <sz val="10"/>
            <rFont val="Arial"/>
            <family val="2"/>
          </rPr>
          <t xml:space="preserve">Formula from Date (ISO) via Lookups sheet. Context only - not necessarily the addressee.</t>
        </r>
      </text>
    </comment>
    <comment ref="X1" authorId="0">
      <text>
        <r>
          <rPr>
            <sz val="10"/>
            <rFont val="Arial"/>
            <family val="2"/>
          </rPr>
          <t xml:space="preserve">Dropdown. Requests and barracks rows.</t>
        </r>
      </text>
    </comment>
    <comment ref="Y1" authorId="0">
      <text>
        <r>
          <rPr>
            <sz val="10"/>
            <rFont val="Arial"/>
            <family val="2"/>
          </rPr>
          <t xml:space="preserve">Actual = disorder under way; Pre-emptive = threatened/anticipated; Contingent = asks what is available if needed; Report only = informs HO of action taken, no ask.</t>
        </r>
      </text>
    </comment>
    <comment ref="Z1" authorId="0">
      <text>
        <r>
          <rPr>
            <sz val="10"/>
            <rFont val="Arial"/>
            <family val="2"/>
          </rPr>
          <t xml:space="preserve">Y if the writer says constables/civil power cannot cope or are unreliable.</t>
        </r>
      </text>
    </comment>
    <comment ref="AB1" authorId="0">
      <text>
        <r>
          <rPr>
            <sz val="10"/>
            <rFont val="Arial"/>
            <family val="2"/>
          </rPr>
          <t xml:space="preserve">As stated in the letter.</t>
        </r>
      </text>
    </comment>
    <comment ref="AD1" authorId="0">
      <text>
        <r>
          <rPr>
            <sz val="10"/>
            <rFont val="Arial"/>
            <family val="2"/>
          </rPr>
          <t xml:space="preserve">Dropdown. Original free-text outcome kept in Notes.</t>
        </r>
      </text>
    </comment>
    <comment ref="AH1" authorId="0">
      <text>
        <r>
          <rPr>
            <sz val="10"/>
            <rFont val="Arial"/>
            <family val="2"/>
          </rPr>
          <t xml:space="preserve">Where the response is recorded: HO 42 docket/endorsement, HO 43 entry book, other.</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B1" authorId="0">
      <text>
        <r>
          <rPr>
            <sz val="10"/>
            <rFont val="Arial"/>
            <family val="2"/>
          </rPr>
          <t xml:space="preserve">Same vocabulary as Events.</t>
        </r>
      </text>
    </comment>
    <comment ref="E1" authorId="0">
      <text>
        <r>
          <rPr>
            <sz val="10"/>
            <rFont val="Arial"/>
            <family val="2"/>
          </rPr>
          <t xml:space="preserve">Text YYYY-MM-DD; partial dates allowed (1798-05).</t>
        </r>
      </text>
    </comment>
    <comment ref="G1" authorId="0">
      <text>
        <r>
          <rPr>
            <sz val="10"/>
            <rFont val="Arial"/>
            <family val="2"/>
          </rPr>
          <t xml:space="preserve">Exactly as the secondary source gives it - not yet checked.</t>
        </r>
      </text>
    </comment>
    <comment ref="I1" authorId="0">
      <text>
        <r>
          <rPr>
            <sz val="10"/>
            <rFont val="Arial"/>
            <family val="2"/>
          </rPr>
          <t xml:space="preserve">N until someone reads the document itself.</t>
        </r>
      </text>
    </comment>
    <comment ref="J1" authorId="0">
      <text>
        <r>
          <rPr>
            <sz val="10"/>
            <rFont val="Arial"/>
            <family val="2"/>
          </rPr>
          <t xml:space="preserve">High = request for troops, England, 1790s.</t>
        </r>
      </text>
    </comment>
  </commentList>
</comments>
</file>

<file path=xl/sharedStrings.xml><?xml version="1.0" encoding="utf-8"?>
<sst xmlns="http://schemas.openxmlformats.org/spreadsheetml/2006/main" count="861" uniqueCount="505">
  <si>
    <t xml:space="preserve">HO 42 extraction log - summary</t>
  </si>
  <si>
    <t xml:space="preserve">Count by event type</t>
  </si>
  <si>
    <t xml:space="preserve">Event type</t>
  </si>
  <si>
    <t xml:space="preserve">Rows</t>
  </si>
  <si>
    <t xml:space="preserve">Request for troops</t>
  </si>
  <si>
    <t xml:space="preserve">Corps founded</t>
  </si>
  <si>
    <t xml:space="preserve">Corps armed/expanded</t>
  </si>
  <si>
    <t xml:space="preserve">Barracks</t>
  </si>
  <si>
    <t xml:space="preserve">Corps forming (context)</t>
  </si>
  <si>
    <t xml:space="preserve">Other</t>
  </si>
  <si>
    <t xml:space="preserve">TOTAL</t>
  </si>
  <si>
    <t xml:space="preserve">Requests for troops by kind</t>
  </si>
  <si>
    <t xml:space="preserve">Request kind</t>
  </si>
  <si>
    <t xml:space="preserve">Actual</t>
  </si>
  <si>
    <t xml:space="preserve">Pre-emptive</t>
  </si>
  <si>
    <t xml:space="preserve">Contingent</t>
  </si>
  <si>
    <t xml:space="preserve">Report only</t>
  </si>
  <si>
    <t xml:space="preserve">By year</t>
  </si>
  <si>
    <t xml:space="preserve">Year</t>
  </si>
  <si>
    <t xml:space="preserve">Distinct episodes (all rows)</t>
  </si>
  <si>
    <t xml:space="preserve">Rows still to check (Folio basis = Unclear)</t>
  </si>
  <si>
    <t xml:space="preserve">Row ID</t>
  </si>
  <si>
    <t xml:space="preserve">Episode ID</t>
  </si>
  <si>
    <t xml:space="preserve">Key quote?</t>
  </si>
  <si>
    <t xml:space="preserve">Call number</t>
  </si>
  <si>
    <t xml:space="preserve">File</t>
  </si>
  <si>
    <t xml:space="preserve">PDF page no.</t>
  </si>
  <si>
    <t xml:space="preserve">Folio</t>
  </si>
  <si>
    <t xml:space="preserve">Folio basis</t>
  </si>
  <si>
    <t xml:space="preserve">Link to PDF/Photos</t>
  </si>
  <si>
    <t xml:space="preserve">Image status</t>
  </si>
  <si>
    <t xml:space="preserve">Transcription status</t>
  </si>
  <si>
    <t xml:space="preserve">Transcribed text (key quote)</t>
  </si>
  <si>
    <t xml:space="preserve">Date (as written)</t>
  </si>
  <si>
    <t xml:space="preserve">Date (ISO)</t>
  </si>
  <si>
    <t xml:space="preserve">Location (as written)</t>
  </si>
  <si>
    <t xml:space="preserve">Place (normalised)</t>
  </si>
  <si>
    <t xml:space="preserve">County</t>
  </si>
  <si>
    <t xml:space="preserve">Writer</t>
  </si>
  <si>
    <t xml:space="preserve">Writer role</t>
  </si>
  <si>
    <t xml:space="preserve">Addressed to</t>
  </si>
  <si>
    <t xml:space="preserve">Home Secretary in office</t>
  </si>
  <si>
    <t xml:space="preserve">Disturbance type</t>
  </si>
  <si>
    <t xml:space="preserve">Civil power inadequate?</t>
  </si>
  <si>
    <t xml:space="preserve">Force requested (type &amp; size)</t>
  </si>
  <si>
    <t xml:space="preserve">Military already nearby?</t>
  </si>
  <si>
    <t xml:space="preserve">Response text (if given)</t>
  </si>
  <si>
    <t xml:space="preserve">Outcome</t>
  </si>
  <si>
    <t xml:space="preserve">Response date</t>
  </si>
  <si>
    <t xml:space="preserve">Response location</t>
  </si>
  <si>
    <t xml:space="preserve">Response writer</t>
  </si>
  <si>
    <t xml:space="preserve">Response source</t>
  </si>
  <si>
    <t xml:space="preserve">Notes / flag</t>
  </si>
  <si>
    <t xml:space="preserve">HO42-0001</t>
  </si>
  <si>
    <t xml:space="preserve">E01</t>
  </si>
  <si>
    <t xml:space="preserve">N</t>
  </si>
  <si>
    <t xml:space="preserve">HO 42/16</t>
  </si>
  <si>
    <t xml:space="preserve">HO-42-16_01.pdf</t>
  </si>
  <si>
    <t xml:space="preserve">ff.58, 60, 61</t>
  </si>
  <si>
    <t xml:space="preserve">Unclear - check</t>
  </si>
  <si>
    <t xml:space="preserve">Digitised (TNA PDF)</t>
  </si>
  <si>
    <t xml:space="preserve">Key quote only</t>
  </si>
  <si>
    <t xml:space="preserve">"...should arise any Necessity for the Interference of the Military, it would be expedient for me to know the nearest Place to this Spot where Troops are now station'd... from the War Office, with the Name of the commanding Officer."</t>
  </si>
  <si>
    <t xml:space="preserve">17 Mar 1790</t>
  </si>
  <si>
    <t xml:space="preserve">1790-03-17</t>
  </si>
  <si>
    <t xml:space="preserve">Keynsham (nr Bristol)</t>
  </si>
  <si>
    <t xml:space="preserve">Keynsham</t>
  </si>
  <si>
    <t xml:space="preserve">Somerset</t>
  </si>
  <si>
    <t xml:space="preserve">Thomas Ireland, magistrate</t>
  </si>
  <si>
    <t xml:space="preserve">Magistrate / JP</t>
  </si>
  <si>
    <t xml:space="preserve">Anti-machinery</t>
  </si>
  <si>
    <t xml:space="preserve">None yet - asks location of nearest troops + CO name</t>
  </si>
  <si>
    <t xml:space="preserve">Unclear</t>
  </si>
  <si>
    <t xml:space="preserve">Not needed</t>
  </si>
  <si>
    <t xml:space="preserve">Anti-machinery/colliers riot vs newly introduced woollen manufactory machines; contingent request for nearest garrison; Ireland preferred civil power. | Outcome (orig.): Not called (dispersed by Riot Act)</t>
  </si>
  <si>
    <t xml:space="preserve">HO42-0002</t>
  </si>
  <si>
    <t xml:space="preserve">E02</t>
  </si>
  <si>
    <t xml:space="preserve">HO-42-16_05.pdf</t>
  </si>
  <si>
    <t xml:space="preserve">ff.317-319</t>
  </si>
  <si>
    <t xml:space="preserve">"...we cannot depend or expect much support from our Constables... to request such support for our Persons &amp; property as the nature of the case requires." / Mulgrave: "the object... is to have some military force quartered in the Town at the time of the Election."</t>
  </si>
  <si>
    <t xml:space="preserve">1 Sep 1790 (fwd 6 Sep)</t>
  </si>
  <si>
    <t xml:space="preserve">1790-09-01</t>
  </si>
  <si>
    <t xml:space="preserve">Scarborough</t>
  </si>
  <si>
    <t xml:space="preserve">Yorkshire (N. Riding)</t>
  </si>
  <si>
    <t xml:space="preserve">Jno Harrison &amp; Jno Woodall, bailiffs; fwd by Henry Phipps (Ld Mulgrave)</t>
  </si>
  <si>
    <t xml:space="preserve">Mayor / corporation</t>
  </si>
  <si>
    <t xml:space="preserve">Ld Mulgrave, fwd to Grenville</t>
  </si>
  <si>
    <t xml:space="preserve">Election</t>
  </si>
  <si>
    <t xml:space="preserve">Y</t>
  </si>
  <si>
    <t xml:space="preserve">Military force quartered in town during election</t>
  </si>
  <si>
    <t xml:space="preserve">Forwarded</t>
  </si>
  <si>
    <t xml:space="preserve">Corporation vs freemen threatening to seize control by force at the election; constables unreliable. | Outcome (orig.): Forwarded to Grenville; outcome not in file</t>
  </si>
  <si>
    <t xml:space="preserve">HO42-0003</t>
  </si>
  <si>
    <t xml:space="preserve">E03</t>
  </si>
  <si>
    <t xml:space="preserve">HO 42/34</t>
  </si>
  <si>
    <t xml:space="preserve">HO-42-34_01.pdf</t>
  </si>
  <si>
    <t xml:space="preserve">ff.55-56</t>
  </si>
  <si>
    <t xml:space="preserve">"...pull down the mill &amp; destroy the corn &amp; flour therein, situated in the parish of Lamberhurst, belonging to Messrs Webb &amp; Fowle..."</t>
  </si>
  <si>
    <t xml:space="preserve">23 Jan 1795</t>
  </si>
  <si>
    <t xml:space="preserve">1795-01-23</t>
  </si>
  <si>
    <t xml:space="preserve">Lamberhurst</t>
  </si>
  <si>
    <t xml:space="preserve">Kent</t>
  </si>
  <si>
    <t xml:space="preserve">Charles Jaques, magistrate (for Fowle, mill-owner)</t>
  </si>
  <si>
    <t xml:space="preserve">Food / provisions</t>
  </si>
  <si>
    <t xml:space="preserve">Not specified</t>
  </si>
  <si>
    <t xml:space="preserve">Docket: "Copy of this sent to Ld Amherst Jany 24 with his Grace's opinion that a small number of troops shd be ordered to Lamberhurst to aid the magistrates if necessary."</t>
  </si>
  <si>
    <t xml:space="preserve">Approved</t>
  </si>
  <si>
    <t xml:space="preserve">24 Jan 1795</t>
  </si>
  <si>
    <t xml:space="preserve">Whitehall</t>
  </si>
  <si>
    <t xml:space="preserve">Portland -&gt; Amherst</t>
  </si>
  <si>
    <t xml:space="preserve">HO 42 docket</t>
  </si>
  <si>
    <t xml:space="preserve">Flour-mill riot; GRANTED (small number of troops ordered). Clean request+response pair. | Outcome (orig.): Approved</t>
  </si>
  <si>
    <t xml:space="preserve">HO42-0004</t>
  </si>
  <si>
    <t xml:space="preserve">E04</t>
  </si>
  <si>
    <t xml:space="preserve">HO-42-34_02.pdf</t>
  </si>
  <si>
    <t xml:space="preserve">ff.117-118, 122-123</t>
  </si>
  <si>
    <t xml:space="preserve">Key quote; full text held</t>
  </si>
  <si>
    <t xml:space="preserve">"...expedient to augment the domestic Force of this Country, as well to resist any hostile Attempts... as to suppress any Insurrections... the Object of their arming is, to aid the civil Magistracy."</t>
  </si>
  <si>
    <t xml:space="preserve">28 Jan 1795 (fwd 21 &amp; 26 Feb)</t>
  </si>
  <si>
    <t xml:space="preserve">1795-01-28</t>
  </si>
  <si>
    <t xml:space="preserve">Newcastle upon Tyne</t>
  </si>
  <si>
    <t xml:space="preserve">Northumberland</t>
  </si>
  <si>
    <t xml:space="preserve">Mayor Francis Johnson; fwd Duke of Northumberland (Ld Lieut)</t>
  </si>
  <si>
    <t xml:space="preserve">Duke of Northumberland (Ld Lieut), fwd to HO</t>
  </si>
  <si>
    <t xml:space="preserve">Preventive / general</t>
  </si>
  <si>
    <t xml:space="preserve">His Majesty accepted the offer to form a Volunteer Corps of Infantry for the internal defence of the town; Northumberland protests the loose, self-governing terms.</t>
  </si>
  <si>
    <t xml:space="preserve">26 Feb 1795</t>
  </si>
  <si>
    <t xml:space="preserve">King via Portland</t>
  </si>
  <si>
    <t xml:space="preserve">KEY QUOTE. Volunteer infantry corps; full text held. Lord-Lieutenant ambivalence on record. | Outcome (orig.): Approved</t>
  </si>
  <si>
    <t xml:space="preserve">HO42-0005</t>
  </si>
  <si>
    <t xml:space="preserve">E05</t>
  </si>
  <si>
    <t xml:space="preserve">HO-42-34_03.pdf</t>
  </si>
  <si>
    <t xml:space="preserve">ff.186-188</t>
  </si>
  <si>
    <t xml:space="preserve">"...I request the favor of Government arming me with forty stand of Small Arms with necessary Accoutrements... &amp; a couple of barrels of ball Cartridges... I cannot but again repeat my former application for a couple of field pieces to be attached to this Company..."</t>
  </si>
  <si>
    <t xml:space="preserve">11 Mar 1795</t>
  </si>
  <si>
    <t xml:space="preserve">1795-03-11</t>
  </si>
  <si>
    <t xml:space="preserve">Penzance</t>
  </si>
  <si>
    <t xml:space="preserve">Cornwall</t>
  </si>
  <si>
    <t xml:space="preserve">Capt Tremenheere, Penzance Volunteer Company</t>
  </si>
  <si>
    <t xml:space="preserve">Volunteer / militia officer</t>
  </si>
  <si>
    <t xml:space="preserve">Other / unclear</t>
  </si>
  <si>
    <t xml:space="preserve">Volunteers only</t>
  </si>
  <si>
    <t xml:space="preserve">Miners' rising dispersed by bayonet/Riot Act; corps deployed with improvised cannon; 20-30 enrolling as 'Penzance Artillery Men'. | CHECK: Disturbance type: 1795 Cornish miners' risings were largely over grain prices - confirm from letters and recode.</t>
  </si>
  <si>
    <t xml:space="preserve">HO42-0006</t>
  </si>
  <si>
    <t xml:space="preserve">ff.199-200</t>
  </si>
  <si>
    <t xml:space="preserve">"There being no other Military force at this place but the Volunteer Company, I have thought proper to keep them in constant readiness, which produces an Expence which there is no fund to supply. I therefore request your Grace's directions herein."</t>
  </si>
  <si>
    <t xml:space="preserve">14 Mar 1795</t>
  </si>
  <si>
    <t xml:space="preserve">1795-03-14</t>
  </si>
  <si>
    <t xml:space="preserve">Capt Tremenheere</t>
  </si>
  <si>
    <t xml:space="preserve">Funding/authority request tied to keeping the corps mobilised.</t>
  </si>
  <si>
    <t xml:space="preserve">HO42-0007</t>
  </si>
  <si>
    <t xml:space="preserve">f.201</t>
  </si>
  <si>
    <t xml:space="preserve">"...humbly beg leave to support the application made to Government by Captain Tremenheere for two field pieces to be attached to his Company."</t>
  </si>
  <si>
    <t xml:space="preserve">Mayor &amp; Justices of Penzance (Board, Batten)</t>
  </si>
  <si>
    <t xml:space="preserve">Corporation endorsement of the arms request.</t>
  </si>
  <si>
    <t xml:space="preserve">HO42-0008</t>
  </si>
  <si>
    <t xml:space="preserve">f.210</t>
  </si>
  <si>
    <t xml:space="preserve">"...induce us to request Your Lordship to order such regular forces or Militia as may be thought necessary to be sent into this Neighbourhood as speedily as possible in support of the Civil power and in Aid of the Volunteer Companies." PS: "Two companies may with ease be accommodated..."</t>
  </si>
  <si>
    <t xml:space="preserve">16 Mar 1795</t>
  </si>
  <si>
    <t xml:space="preserve">1795-03-16</t>
  </si>
  <si>
    <t xml:space="preserve">Penzance, Cornwall</t>
  </si>
  <si>
    <t xml:space="preserve">Wm Borlase, John Price, Thos Pascoe, Richd Hichens (JPs) + Collector of Customs</t>
  </si>
  <si>
    <t xml:space="preserve">Regular forces or militia; "two companies may with ease be accommodated"</t>
  </si>
  <si>
    <t xml:space="preserve">Formal county-JP request for regulars/militia after Volunteer Companies alone proved insufficient.</t>
  </si>
  <si>
    <t xml:space="preserve">HO42-0009</t>
  </si>
  <si>
    <t xml:space="preserve">E06</t>
  </si>
  <si>
    <t xml:space="preserve">ff.9-10</t>
  </si>
  <si>
    <t xml:space="preserve">Offer to raise two additional troops (100 men) for his Fencible Regiment; notes Government had declined the expense of purchasing horses.</t>
  </si>
  <si>
    <t xml:space="preserve">4 Jan 1795</t>
  </si>
  <si>
    <t xml:space="preserve">1795-01-04</t>
  </si>
  <si>
    <t xml:space="preserve">Exeter (Heavitree Barracks)</t>
  </si>
  <si>
    <t xml:space="preserve">Exeter</t>
  </si>
  <si>
    <t xml:space="preserve">Devon</t>
  </si>
  <si>
    <t xml:space="preserve">Montagu Burgoyne</t>
  </si>
  <si>
    <t xml:space="preserve">Military officer</t>
  </si>
  <si>
    <t xml:space="preserve">Officer's offer to expand a fencible corps; fiscal-military bargaining over horse cost.</t>
  </si>
  <si>
    <t xml:space="preserve">HO42-0010</t>
  </si>
  <si>
    <t xml:space="preserve">E07</t>
  </si>
  <si>
    <t xml:space="preserve">HO 42/30</t>
  </si>
  <si>
    <t xml:space="preserve">HO-42-30_01.pdf</t>
  </si>
  <si>
    <t xml:space="preserve">ff.21-24</t>
  </si>
  <si>
    <t xml:space="preserve">"...do without Delay quit the Field of Argument for that of Arms... forming themselves into a Military Association... be formed into Companies of Infantry, but to offer the Service of as many Cavalry as can be mustered... to repel external Violence, suppress internal Commotions..."</t>
  </si>
  <si>
    <t xml:space="preserve">6 May 1794 (res. 24 Mar &amp; 19 Apr)</t>
  </si>
  <si>
    <t xml:space="preserve">1794-05-06</t>
  </si>
  <si>
    <t xml:space="preserve">Birmingham</t>
  </si>
  <si>
    <t xml:space="preserve">Warwickshire</t>
  </si>
  <si>
    <t xml:space="preserve">John Brooke / J. Morfitt (Loyal True Blues)</t>
  </si>
  <si>
    <t xml:space="preserve">Loyalist association</t>
  </si>
  <si>
    <t xml:space="preserve">KEY QUOTE. Loyalist association militarising into infantry+cavalry; ~50-100 enrolled; full text held.</t>
  </si>
  <si>
    <t xml:space="preserve">HO42-0011</t>
  </si>
  <si>
    <t xml:space="preserve">E08</t>
  </si>
  <si>
    <t xml:space="preserve">ff.52-53</t>
  </si>
  <si>
    <t xml:space="preserve">"...do hereby engage to form ourselves into a military Corps, under the Sanction of Government, to be called the Independent Sheffield Volunteers... in preventing or suppressing all riotous, disorderly &amp; unlawful meetings or assemblies."</t>
  </si>
  <si>
    <t xml:space="preserve">1 May 1794 (fwd 12 May)</t>
  </si>
  <si>
    <t xml:space="preserve">1794-05-01</t>
  </si>
  <si>
    <t xml:space="preserve">Sheffield</t>
  </si>
  <si>
    <t xml:space="preserve">Yorkshire (W. Riding)</t>
  </si>
  <si>
    <t xml:space="preserve">J. Russell, Dronfield</t>
  </si>
  <si>
    <t xml:space="preserve">KEY QUOTE. Corps raised in a radical town; 100+ signatures; engagement text held.</t>
  </si>
  <si>
    <t xml:space="preserve">HO42-0012</t>
  </si>
  <si>
    <t xml:space="preserve">E09</t>
  </si>
  <si>
    <t xml:space="preserve">ff.62-63</t>
  </si>
  <si>
    <t xml:space="preserve">"...particularly in case of Riots and Disturbances among the Pitmen and others employed in the Coalworks... the peace... most effectually preserved by the appearance of Cavalry on the Spot ready to assist the civil Power."</t>
  </si>
  <si>
    <t xml:space="preserve">12 May 1794</t>
  </si>
  <si>
    <t xml:space="preserve">1794-05-12</t>
  </si>
  <si>
    <t xml:space="preserve">Mayor Wm Yielder &amp; corporation</t>
  </si>
  <si>
    <t xml:space="preserve">Labour / industrial</t>
  </si>
  <si>
    <t xml:space="preserve">Cavalry barracks</t>
  </si>
  <si>
    <t xml:space="preserve">Request to build cavalry barracks, explicitly riot-driven (pitmen).</t>
  </si>
  <si>
    <t xml:space="preserve">HO42-0013</t>
  </si>
  <si>
    <t xml:space="preserve">E10</t>
  </si>
  <si>
    <t xml:space="preserve">ff.16-17</t>
  </si>
  <si>
    <t xml:space="preserve">Objection to the siting of proposed barracks at Wells ('a mere Village, free from seditious Societies').</t>
  </si>
  <si>
    <t xml:space="preserve">5 May 1794</t>
  </si>
  <si>
    <t xml:space="preserve">1794-05-05</t>
  </si>
  <si>
    <t xml:space="preserve">Wells</t>
  </si>
  <si>
    <t xml:space="preserve">Mr Tudway</t>
  </si>
  <si>
    <t xml:space="preserve">Private individual</t>
  </si>
  <si>
    <t xml:space="preserve">Marginal - about siting, not raising. Included for completeness. | CHECK: Barracks row is an OBJECTION to siting, not a request - consider separate event type.</t>
  </si>
  <si>
    <t xml:space="preserve">HO42-0014</t>
  </si>
  <si>
    <t xml:space="preserve">E11</t>
  </si>
  <si>
    <t xml:space="preserve">HO 42/33</t>
  </si>
  <si>
    <t xml:space="preserve">HO-42-33_01.pdf</t>
  </si>
  <si>
    <t xml:space="preserve">~f.43-44 (also narr. ff.220-225 in _03)</t>
  </si>
  <si>
    <t xml:space="preserve">"...finding the impossibility of quelling a further riot with the civil power only... I am therefore going to send to the Tower for 100 of His Majesty's Guards, and... I shall stand in Need of further military Aid at Night." (also asked Light Horse Volunteers &amp; HAC)</t>
  </si>
  <si>
    <t xml:space="preserve">20-22 Aug 1794</t>
  </si>
  <si>
    <t xml:space="preserve">1794-08-20</t>
  </si>
  <si>
    <t xml:space="preserve">London</t>
  </si>
  <si>
    <t xml:space="preserve">Middlesex / City</t>
  </si>
  <si>
    <t xml:space="preserve">Lord Mayor (Paul Le Mesurier)</t>
  </si>
  <si>
    <t xml:space="preserve">Tower (Guards); HAC; Light Horse Volunteers</t>
  </si>
  <si>
    <t xml:space="preserve">Recruitment / crimping</t>
  </si>
  <si>
    <t xml:space="preserve">100 Guards from Tower + Light Horse Volunteers &amp; HAC</t>
  </si>
  <si>
    <t xml:space="preserve">London 'crimp' riots; civil magistrate requesting Guards + volunteer corps. Core request; full transcription pending.</t>
  </si>
  <si>
    <t xml:space="preserve">HO42-0015</t>
  </si>
  <si>
    <t xml:space="preserve">HO-42-33_03.pdf</t>
  </si>
  <si>
    <t xml:space="preserve">ff.160, 162-163</t>
  </si>
  <si>
    <t xml:space="preserve">"the Armed Associations which are forming in this quarter of the Metropolis cannot be ready to act for a considerable length of time..." / "none of the Military associations which have been forming in Hackney and the Town Hamlets are yet in a situation to act."</t>
  </si>
  <si>
    <t xml:space="preserve">21 Aug 1794</t>
  </si>
  <si>
    <t xml:space="preserve">1794-08-21</t>
  </si>
  <si>
    <t xml:space="preserve">London (Hackney, Tower Hamlets)</t>
  </si>
  <si>
    <t xml:space="preserve">Middlesex</t>
  </si>
  <si>
    <t xml:space="preserve">Patrick Colquhoun, Worship Street</t>
  </si>
  <si>
    <t xml:space="preserve">Evidence of armed associations being raised across metropolitan parishes (context, not a discrete offer).</t>
  </si>
  <si>
    <t xml:space="preserve">HO42-0016</t>
  </si>
  <si>
    <t xml:space="preserve">E12</t>
  </si>
  <si>
    <t xml:space="preserve">HO-42-30_04.pdf</t>
  </si>
  <si>
    <t xml:space="preserve">ff.270-271</t>
  </si>
  <si>
    <t xml:space="preserve">"His Majesty having been pleased to approve of the Steps taken in the Isle of Wight to augment by voluntary subscription the internal force of it, and particularly by an increase of the Militia... to apply for two Field Pieces of Cannon to be attached to this Corps. It is proposed that the embodied Company of the Militia shd be trained to the use of the Guns..."</t>
  </si>
  <si>
    <t xml:space="preserve">24 May 1794</t>
  </si>
  <si>
    <t xml:space="preserve">1794-05-24</t>
  </si>
  <si>
    <t xml:space="preserve">Isle of Wight</t>
  </si>
  <si>
    <t xml:space="preserve">Hampshire</t>
  </si>
  <si>
    <t xml:space="preserve">Thomas Orde (Governor of the Isle of Wight)</t>
  </si>
  <si>
    <t xml:space="preserve">Other official</t>
  </si>
  <si>
    <t xml:space="preserve">Militia augmentation already approved by the King; the field-pieces request's outcome not in this file.</t>
  </si>
  <si>
    <t xml:space="preserve">Militia increase by voluntary subscription + request for 2 field pieces; internal-defence framed. Key-quote adjacent (militia augmentation). | Outcome (orig.): (augmentation approved) | CHECK: Key-quote adjacent (militia augmentation).</t>
  </si>
  <si>
    <t xml:space="preserve">HO42-0017</t>
  </si>
  <si>
    <t xml:space="preserve">E13</t>
  </si>
  <si>
    <t xml:space="preserve">HO-42-33_05.pdf</t>
  </si>
  <si>
    <t xml:space="preserve">f.377</t>
  </si>
  <si>
    <t xml:space="preserve">"This Morning I gave orders for Two hundred extra Constables, &amp; I have also wrote to the Artillery Company &amp; to the Light Horse Volunteers who are and have been in readiness for several hours to co-operate with the Civil Power should occasion require. I have reason to believe the Peace of the City will be preserved."</t>
  </si>
  <si>
    <t xml:space="preserve">22 Nov 1794</t>
  </si>
  <si>
    <t xml:space="preserve">1794-11-22</t>
  </si>
  <si>
    <t xml:space="preserve">London (Sessions House, Old Bailey)</t>
  </si>
  <si>
    <t xml:space="preserve">City of London</t>
  </si>
  <si>
    <t xml:space="preserve">Lord Mayor of London (Thomas Skinner)</t>
  </si>
  <si>
    <t xml:space="preserve">Radical / political</t>
  </si>
  <si>
    <t xml:space="preserve">Artillery Co. &amp; Light Horse Volunteers on standby; 200 extra constables</t>
  </si>
  <si>
    <t xml:space="preserve">During the Treason Trials (Hardy/Tooke). Civil request to the volunteer corps + 200 extra constables; distinct occasion from the Aug 1794 crimp-riot request. | CHECK: Reclassify? This is a report to HO of local precautions, not a request to government.</t>
  </si>
  <si>
    <t xml:space="preserve">HO42-0018</t>
  </si>
  <si>
    <t xml:space="preserve">E14</t>
  </si>
  <si>
    <t xml:space="preserve">30-33</t>
  </si>
  <si>
    <t xml:space="preserve">ff.225, 227</t>
  </si>
  <si>
    <t xml:space="preserve">Folio stamp</t>
  </si>
  <si>
    <t xml:space="preserve">Shuckburgh-Evelyn: "W. Legge of Grosvenor Square called upon me yesterday, expressing much apprehension for himself &amp; neighbours at the unprotected state of the Town of Birmingham by the withdrawing the Cavalry from thence at the present period". Enclosed, Dr Spencer (magistrate): "I hope &amp; trust we shall not be left without one Troop."</t>
  </si>
  <si>
    <t xml:space="preserve">23 May 1794</t>
  </si>
  <si>
    <t xml:space="preserve">1794-05-23</t>
  </si>
  <si>
    <t xml:space="preserve">G. Shuckburgh-Evelyn (fwd W. Legge; encl. Dr B. Spencer, magistrate)</t>
  </si>
  <si>
    <t xml:space="preserve">MP / peer</t>
  </si>
  <si>
    <t xml:space="preserve">Home Office (Nepean?)</t>
  </si>
  <si>
    <t xml:space="preserve">Retain at least one troop of cavalry in the town</t>
  </si>
  <si>
    <t xml:space="preserve">Request to keep cavalry from being withdrawn (regiment under orders for foreign service). Distinct episode from the Loyal True Blues corps (E07). Docket 23 May 1794 "Dom". Addressee inferred - check.</t>
  </si>
  <si>
    <t xml:space="preserve">HO42-0019</t>
  </si>
  <si>
    <t xml:space="preserve">E15</t>
  </si>
  <si>
    <t xml:space="preserve">HO-42-30_05.pdf</t>
  </si>
  <si>
    <t xml:space="preserve">64-65</t>
  </si>
  <si>
    <t xml:space="preserve">ff.333-334</t>
  </si>
  <si>
    <t xml:space="preserve">"...Inclosing to you an account of the late proceedings here, for our internal Defence; not only against our foreign, but, our more to be dreaded, domestic Enemies."</t>
  </si>
  <si>
    <t xml:space="preserve">31 May 1794</t>
  </si>
  <si>
    <t xml:space="preserve">1794-05-31</t>
  </si>
  <si>
    <t xml:space="preserve">Doncaster</t>
  </si>
  <si>
    <t xml:space="preserve">Edward Miller</t>
  </si>
  <si>
    <t xml:space="preserve">Unnamed official (knew his brother &amp; nieces)</t>
  </si>
  <si>
    <t xml:space="preserve">KEY QUOTE. Enclosure (account of Doncaster meeting for internal defence) not in this file - check whether a corps or subscription was actually formed; event type provisional. Writer also says his son at Sheffield was "equally alert".</t>
  </si>
  <si>
    <t xml:space="preserve">Lead ID</t>
  </si>
  <si>
    <t xml:space="preserve">Place</t>
  </si>
  <si>
    <t xml:space="preserve">Summary</t>
  </si>
  <si>
    <t xml:space="preserve">Archive ref (as cited)</t>
  </si>
  <si>
    <t xml:space="preserve">Cited by</t>
  </si>
  <si>
    <t xml:space="preserve">Verified in original?</t>
  </si>
  <si>
    <t xml:space="preserve">Priority</t>
  </si>
  <si>
    <t xml:space="preserve">Notes / conflicts</t>
  </si>
  <si>
    <t xml:space="preserve">L001</t>
  </si>
  <si>
    <t xml:space="preserve">Oxford</t>
  </si>
  <si>
    <t xml:space="preserve">Oxfordshire</t>
  </si>
  <si>
    <t xml:space="preserve">1800-09-04</t>
  </si>
  <si>
    <t xml:space="preserve">Troops (11th Light Dragoons) sent to Oxford; town clerk protests on behalf of volunteers; HO reply reassures them.</t>
  </si>
  <si>
    <t xml:space="preserve">HO 42/51 ff.36-7, 59-60; HO 50/388; HO 43/12 pp.106-7 (King to Taunton, 8 Sep 1800)</t>
  </si>
  <si>
    <t xml:space="preserve">Bend 2018; Gee (via other session)</t>
  </si>
  <si>
    <t xml:space="preserve">High</t>
  </si>
  <si>
    <t xml:space="preserve">CONFLICT: Gee says Vice-Chancellor requested troops; Bend says Portland sent them unrequested on Rev. D. Hughes's letter, V-C later asked they stay. Other session dated the reply 1801 - wrong, it is 1800.</t>
  </si>
  <si>
    <t xml:space="preserve">L002</t>
  </si>
  <si>
    <t xml:space="preserve">Banbury</t>
  </si>
  <si>
    <t xml:space="preserve">1800</t>
  </si>
  <si>
    <t xml:space="preserve">Mayor wants "soldiers unconnected with the place" because yeomanry sympathised with rioters.</t>
  </si>
  <si>
    <t xml:space="preserve">HO 42/51 f.116</t>
  </si>
  <si>
    <t xml:space="preserve">Gee (via other session)</t>
  </si>
  <si>
    <t xml:space="preserve">Local force distrusted - fits "civil power inadequate".</t>
  </si>
  <si>
    <t xml:space="preserve">L003</t>
  </si>
  <si>
    <t xml:space="preserve">1800-11</t>
  </si>
  <si>
    <t xml:space="preserve">Troops sent on Lord Lieutenants' information without consulting magistrates, who objected.</t>
  </si>
  <si>
    <t xml:space="preserve">HO 43/12 pp.313-6; HO 42/53 ff.404-5</t>
  </si>
  <si>
    <t xml:space="preserve">Bend 2018</t>
  </si>
  <si>
    <t xml:space="preserve">Medium</t>
  </si>
  <si>
    <t xml:space="preserve">Deployment WITHOUT request - code as unrequested, not as request.</t>
  </si>
  <si>
    <t xml:space="preserve">L004</t>
  </si>
  <si>
    <t xml:space="preserve">Berkeley</t>
  </si>
  <si>
    <t xml:space="preserve">Gloucestershire</t>
  </si>
  <si>
    <t xml:space="preserve">1800-09-16</t>
  </si>
  <si>
    <t xml:space="preserve">Earl of Berkeley: restraint in sending for soldiers "till... absolutely necessary"; cross-county correspondence rumoured.</t>
  </si>
  <si>
    <t xml:space="preserve">HO 42/51 ff.168-9</t>
  </si>
  <si>
    <t xml:space="preserve">Low</t>
  </si>
  <si>
    <t xml:space="preserve">Evidence of reluctance to request.</t>
  </si>
  <si>
    <t xml:space="preserve">L005</t>
  </si>
  <si>
    <t xml:space="preserve">Henley</t>
  </si>
  <si>
    <t xml:space="preserve">Anonymous threat leads to armed-association patrols.</t>
  </si>
  <si>
    <t xml:space="preserve">HO 42/49 f.393</t>
  </si>
  <si>
    <t xml:space="preserve">L006</t>
  </si>
  <si>
    <t xml:space="preserve">Hambledon &amp; Wickham</t>
  </si>
  <si>
    <t xml:space="preserve">1800-03</t>
  </si>
  <si>
    <t xml:space="preserve">Volunteers kept in constant readiness against grain-price disorder; Lt-Col Palmer seeks pay for nightly patrols; WO objects only to pay.</t>
  </si>
  <si>
    <t xml:space="preserve">HO 50/48 ff.153, 165, 209, 246</t>
  </si>
  <si>
    <t xml:space="preserve">Money for internal-order duty.</t>
  </si>
  <si>
    <t xml:space="preserve">L007</t>
  </si>
  <si>
    <t xml:space="preserve">Stony / Fenny Stratford</t>
  </si>
  <si>
    <t xml:space="preserve">Buckinghamshire</t>
  </si>
  <si>
    <t xml:space="preserve">1796-03-25</t>
  </si>
  <si>
    <t xml:space="preserve">Newport &amp; Buckingham Yeomanry in riot context.</t>
  </si>
  <si>
    <t xml:space="preserve">HO 50/330 (Nugent [Buckingham], 25 Mar 1796)</t>
  </si>
  <si>
    <t xml:space="preserve">Check whether this is a request or a report.</t>
  </si>
  <si>
    <t xml:space="preserve">L008</t>
  </si>
  <si>
    <t xml:space="preserve">Tavistock</t>
  </si>
  <si>
    <t xml:space="preserve">1801-03-14</t>
  </si>
  <si>
    <t xml:space="preserve">Riot-related correspondence.</t>
  </si>
  <si>
    <t xml:space="preserve">HO 50/49 (Bray to Dundas, 14 Mar 1801)</t>
  </si>
  <si>
    <t xml:space="preserve">L009</t>
  </si>
  <si>
    <t xml:space="preserve">c.1800-01</t>
  </si>
  <si>
    <t xml:space="preserve">Reliability enquiries on the corps; HO advises not to call it on active duty.</t>
  </si>
  <si>
    <t xml:space="preserve">HO 50/49</t>
  </si>
  <si>
    <t xml:space="preserve">A government response on corps reliability.</t>
  </si>
  <si>
    <t xml:space="preserve">L010</t>
  </si>
  <si>
    <t xml:space="preserve">Kettering &amp; Rothwell</t>
  </si>
  <si>
    <t xml:space="preserve">Northamptonshire</t>
  </si>
  <si>
    <t xml:space="preserve">1798-05-25</t>
  </si>
  <si>
    <t xml:space="preserve">Associations recommended to the Lord Lieutenant "entirely in terms of their usefulness against disturbances" after 1795 Kettering food riot.</t>
  </si>
  <si>
    <t xml:space="preserve">HO 50/42 (James Curry to Earl of Northampton)</t>
  </si>
  <si>
    <t xml:space="preserve">Key-quote candidate.</t>
  </si>
  <si>
    <t xml:space="preserve">L011</t>
  </si>
  <si>
    <t xml:space="preserve">Hampshire (county)</t>
  </si>
  <si>
    <t xml:space="preserve">1794-06-11</t>
  </si>
  <si>
    <t xml:space="preserve">Plan for a county-wide "Association for assisting the Civil Power" to suppress seditious tumults at magistrates' call.</t>
  </si>
  <si>
    <t xml:space="preserve">Hampshire RO 65 M 85/1</t>
  </si>
  <si>
    <t xml:space="preserve">Key-quote candidate. County record office, not TNA.</t>
  </si>
  <si>
    <t xml:space="preserve">L012</t>
  </si>
  <si>
    <t xml:space="preserve">Windsor</t>
  </si>
  <si>
    <t xml:space="preserve">Berkshire</t>
  </si>
  <si>
    <t xml:space="preserve">1803-08</t>
  </si>
  <si>
    <t xml:space="preserve">Magistrates, after repeated riots, request leave to levy an additional troop of fencible cavalry.</t>
  </si>
  <si>
    <t xml:space="preserve">Berkshire RO D/ERa O8/2 (5)</t>
  </si>
  <si>
    <t xml:space="preserve">1803 - outside 1790s window; confirm period with JV.</t>
  </si>
  <si>
    <t xml:space="preserve">L013</t>
  </si>
  <si>
    <t xml:space="preserve">Hampton Lucy</t>
  </si>
  <si>
    <t xml:space="preserve">1807-10-07</t>
  </si>
  <si>
    <t xml:space="preserve">Volunteers' unauthorised paid permanent duty allowed though "irregular".</t>
  </si>
  <si>
    <t xml:space="preserve">HO 51/86 (Hawkesbury to Warwick)</t>
  </si>
  <si>
    <t xml:space="preserve">1807 - outside window.</t>
  </si>
  <si>
    <t xml:space="preserve">L014</t>
  </si>
  <si>
    <t xml:space="preserve">National</t>
  </si>
  <si>
    <t xml:space="preserve">-</t>
  </si>
  <si>
    <t xml:space="preserve">1797-04</t>
  </si>
  <si>
    <t xml:space="preserve">Draft circular: volunteer/yeomanry COs to help magistrates apprehend persons in treasonable proceedings (June 1797 proclamation).</t>
  </si>
  <si>
    <t xml:space="preserve">HO 50/55</t>
  </si>
  <si>
    <t xml:space="preserve">Policy context.</t>
  </si>
  <si>
    <t xml:space="preserve">L015</t>
  </si>
  <si>
    <t xml:space="preserve">1798-03-05</t>
  </si>
  <si>
    <t xml:space="preserve">Dundas circulars proposing armed associations to relieve regulars in "the preservation of internal tranquillity and the maintenance of a proper police".</t>
  </si>
  <si>
    <t xml:space="preserve">Worcs RO BA 2868/4 705:73 (Dundas to Coventry, 5 Mar &amp; 6 Apr 1798)</t>
  </si>
  <si>
    <t xml:space="preserve">Key-quote candidate (government rationale).</t>
  </si>
  <si>
    <t xml:space="preserve">L016</t>
  </si>
  <si>
    <t xml:space="preserve">1794-08 to 1800-09</t>
  </si>
  <si>
    <t xml:space="preserve">London &amp; Westminster Light Horse Volunteers called out or on readiness at least 26 times, half in 1795; requests from Lord Mayor and police magistrates.</t>
  </si>
  <si>
    <t xml:space="preserve">PRO 30/3/2 (list of correspondence); PRO 30/3/25 (CO's reports) - Bosanquet Papers</t>
  </si>
  <si>
    <t xml:space="preserve">Best run of request + response in one place. Includes our log rows HO42-0014 and HO42-0017.</t>
  </si>
  <si>
    <t xml:space="preserve">L017</t>
  </si>
  <si>
    <t xml:space="preserve">1795-06-28</t>
  </si>
  <si>
    <t xml:space="preserve">HO directs Lord Mayor to request metropolitan corps before LCS meetings; HO requests LHV and St James's Association directly (1795-97).</t>
  </si>
  <si>
    <t xml:space="preserve">HO 65/1 (Portland to Lord Mayor 28 Jun 1795; King to Herries 24 Oct 1795; Portland to St James's Assoc. 28 Jul 1797)</t>
  </si>
  <si>
    <t xml:space="preserve">Requests initiated by HO, not by locality - code separately.</t>
  </si>
  <si>
    <t xml:space="preserve">L018</t>
  </si>
  <si>
    <t xml:space="preserve">England (food riots)</t>
  </si>
  <si>
    <t xml:space="preserve">1793-1801</t>
  </si>
  <si>
    <t xml:space="preserve">Wells tabulates 202 food disturbances with force used (volunteers 86, regulars 62, both 26).</t>
  </si>
  <si>
    <t xml:space="preserve">Wells, Wretched Faces, pp.419-440</t>
  </si>
  <si>
    <t xml:space="preserve">Candidate riot denominator. Get the table.</t>
  </si>
  <si>
    <t xml:space="preserve">L019</t>
  </si>
  <si>
    <t xml:space="preserve">1794-05-29</t>
  </si>
  <si>
    <t xml:space="preserve">F. Buller forwards letter from Mr Carter JP on "disturbances amongst the woolcombers", which "will not be confined to Tavistock".</t>
  </si>
  <si>
    <t xml:space="preserve">HO 42/30 f.324 (covering letter); enclosure not found at f.325</t>
  </si>
  <si>
    <t xml:space="preserve">HO 42 read 7 Oct 2026</t>
  </si>
  <si>
    <t xml:space="preserve">Partly</t>
  </si>
  <si>
    <t xml:space="preserve">Enclosure missing - may be a request; search nearby folios / HO 43/5 for reply c. 30 May 1794.</t>
  </si>
  <si>
    <t xml:space="preserve">HO 42 extraction log - legend &amp; conventions</t>
  </si>
  <si>
    <t xml:space="preserve">Purpose</t>
  </si>
  <si>
    <t xml:space="preserve">Log events in HO 42 (Home Office domestic correspondence) for the Voth/UBS project.</t>
  </si>
  <si>
    <t xml:space="preserve">Requests for troops are ~10x more important than granting decisions (per JV). Barracks: in scope. Corps founded/armed (esp. 'to suppress Insurrections'): key quotes.</t>
  </si>
  <si>
    <t xml:space="preserve">Responses</t>
  </si>
  <si>
    <t xml:space="preserve">HO 43 (Home Secretary's replies) is NOT digitised and not in these PDFs; response columns (K-O) are blank unless a docket/endorsement appears in HO 42 itself. Treat as descriptive background only.</t>
  </si>
  <si>
    <t xml:space="preserve">Geography</t>
  </si>
  <si>
    <t xml:space="preserve">England only. Wales and Scotland are out of scope (per JV) - do not log.</t>
  </si>
  <si>
    <t xml:space="preserve">Event type (controlled vocabulary)</t>
  </si>
  <si>
    <t xml:space="preserve">Civil magistrate/corporation asks government for regular troops, militia or military aid against disturbance/insurrection.</t>
  </si>
  <si>
    <t xml:space="preserve">A new volunteer/militia/armed-association corps raised (offer, resolutions, or King's approbation).</t>
  </si>
  <si>
    <t xml:space="preserve">Existing corps seeking or granted more men, arms, field pieces or funding.</t>
  </si>
  <si>
    <t xml:space="preserve">Request to build or site barracks (often riot/internal-order driven).</t>
  </si>
  <si>
    <t xml:space="preserve">Mentions that associations/corps are being raised, without a discrete offer document.</t>
  </si>
  <si>
    <t xml:space="preserve">Column groups</t>
  </si>
  <si>
    <t xml:space="preserve">ID / triage (grey)</t>
  </si>
  <si>
    <t xml:space="preserve">Row ID, Episode ID, Event type, Key quote?</t>
  </si>
  <si>
    <t xml:space="preserve">Source (blue)</t>
  </si>
  <si>
    <t xml:space="preserve">Call number, File, PDF page, Folio, Folio basis, Link, Image status</t>
  </si>
  <si>
    <t xml:space="preserve">Text (yellow)</t>
  </si>
  <si>
    <t xml:space="preserve">Transcription status, key quote</t>
  </si>
  <si>
    <t xml:space="preserve">Where / when (green)</t>
  </si>
  <si>
    <t xml:space="preserve">Dates, place, county (England only)</t>
  </si>
  <si>
    <t xml:space="preserve">Who (orange)</t>
  </si>
  <si>
    <t xml:space="preserve">Writer, role, addressee, Home Secretary in office</t>
  </si>
  <si>
    <t xml:space="preserve">Request detail (red)</t>
  </si>
  <si>
    <t xml:space="preserve">Fill for requests and barracks rows: disturbance, request kind, civil power inadequate, force requested, military nearby</t>
  </si>
  <si>
    <t xml:space="preserve">Response (grey)</t>
  </si>
  <si>
    <t xml:space="preserve">HO 43 / dockets - background only</t>
  </si>
  <si>
    <t xml:space="preserve">Column notes</t>
  </si>
  <si>
    <t xml:space="preserve">Hover over any header in Events for its definition. Dropdown values live on the Lookups sheet; add new values there.</t>
  </si>
  <si>
    <t xml:space="preserve">Folio vs PDF page</t>
  </si>
  <si>
    <t xml:space="preserve">TNA HO 42 PDFs were made from microfilm before a later re-foliation. Record the stamped folio AND the PDF page; set Folio basis. Existing rows marked "Unclear - check".</t>
  </si>
  <si>
    <t xml:space="preserve">Dates</t>
  </si>
  <si>
    <t xml:space="preserve">Date (ISO) is typed as text YYYY-MM-DD - Excel cannot hold pre-1900 dates. Year and Home Secretary are formulas off it.</t>
  </si>
  <si>
    <t xml:space="preserve">Episodes</t>
  </si>
  <si>
    <t xml:space="preserve">One episode = one incident. Several letters about the same riot share an Episode ID. The regression unit is likely the episode, not the letter.</t>
  </si>
  <si>
    <t xml:space="preserve">Auto-filled fields</t>
  </si>
  <si>
    <t xml:space="preserve">Episode, county, role, disturbance, request kind, civil power, force, military nearby were filled from the existing quotes and notes on 7 Oct 2026 - verify against the letters. Uncertain cases flagged "CHECK:" in Notes.</t>
  </si>
  <si>
    <t xml:space="preserve">Coverage of this draft</t>
  </si>
  <si>
    <t xml:space="preserve">Fully read -&gt; rows derived</t>
  </si>
  <si>
    <t xml:space="preserve">HO 42/16 (01-05); HO 42/34 (01-05); HO 42/30_01; HO 42/33 (01-03) - read folio-by-folio.</t>
  </si>
  <si>
    <t xml:space="preserve">Gap files - status (7 Oct 2026)</t>
  </si>
  <si>
    <t xml:space="preserve">HO 42/30_02-05: now read in full (30_03 ff.156-184; 30_04 ff.204-261; 30_05 ff.280-334 completed this session). New rows: HO42-0018 Birmingham cavalry (30_04 ff.225-7), HO42-0019 Doncaster internal defence (30_05 f.333). Out of scope noted: Kirkwall barracks petition (30_03 ff.160-4, Scotland), Wrexham riot note (30_04 f.226, Wales), Dumfries (30_05 f.323, Scotland). HO 42/33_04 (ff.234-295) and 33_05 (ff.369-376) still unread - files not yet received.</t>
  </si>
  <si>
    <t xml:space="preserve">Leads sheet</t>
  </si>
  <si>
    <t xml:space="preserve">Events cited by secondary works (Gee, Bend) but NOT yet seen in the original. Move a lead to Events only after reading the document; then set Verified = Y here.</t>
  </si>
  <si>
    <t xml:space="preserve">Home Sec from (ISO)</t>
  </si>
  <si>
    <t xml:space="preserve">Home Secretary</t>
  </si>
  <si>
    <t xml:space="preserve">1789-06-05</t>
  </si>
  <si>
    <t xml:space="preserve">Grenville</t>
  </si>
  <si>
    <t xml:space="preserve">1791-06-08</t>
  </si>
  <si>
    <t xml:space="preserve">Dundas</t>
  </si>
  <si>
    <t xml:space="preserve">PDF page</t>
  </si>
  <si>
    <t xml:space="preserve">Own photo taken</t>
  </si>
  <si>
    <t xml:space="preserve">Denied</t>
  </si>
  <si>
    <t xml:space="preserve">HO 43</t>
  </si>
  <si>
    <t xml:space="preserve">1794-07-11</t>
  </si>
  <si>
    <t xml:space="preserve">Portland</t>
  </si>
  <si>
    <t xml:space="preserve">Needs photo</t>
  </si>
  <si>
    <t xml:space="preserve">Full transcription</t>
  </si>
  <si>
    <t xml:space="preserve">Lord Lieutenant</t>
  </si>
  <si>
    <t xml:space="preserve">Partly approved</t>
  </si>
  <si>
    <t xml:space="preserve">1801-07-30</t>
  </si>
  <si>
    <t xml:space="preserve">Pelham</t>
  </si>
  <si>
    <t xml:space="preserve">Machine (VLM) draft</t>
  </si>
  <si>
    <t xml:space="preserve">None found</t>
  </si>
  <si>
    <t xml:space="preserve">1803-08-17</t>
  </si>
  <si>
    <t xml:space="preserve">C. Yorke</t>
  </si>
  <si>
    <t xml:space="preserve">VLM checked</t>
  </si>
  <si>
    <t xml:space="preserve">1804-05-12</t>
  </si>
  <si>
    <t xml:space="preserve">Hawkesbury</t>
  </si>
  <si>
    <t xml:space="preserve">Unknown</t>
  </si>
  <si>
    <t xml:space="preserve">1806-02-05</t>
  </si>
  <si>
    <t xml:space="preserve">Spencer</t>
  </si>
  <si>
    <t xml:space="preserve">Militia ballot</t>
  </si>
  <si>
    <t xml:space="preserve">1807-03-25</t>
  </si>
  <si>
    <t xml:space="preserve">1809-11-01</t>
  </si>
  <si>
    <t xml:space="preserve">Ryder</t>
  </si>
  <si>
    <t xml:space="preserve">1812-06-11</t>
  </si>
  <si>
    <t xml:space="preserve">Sidmouth</t>
  </si>
  <si>
    <t xml:space="preserve">1822-01-17</t>
  </si>
  <si>
    <t xml:space="preserve">Peel</t>
  </si>
  <si>
    <t xml:space="preserve">Source: standard lists of Secretaries of State for the Home Department (start of term). Context column only.</t>
  </si>
</sst>
</file>

<file path=xl/styles.xml><?xml version="1.0" encoding="utf-8"?>
<styleSheet xmlns="http://schemas.openxmlformats.org/spreadsheetml/2006/main">
  <numFmts count="2">
    <numFmt numFmtId="164" formatCode="General"/>
    <numFmt numFmtId="165" formatCode="@"/>
  </numFmts>
  <fonts count="9">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b val="true"/>
      <sz val="10"/>
      <name val="Arial"/>
      <family val="0"/>
      <charset val="1"/>
    </font>
    <font>
      <sz val="10"/>
      <name val="Arial"/>
      <family val="0"/>
      <charset val="1"/>
    </font>
    <font>
      <b val="true"/>
      <sz val="10"/>
      <color rgb="FFFFFFFF"/>
      <name val="Arial"/>
      <family val="0"/>
      <charset val="1"/>
    </font>
    <font>
      <sz val="10"/>
      <name val="Arial"/>
      <family val="2"/>
    </font>
  </fonts>
  <fills count="7">
    <fill>
      <patternFill patternType="none"/>
    </fill>
    <fill>
      <patternFill patternType="gray125"/>
    </fill>
    <fill>
      <patternFill patternType="solid">
        <fgColor rgb="FF1F3864"/>
        <bgColor rgb="FF333333"/>
      </patternFill>
    </fill>
    <fill>
      <patternFill patternType="solid">
        <fgColor rgb="FFFCE4D6"/>
        <bgColor rgb="FFF2F2F2"/>
      </patternFill>
    </fill>
    <fill>
      <patternFill patternType="solid">
        <fgColor rgb="FFE2EFDA"/>
        <bgColor rgb="FFDDEBF7"/>
      </patternFill>
    </fill>
    <fill>
      <patternFill patternType="solid">
        <fgColor rgb="FFDDEBF7"/>
        <bgColor rgb="FFE2EFDA"/>
      </patternFill>
    </fill>
    <fill>
      <patternFill patternType="solid">
        <fgColor rgb="FFF2F2F2"/>
        <bgColor rgb="FFE2EFDA"/>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6" fillId="5" borderId="1" xfId="0" applyFont="true" applyBorder="true" applyAlignment="true" applyProtection="false">
      <alignment horizontal="general" vertical="top" textRotation="0" wrapText="true" indent="0" shrinkToFit="false"/>
      <protection locked="true" hidden="false"/>
    </xf>
    <xf numFmtId="164" fontId="6" fillId="6" borderId="1" xfId="0" applyFont="true" applyBorder="true" applyAlignment="true" applyProtection="false">
      <alignment horizontal="general" vertical="top" textRotation="0" wrapText="tru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5" fontId="6"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F2F2F2"/>
          <bgColor rgb="FF000000"/>
        </patternFill>
      </fill>
    </dxf>
    <dxf>
      <fill>
        <patternFill patternType="solid">
          <fgColor rgb="FFFCE4D6"/>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2" min="2" style="1" width="10"/>
    <col collapsed="false" customWidth="true" hidden="false" outlineLevel="0" max="3" min="3" style="1" width="22"/>
  </cols>
  <sheetData>
    <row r="1" customFormat="false" ht="15" hidden="false" customHeight="true" outlineLevel="0" collapsed="false">
      <c r="A1" s="2" t="s">
        <v>0</v>
      </c>
    </row>
    <row r="3" customFormat="false" ht="15" hidden="false" customHeight="true" outlineLevel="0" collapsed="false">
      <c r="A3" s="3" t="s">
        <v>1</v>
      </c>
    </row>
    <row r="4" customFormat="false" ht="15" hidden="false" customHeight="true" outlineLevel="0" collapsed="false">
      <c r="A4" s="3" t="s">
        <v>2</v>
      </c>
      <c r="B4" s="3" t="s">
        <v>3</v>
      </c>
    </row>
    <row r="5" customFormat="false" ht="15" hidden="false" customHeight="true" outlineLevel="0" collapsed="false">
      <c r="A5" s="4" t="s">
        <v>4</v>
      </c>
      <c r="B5" s="4" t="n">
        <f aca="false">COUNTIF(Events!$C$2:$C$1000,A5)</f>
        <v>7</v>
      </c>
    </row>
    <row r="6" customFormat="false" ht="15" hidden="false" customHeight="true" outlineLevel="0" collapsed="false">
      <c r="A6" s="4" t="s">
        <v>5</v>
      </c>
      <c r="B6" s="4" t="n">
        <f aca="false">COUNTIF(Events!$C$2:$C$1000,A6)</f>
        <v>4</v>
      </c>
    </row>
    <row r="7" customFormat="false" ht="15" hidden="false" customHeight="true" outlineLevel="0" collapsed="false">
      <c r="A7" s="4" t="s">
        <v>6</v>
      </c>
      <c r="B7" s="4" t="n">
        <f aca="false">COUNTIF(Events!$C$2:$C$1000,A7)</f>
        <v>5</v>
      </c>
    </row>
    <row r="8" customFormat="false" ht="15" hidden="false" customHeight="true" outlineLevel="0" collapsed="false">
      <c r="A8" s="4" t="s">
        <v>7</v>
      </c>
      <c r="B8" s="4" t="n">
        <f aca="false">COUNTIF(Events!$C$2:$C$1000,A8)</f>
        <v>2</v>
      </c>
    </row>
    <row r="9" customFormat="false" ht="15" hidden="false" customHeight="true" outlineLevel="0" collapsed="false">
      <c r="A9" s="4" t="s">
        <v>8</v>
      </c>
      <c r="B9" s="4" t="n">
        <f aca="false">COUNTIF(Events!$C$2:$C$1000,A9)</f>
        <v>1</v>
      </c>
    </row>
    <row r="10" customFormat="false" ht="15" hidden="false" customHeight="true" outlineLevel="0" collapsed="false">
      <c r="A10" s="4" t="s">
        <v>9</v>
      </c>
      <c r="B10" s="4" t="n">
        <f aca="false">COUNTIF(Events!$C$2:$C$1000,A10)</f>
        <v>0</v>
      </c>
    </row>
    <row r="11" customFormat="false" ht="15" hidden="false" customHeight="true" outlineLevel="0" collapsed="false">
      <c r="A11" s="3" t="s">
        <v>10</v>
      </c>
      <c r="B11" s="3" t="n">
        <f aca="false">SUM(B5:B10)</f>
        <v>19</v>
      </c>
    </row>
    <row r="13" customFormat="false" ht="15" hidden="false" customHeight="true" outlineLevel="0" collapsed="false">
      <c r="A13" s="3" t="s">
        <v>11</v>
      </c>
    </row>
    <row r="14" customFormat="false" ht="15" hidden="false" customHeight="true" outlineLevel="0" collapsed="false">
      <c r="A14" s="3" t="s">
        <v>12</v>
      </c>
      <c r="B14" s="3" t="s">
        <v>3</v>
      </c>
    </row>
    <row r="15" customFormat="false" ht="15" hidden="false" customHeight="true" outlineLevel="0" collapsed="false">
      <c r="A15" s="4" t="s">
        <v>13</v>
      </c>
      <c r="B15" s="4" t="n">
        <f aca="false">COUNTIFS(Events!$C$2:$C$1000,"Request for troops",Events!$Y$2:$Y$1000,A15)</f>
        <v>2</v>
      </c>
    </row>
    <row r="16" customFormat="false" ht="15" hidden="false" customHeight="true" outlineLevel="0" collapsed="false">
      <c r="A16" s="4" t="s">
        <v>14</v>
      </c>
      <c r="B16" s="4" t="n">
        <f aca="false">COUNTIFS(Events!$C$2:$C$1000,"Request for troops",Events!$Y$2:$Y$1000,A16)</f>
        <v>3</v>
      </c>
    </row>
    <row r="17" customFormat="false" ht="15" hidden="false" customHeight="true" outlineLevel="0" collapsed="false">
      <c r="A17" s="4" t="s">
        <v>15</v>
      </c>
      <c r="B17" s="4" t="n">
        <f aca="false">COUNTIFS(Events!$C$2:$C$1000,"Request for troops",Events!$Y$2:$Y$1000,A17)</f>
        <v>1</v>
      </c>
    </row>
    <row r="18" customFormat="false" ht="15" hidden="false" customHeight="true" outlineLevel="0" collapsed="false">
      <c r="A18" s="4" t="s">
        <v>16</v>
      </c>
      <c r="B18" s="4" t="n">
        <f aca="false">COUNTIFS(Events!$C$2:$C$1000,"Request for troops",Events!$Y$2:$Y$1000,A18)</f>
        <v>1</v>
      </c>
    </row>
    <row r="19" customFormat="false" ht="15" hidden="false" customHeight="true" outlineLevel="0" collapsed="false">
      <c r="A19" s="3" t="s">
        <v>10</v>
      </c>
      <c r="B19" s="3" t="n">
        <f aca="false">SUM(B15:B18)</f>
        <v>7</v>
      </c>
    </row>
    <row r="21" customFormat="false" ht="15" hidden="false" customHeight="true" outlineLevel="0" collapsed="false">
      <c r="A21" s="3" t="s">
        <v>17</v>
      </c>
    </row>
    <row r="22" customFormat="false" ht="15" hidden="false" customHeight="true" outlineLevel="0" collapsed="false">
      <c r="A22" s="3" t="s">
        <v>18</v>
      </c>
      <c r="B22" s="3" t="s">
        <v>3</v>
      </c>
    </row>
    <row r="23" customFormat="false" ht="15" hidden="false" customHeight="true" outlineLevel="0" collapsed="false">
      <c r="A23" s="4" t="n">
        <v>1789</v>
      </c>
      <c r="B23" s="4" t="n">
        <f aca="false">COUNTIF(Events!$P$2:$P$1000,A23)</f>
        <v>0</v>
      </c>
    </row>
    <row r="24" customFormat="false" ht="15" hidden="false" customHeight="true" outlineLevel="0" collapsed="false">
      <c r="A24" s="4" t="n">
        <v>1790</v>
      </c>
      <c r="B24" s="4" t="n">
        <f aca="false">COUNTIF(Events!$P$2:$P$1000,A24)</f>
        <v>2</v>
      </c>
    </row>
    <row r="25" customFormat="false" ht="15" hidden="false" customHeight="true" outlineLevel="0" collapsed="false">
      <c r="A25" s="4" t="n">
        <v>1791</v>
      </c>
      <c r="B25" s="4" t="n">
        <f aca="false">COUNTIF(Events!$P$2:$P$1000,A25)</f>
        <v>0</v>
      </c>
    </row>
    <row r="26" customFormat="false" ht="15" hidden="false" customHeight="true" outlineLevel="0" collapsed="false">
      <c r="A26" s="4" t="n">
        <v>1792</v>
      </c>
      <c r="B26" s="4" t="n">
        <f aca="false">COUNTIF(Events!$P$2:$P$1000,A26)</f>
        <v>0</v>
      </c>
    </row>
    <row r="27" customFormat="false" ht="15" hidden="false" customHeight="true" outlineLevel="0" collapsed="false">
      <c r="A27" s="4" t="n">
        <v>1793</v>
      </c>
      <c r="B27" s="4" t="n">
        <f aca="false">COUNTIF(Events!$P$2:$P$1000,A27)</f>
        <v>0</v>
      </c>
    </row>
    <row r="28" customFormat="false" ht="15" hidden="false" customHeight="true" outlineLevel="0" collapsed="false">
      <c r="A28" s="4" t="n">
        <v>1794</v>
      </c>
      <c r="B28" s="4" t="n">
        <f aca="false">COUNTIF(Events!$P$2:$P$1000,A28)</f>
        <v>10</v>
      </c>
    </row>
    <row r="29" customFormat="false" ht="15" hidden="false" customHeight="true" outlineLevel="0" collapsed="false">
      <c r="A29" s="4" t="n">
        <v>1795</v>
      </c>
      <c r="B29" s="4" t="n">
        <f aca="false">COUNTIF(Events!$P$2:$P$1000,A29)</f>
        <v>7</v>
      </c>
    </row>
    <row r="30" customFormat="false" ht="15" hidden="false" customHeight="true" outlineLevel="0" collapsed="false">
      <c r="A30" s="4" t="n">
        <v>1796</v>
      </c>
      <c r="B30" s="4" t="n">
        <f aca="false">COUNTIF(Events!$P$2:$P$1000,A30)</f>
        <v>0</v>
      </c>
    </row>
    <row r="31" customFormat="false" ht="15" hidden="false" customHeight="true" outlineLevel="0" collapsed="false">
      <c r="A31" s="4" t="n">
        <v>1797</v>
      </c>
      <c r="B31" s="4" t="n">
        <f aca="false">COUNTIF(Events!$P$2:$P$1000,A31)</f>
        <v>0</v>
      </c>
    </row>
    <row r="32" customFormat="false" ht="15" hidden="false" customHeight="true" outlineLevel="0" collapsed="false">
      <c r="A32" s="4" t="n">
        <v>1798</v>
      </c>
      <c r="B32" s="4" t="n">
        <f aca="false">COUNTIF(Events!$P$2:$P$1000,A32)</f>
        <v>0</v>
      </c>
    </row>
    <row r="33" customFormat="false" ht="15" hidden="false" customHeight="true" outlineLevel="0" collapsed="false">
      <c r="A33" s="4" t="n">
        <v>1799</v>
      </c>
      <c r="B33" s="4" t="n">
        <f aca="false">COUNTIF(Events!$P$2:$P$1000,A33)</f>
        <v>0</v>
      </c>
    </row>
    <row r="34" customFormat="false" ht="15" hidden="false" customHeight="true" outlineLevel="0" collapsed="false">
      <c r="A34" s="4" t="n">
        <v>1800</v>
      </c>
      <c r="B34" s="4" t="n">
        <f aca="false">COUNTIF(Events!$P$2:$P$1000,A34)</f>
        <v>0</v>
      </c>
    </row>
    <row r="35" customFormat="false" ht="15" hidden="false" customHeight="true" outlineLevel="0" collapsed="false">
      <c r="A35" s="4" t="n">
        <v>1801</v>
      </c>
      <c r="B35" s="4" t="n">
        <f aca="false">COUNTIF(Events!$P$2:$P$1000,A35)</f>
        <v>0</v>
      </c>
    </row>
    <row r="36" customFormat="false" ht="15" hidden="false" customHeight="true" outlineLevel="0" collapsed="false">
      <c r="A36" s="3" t="s">
        <v>10</v>
      </c>
      <c r="B36" s="3" t="n">
        <f aca="false">SUM(B23:B35)</f>
        <v>19</v>
      </c>
    </row>
    <row r="38" customFormat="false" ht="15" hidden="false" customHeight="true" outlineLevel="0" collapsed="false">
      <c r="A38" s="3" t="s">
        <v>19</v>
      </c>
      <c r="B38" s="4" t="n">
        <f aca="false">SUMPRODUCT((Events!$B$2:$B$1000&lt;&gt;"")/COUNTIF(Events!$B$2:$B$1000,Events!$B$2:$B$1000&amp;""))</f>
        <v>15</v>
      </c>
    </row>
    <row r="39" customFormat="false" ht="15" hidden="false" customHeight="true" outlineLevel="0" collapsed="false">
      <c r="A39" s="3" t="s">
        <v>20</v>
      </c>
      <c r="B39" s="4" t="n">
        <f aca="false">COUNTIF(Events!$I$2:$I$1000,"Unclear - check")</f>
        <v>17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1" width="9"/>
    <col collapsed="false" customWidth="true" hidden="false" outlineLevel="0" max="3" min="3" style="1" width="20"/>
    <col collapsed="false" customWidth="true" hidden="false" outlineLevel="0" max="4" min="4" style="1" width="9"/>
    <col collapsed="false" customWidth="true" hidden="false" outlineLevel="0" max="5" min="5" style="1" width="11"/>
    <col collapsed="false" customWidth="true" hidden="false" outlineLevel="0" max="6" min="6" style="1" width="18"/>
    <col collapsed="false" customWidth="true" hidden="false" outlineLevel="0" max="7" min="7" style="1" width="9"/>
    <col collapsed="false" customWidth="true" hidden="false" outlineLevel="0" max="8" min="8" style="1" width="16"/>
    <col collapsed="false" customWidth="true" hidden="false" outlineLevel="0" max="9" min="9" style="1" width="13"/>
    <col collapsed="false" customWidth="true" hidden="false" outlineLevel="0" max="10" min="10" style="1" width="16"/>
    <col collapsed="false" customWidth="true" hidden="false" outlineLevel="0" max="12" min="11" style="1" width="15"/>
    <col collapsed="false" customWidth="true" hidden="false" outlineLevel="0" max="13" min="13" style="1" width="55"/>
    <col collapsed="false" customWidth="true" hidden="false" outlineLevel="0" max="14" min="14" style="1" width="15"/>
    <col collapsed="false" customWidth="true" hidden="false" outlineLevel="0" max="15" min="15" style="1" width="11"/>
    <col collapsed="false" customWidth="true" hidden="false" outlineLevel="0" max="16" min="16" style="1" width="6"/>
    <col collapsed="false" customWidth="true" hidden="false" outlineLevel="0" max="17" min="17" style="1" width="22"/>
    <col collapsed="false" customWidth="true" hidden="false" outlineLevel="0" max="18" min="18" style="1" width="16"/>
    <col collapsed="false" customWidth="true" hidden="false" outlineLevel="0" max="19" min="19" style="1" width="15"/>
    <col collapsed="false" customWidth="true" hidden="false" outlineLevel="0" max="20" min="20" style="1" width="26"/>
    <col collapsed="false" customWidth="true" hidden="false" outlineLevel="0" max="21" min="21" style="1" width="17"/>
    <col collapsed="false" customWidth="true" hidden="false" outlineLevel="0" max="22" min="22" style="1" width="18"/>
    <col collapsed="false" customWidth="true" hidden="false" outlineLevel="0" max="23" min="23" style="1" width="12"/>
    <col collapsed="false" customWidth="true" hidden="false" outlineLevel="0" max="24" min="24" style="1" width="17"/>
    <col collapsed="false" customWidth="true" hidden="false" outlineLevel="0" max="25" min="25" style="1" width="15"/>
    <col collapsed="false" customWidth="true" hidden="false" outlineLevel="0" max="26" min="26" style="1" width="11"/>
    <col collapsed="false" customWidth="true" hidden="false" outlineLevel="0" max="27" min="27" style="1" width="24"/>
    <col collapsed="false" customWidth="true" hidden="false" outlineLevel="0" max="28" min="28" style="1" width="13"/>
    <col collapsed="false" customWidth="true" hidden="false" outlineLevel="0" max="29" min="29" style="1" width="36"/>
    <col collapsed="false" customWidth="true" hidden="false" outlineLevel="0" max="31" min="30" style="1" width="13"/>
    <col collapsed="false" customWidth="true" hidden="false" outlineLevel="0" max="32" min="32" style="1" width="14"/>
    <col collapsed="false" customWidth="true" hidden="false" outlineLevel="0" max="33" min="33" style="1" width="16"/>
    <col collapsed="false" customWidth="true" hidden="false" outlineLevel="0" max="34" min="34" style="1" width="14"/>
    <col collapsed="false" customWidth="true" hidden="false" outlineLevel="0" max="35" min="35" style="1" width="45"/>
  </cols>
  <sheetData>
    <row r="1" customFormat="false" ht="42" hidden="false" customHeight="true" outlineLevel="0" collapsed="false">
      <c r="A1" s="5" t="s">
        <v>21</v>
      </c>
      <c r="B1" s="5" t="s">
        <v>22</v>
      </c>
      <c r="C1" s="5" t="s">
        <v>2</v>
      </c>
      <c r="D1" s="5" t="s">
        <v>23</v>
      </c>
      <c r="E1" s="5" t="s">
        <v>24</v>
      </c>
      <c r="F1" s="5" t="s">
        <v>25</v>
      </c>
      <c r="G1" s="5" t="s">
        <v>26</v>
      </c>
      <c r="H1" s="5" t="s">
        <v>27</v>
      </c>
      <c r="I1" s="5" t="s">
        <v>28</v>
      </c>
      <c r="J1" s="5" t="s">
        <v>29</v>
      </c>
      <c r="K1" s="5" t="s">
        <v>30</v>
      </c>
      <c r="L1" s="5" t="s">
        <v>31</v>
      </c>
      <c r="M1" s="5" t="s">
        <v>32</v>
      </c>
      <c r="N1" s="5" t="s">
        <v>33</v>
      </c>
      <c r="O1" s="5" t="s">
        <v>34</v>
      </c>
      <c r="P1" s="5" t="s">
        <v>18</v>
      </c>
      <c r="Q1" s="5" t="s">
        <v>35</v>
      </c>
      <c r="R1" s="5" t="s">
        <v>36</v>
      </c>
      <c r="S1" s="5" t="s">
        <v>37</v>
      </c>
      <c r="T1" s="5" t="s">
        <v>38</v>
      </c>
      <c r="U1" s="5" t="s">
        <v>39</v>
      </c>
      <c r="V1" s="5" t="s">
        <v>40</v>
      </c>
      <c r="W1" s="5" t="s">
        <v>41</v>
      </c>
      <c r="X1" s="5" t="s">
        <v>42</v>
      </c>
      <c r="Y1" s="5" t="s">
        <v>12</v>
      </c>
      <c r="Z1" s="5" t="s">
        <v>43</v>
      </c>
      <c r="AA1" s="5" t="s">
        <v>44</v>
      </c>
      <c r="AB1" s="5" t="s">
        <v>45</v>
      </c>
      <c r="AC1" s="5" t="s">
        <v>46</v>
      </c>
      <c r="AD1" s="5" t="s">
        <v>47</v>
      </c>
      <c r="AE1" s="5" t="s">
        <v>48</v>
      </c>
      <c r="AF1" s="5" t="s">
        <v>49</v>
      </c>
      <c r="AG1" s="5" t="s">
        <v>50</v>
      </c>
      <c r="AH1" s="5" t="s">
        <v>51</v>
      </c>
      <c r="AI1" s="5" t="s">
        <v>52</v>
      </c>
    </row>
    <row r="2" customFormat="false" ht="45.75" hidden="false" customHeight="true" outlineLevel="0" collapsed="false">
      <c r="A2" s="6" t="s">
        <v>53</v>
      </c>
      <c r="B2" s="6" t="s">
        <v>54</v>
      </c>
      <c r="C2" s="7" t="s">
        <v>4</v>
      </c>
      <c r="D2" s="6" t="s">
        <v>55</v>
      </c>
      <c r="E2" s="6" t="s">
        <v>56</v>
      </c>
      <c r="F2" s="6" t="s">
        <v>57</v>
      </c>
      <c r="G2" s="6"/>
      <c r="H2" s="6" t="s">
        <v>58</v>
      </c>
      <c r="I2" s="6" t="s">
        <v>59</v>
      </c>
      <c r="J2" s="6"/>
      <c r="K2" s="6" t="s">
        <v>60</v>
      </c>
      <c r="L2" s="6" t="s">
        <v>61</v>
      </c>
      <c r="M2" s="6" t="s">
        <v>62</v>
      </c>
      <c r="N2" s="6" t="s">
        <v>63</v>
      </c>
      <c r="O2" s="8" t="s">
        <v>64</v>
      </c>
      <c r="P2" s="6" t="n">
        <f aca="false">IF(O2="","",VALUE(LEFT(O2,4)))</f>
        <v>1790</v>
      </c>
      <c r="Q2" s="6" t="s">
        <v>65</v>
      </c>
      <c r="R2" s="6" t="s">
        <v>66</v>
      </c>
      <c r="S2" s="6" t="s">
        <v>67</v>
      </c>
      <c r="T2" s="6" t="s">
        <v>68</v>
      </c>
      <c r="U2" s="6" t="s">
        <v>69</v>
      </c>
      <c r="V2" s="6"/>
      <c r="W2" s="6" t="str">
        <f aca="false">IF(O2="","",INDEX(Lookups!$B$2:$B$20,MATCH(O2,Lookups!$A$2:$A$20,1)))</f>
        <v>Grenville</v>
      </c>
      <c r="X2" s="6" t="s">
        <v>70</v>
      </c>
      <c r="Y2" s="6" t="s">
        <v>15</v>
      </c>
      <c r="Z2" s="6" t="s">
        <v>55</v>
      </c>
      <c r="AA2" s="6" t="s">
        <v>71</v>
      </c>
      <c r="AB2" s="6" t="s">
        <v>72</v>
      </c>
      <c r="AC2" s="6"/>
      <c r="AD2" s="6" t="s">
        <v>73</v>
      </c>
      <c r="AE2" s="6"/>
      <c r="AF2" s="6"/>
      <c r="AG2" s="6"/>
      <c r="AH2" s="6"/>
      <c r="AI2" s="6" t="s">
        <v>74</v>
      </c>
    </row>
    <row r="3" customFormat="false" ht="57" hidden="false" customHeight="true" outlineLevel="0" collapsed="false">
      <c r="A3" s="6" t="s">
        <v>75</v>
      </c>
      <c r="B3" s="6" t="s">
        <v>76</v>
      </c>
      <c r="C3" s="7" t="s">
        <v>4</v>
      </c>
      <c r="D3" s="6" t="s">
        <v>55</v>
      </c>
      <c r="E3" s="6" t="s">
        <v>56</v>
      </c>
      <c r="F3" s="6" t="s">
        <v>77</v>
      </c>
      <c r="G3" s="6"/>
      <c r="H3" s="6" t="s">
        <v>78</v>
      </c>
      <c r="I3" s="6" t="s">
        <v>59</v>
      </c>
      <c r="J3" s="6"/>
      <c r="K3" s="6" t="s">
        <v>60</v>
      </c>
      <c r="L3" s="6" t="s">
        <v>61</v>
      </c>
      <c r="M3" s="6" t="s">
        <v>79</v>
      </c>
      <c r="N3" s="6" t="s">
        <v>80</v>
      </c>
      <c r="O3" s="8" t="s">
        <v>81</v>
      </c>
      <c r="P3" s="6" t="n">
        <f aca="false">IF(O3="","",VALUE(LEFT(O3,4)))</f>
        <v>1790</v>
      </c>
      <c r="Q3" s="6" t="s">
        <v>82</v>
      </c>
      <c r="R3" s="6" t="s">
        <v>82</v>
      </c>
      <c r="S3" s="6" t="s">
        <v>83</v>
      </c>
      <c r="T3" s="6" t="s">
        <v>84</v>
      </c>
      <c r="U3" s="6" t="s">
        <v>85</v>
      </c>
      <c r="V3" s="6" t="s">
        <v>86</v>
      </c>
      <c r="W3" s="6" t="str">
        <f aca="false">IF(O3="","",INDEX(Lookups!$B$2:$B$20,MATCH(O3,Lookups!$A$2:$A$20,1)))</f>
        <v>Grenville</v>
      </c>
      <c r="X3" s="6" t="s">
        <v>87</v>
      </c>
      <c r="Y3" s="6" t="s">
        <v>14</v>
      </c>
      <c r="Z3" s="6" t="s">
        <v>88</v>
      </c>
      <c r="AA3" s="6" t="s">
        <v>89</v>
      </c>
      <c r="AB3" s="6" t="s">
        <v>72</v>
      </c>
      <c r="AC3" s="6"/>
      <c r="AD3" s="6" t="s">
        <v>90</v>
      </c>
      <c r="AE3" s="6"/>
      <c r="AF3" s="6"/>
      <c r="AG3" s="6"/>
      <c r="AH3" s="6"/>
      <c r="AI3" s="6" t="s">
        <v>91</v>
      </c>
    </row>
    <row r="4" customFormat="false" ht="57" hidden="false" customHeight="true" outlineLevel="0" collapsed="false">
      <c r="A4" s="6" t="s">
        <v>92</v>
      </c>
      <c r="B4" s="6" t="s">
        <v>93</v>
      </c>
      <c r="C4" s="7" t="s">
        <v>4</v>
      </c>
      <c r="D4" s="6" t="s">
        <v>55</v>
      </c>
      <c r="E4" s="6" t="s">
        <v>94</v>
      </c>
      <c r="F4" s="6" t="s">
        <v>95</v>
      </c>
      <c r="G4" s="6"/>
      <c r="H4" s="6" t="s">
        <v>96</v>
      </c>
      <c r="I4" s="6" t="s">
        <v>59</v>
      </c>
      <c r="J4" s="6"/>
      <c r="K4" s="6" t="s">
        <v>60</v>
      </c>
      <c r="L4" s="6" t="s">
        <v>61</v>
      </c>
      <c r="M4" s="6" t="s">
        <v>97</v>
      </c>
      <c r="N4" s="6" t="s">
        <v>98</v>
      </c>
      <c r="O4" s="8" t="s">
        <v>99</v>
      </c>
      <c r="P4" s="6" t="n">
        <f aca="false">IF(O4="","",VALUE(LEFT(O4,4)))</f>
        <v>1795</v>
      </c>
      <c r="Q4" s="6" t="s">
        <v>100</v>
      </c>
      <c r="R4" s="6" t="s">
        <v>100</v>
      </c>
      <c r="S4" s="6" t="s">
        <v>101</v>
      </c>
      <c r="T4" s="6" t="s">
        <v>102</v>
      </c>
      <c r="U4" s="6" t="s">
        <v>69</v>
      </c>
      <c r="V4" s="6"/>
      <c r="W4" s="6" t="str">
        <f aca="false">IF(O4="","",INDEX(Lookups!$B$2:$B$20,MATCH(O4,Lookups!$A$2:$A$20,1)))</f>
        <v>Portland</v>
      </c>
      <c r="X4" s="6" t="s">
        <v>103</v>
      </c>
      <c r="Y4" s="6" t="s">
        <v>14</v>
      </c>
      <c r="Z4" s="6" t="s">
        <v>72</v>
      </c>
      <c r="AA4" s="6" t="s">
        <v>104</v>
      </c>
      <c r="AB4" s="6" t="s">
        <v>72</v>
      </c>
      <c r="AC4" s="6" t="s">
        <v>105</v>
      </c>
      <c r="AD4" s="6" t="s">
        <v>106</v>
      </c>
      <c r="AE4" s="6" t="s">
        <v>107</v>
      </c>
      <c r="AF4" s="6" t="s">
        <v>108</v>
      </c>
      <c r="AG4" s="6" t="s">
        <v>109</v>
      </c>
      <c r="AH4" s="6" t="s">
        <v>110</v>
      </c>
      <c r="AI4" s="6" t="s">
        <v>111</v>
      </c>
    </row>
    <row r="5" customFormat="false" ht="45.75" hidden="false" customHeight="true" outlineLevel="0" collapsed="false">
      <c r="A5" s="6" t="s">
        <v>112</v>
      </c>
      <c r="B5" s="6" t="s">
        <v>113</v>
      </c>
      <c r="C5" s="9" t="s">
        <v>5</v>
      </c>
      <c r="D5" s="6" t="s">
        <v>88</v>
      </c>
      <c r="E5" s="6" t="s">
        <v>94</v>
      </c>
      <c r="F5" s="6" t="s">
        <v>114</v>
      </c>
      <c r="G5" s="6"/>
      <c r="H5" s="6" t="s">
        <v>115</v>
      </c>
      <c r="I5" s="6" t="s">
        <v>59</v>
      </c>
      <c r="J5" s="6"/>
      <c r="K5" s="6" t="s">
        <v>60</v>
      </c>
      <c r="L5" s="6" t="s">
        <v>116</v>
      </c>
      <c r="M5" s="6" t="s">
        <v>117</v>
      </c>
      <c r="N5" s="6" t="s">
        <v>118</v>
      </c>
      <c r="O5" s="8" t="s">
        <v>119</v>
      </c>
      <c r="P5" s="6" t="n">
        <f aca="false">IF(O5="","",VALUE(LEFT(O5,4)))</f>
        <v>1795</v>
      </c>
      <c r="Q5" s="6" t="s">
        <v>120</v>
      </c>
      <c r="R5" s="6" t="s">
        <v>120</v>
      </c>
      <c r="S5" s="6" t="s">
        <v>121</v>
      </c>
      <c r="T5" s="6" t="s">
        <v>122</v>
      </c>
      <c r="U5" s="6" t="s">
        <v>85</v>
      </c>
      <c r="V5" s="6" t="s">
        <v>123</v>
      </c>
      <c r="W5" s="6" t="str">
        <f aca="false">IF(O5="","",INDEX(Lookups!$B$2:$B$20,MATCH(O5,Lookups!$A$2:$A$20,1)))</f>
        <v>Portland</v>
      </c>
      <c r="X5" s="6" t="s">
        <v>124</v>
      </c>
      <c r="Y5" s="6"/>
      <c r="Z5" s="6"/>
      <c r="AA5" s="6"/>
      <c r="AB5" s="6"/>
      <c r="AC5" s="6" t="s">
        <v>125</v>
      </c>
      <c r="AD5" s="6" t="s">
        <v>106</v>
      </c>
      <c r="AE5" s="6" t="s">
        <v>126</v>
      </c>
      <c r="AF5" s="6"/>
      <c r="AG5" s="6" t="s">
        <v>127</v>
      </c>
      <c r="AH5" s="6" t="s">
        <v>9</v>
      </c>
      <c r="AI5" s="6" t="s">
        <v>128</v>
      </c>
    </row>
    <row r="6" customFormat="false" ht="57" hidden="false" customHeight="true" outlineLevel="0" collapsed="false">
      <c r="A6" s="6" t="s">
        <v>129</v>
      </c>
      <c r="B6" s="6" t="s">
        <v>130</v>
      </c>
      <c r="C6" s="9" t="s">
        <v>6</v>
      </c>
      <c r="D6" s="6" t="s">
        <v>55</v>
      </c>
      <c r="E6" s="6" t="s">
        <v>94</v>
      </c>
      <c r="F6" s="6" t="s">
        <v>131</v>
      </c>
      <c r="G6" s="6"/>
      <c r="H6" s="6" t="s">
        <v>132</v>
      </c>
      <c r="I6" s="6" t="s">
        <v>59</v>
      </c>
      <c r="J6" s="6"/>
      <c r="K6" s="6" t="s">
        <v>60</v>
      </c>
      <c r="L6" s="6" t="s">
        <v>61</v>
      </c>
      <c r="M6" s="6" t="s">
        <v>133</v>
      </c>
      <c r="N6" s="6" t="s">
        <v>134</v>
      </c>
      <c r="O6" s="8" t="s">
        <v>135</v>
      </c>
      <c r="P6" s="6" t="n">
        <f aca="false">IF(O6="","",VALUE(LEFT(O6,4)))</f>
        <v>1795</v>
      </c>
      <c r="Q6" s="6" t="s">
        <v>136</v>
      </c>
      <c r="R6" s="6" t="s">
        <v>136</v>
      </c>
      <c r="S6" s="6" t="s">
        <v>137</v>
      </c>
      <c r="T6" s="6" t="s">
        <v>138</v>
      </c>
      <c r="U6" s="6" t="s">
        <v>139</v>
      </c>
      <c r="V6" s="6"/>
      <c r="W6" s="6" t="str">
        <f aca="false">IF(O6="","",INDEX(Lookups!$B$2:$B$20,MATCH(O6,Lookups!$A$2:$A$20,1)))</f>
        <v>Portland</v>
      </c>
      <c r="X6" s="6" t="s">
        <v>140</v>
      </c>
      <c r="Y6" s="6"/>
      <c r="Z6" s="6"/>
      <c r="AA6" s="6"/>
      <c r="AB6" s="6" t="s">
        <v>141</v>
      </c>
      <c r="AC6" s="6"/>
      <c r="AD6" s="6"/>
      <c r="AE6" s="6"/>
      <c r="AF6" s="6"/>
      <c r="AG6" s="6"/>
      <c r="AH6" s="6"/>
      <c r="AI6" s="6" t="s">
        <v>142</v>
      </c>
    </row>
    <row r="7" customFormat="false" ht="45.75" hidden="false" customHeight="true" outlineLevel="0" collapsed="false">
      <c r="A7" s="6" t="s">
        <v>143</v>
      </c>
      <c r="B7" s="6" t="s">
        <v>130</v>
      </c>
      <c r="C7" s="9" t="s">
        <v>6</v>
      </c>
      <c r="D7" s="6" t="s">
        <v>55</v>
      </c>
      <c r="E7" s="6" t="s">
        <v>94</v>
      </c>
      <c r="F7" s="6" t="s">
        <v>131</v>
      </c>
      <c r="G7" s="6"/>
      <c r="H7" s="6" t="s">
        <v>144</v>
      </c>
      <c r="I7" s="6" t="s">
        <v>59</v>
      </c>
      <c r="J7" s="6"/>
      <c r="K7" s="6" t="s">
        <v>60</v>
      </c>
      <c r="L7" s="6" t="s">
        <v>61</v>
      </c>
      <c r="M7" s="6" t="s">
        <v>145</v>
      </c>
      <c r="N7" s="6" t="s">
        <v>146</v>
      </c>
      <c r="O7" s="8" t="s">
        <v>147</v>
      </c>
      <c r="P7" s="6" t="n">
        <f aca="false">IF(O7="","",VALUE(LEFT(O7,4)))</f>
        <v>1795</v>
      </c>
      <c r="Q7" s="6" t="s">
        <v>136</v>
      </c>
      <c r="R7" s="6" t="s">
        <v>136</v>
      </c>
      <c r="S7" s="6" t="s">
        <v>137</v>
      </c>
      <c r="T7" s="6" t="s">
        <v>148</v>
      </c>
      <c r="U7" s="6" t="s">
        <v>139</v>
      </c>
      <c r="V7" s="6"/>
      <c r="W7" s="6" t="str">
        <f aca="false">IF(O7="","",INDEX(Lookups!$B$2:$B$20,MATCH(O7,Lookups!$A$2:$A$20,1)))</f>
        <v>Portland</v>
      </c>
      <c r="X7" s="6" t="s">
        <v>140</v>
      </c>
      <c r="Y7" s="6"/>
      <c r="Z7" s="6"/>
      <c r="AA7" s="6"/>
      <c r="AB7" s="6" t="s">
        <v>141</v>
      </c>
      <c r="AC7" s="6"/>
      <c r="AD7" s="6"/>
      <c r="AE7" s="6"/>
      <c r="AF7" s="6"/>
      <c r="AG7" s="6"/>
      <c r="AH7" s="6"/>
      <c r="AI7" s="6" t="s">
        <v>149</v>
      </c>
    </row>
    <row r="8" customFormat="false" ht="34.5" hidden="false" customHeight="true" outlineLevel="0" collapsed="false">
      <c r="A8" s="6" t="s">
        <v>150</v>
      </c>
      <c r="B8" s="6" t="s">
        <v>130</v>
      </c>
      <c r="C8" s="9" t="s">
        <v>6</v>
      </c>
      <c r="D8" s="6" t="s">
        <v>55</v>
      </c>
      <c r="E8" s="6" t="s">
        <v>94</v>
      </c>
      <c r="F8" s="6" t="s">
        <v>131</v>
      </c>
      <c r="G8" s="6"/>
      <c r="H8" s="6" t="s">
        <v>151</v>
      </c>
      <c r="I8" s="6" t="s">
        <v>59</v>
      </c>
      <c r="J8" s="6"/>
      <c r="K8" s="6" t="s">
        <v>60</v>
      </c>
      <c r="L8" s="6" t="s">
        <v>61</v>
      </c>
      <c r="M8" s="6" t="s">
        <v>152</v>
      </c>
      <c r="N8" s="6" t="s">
        <v>146</v>
      </c>
      <c r="O8" s="8" t="s">
        <v>147</v>
      </c>
      <c r="P8" s="6" t="n">
        <f aca="false">IF(O8="","",VALUE(LEFT(O8,4)))</f>
        <v>1795</v>
      </c>
      <c r="Q8" s="6" t="s">
        <v>136</v>
      </c>
      <c r="R8" s="6" t="s">
        <v>136</v>
      </c>
      <c r="S8" s="6" t="s">
        <v>137</v>
      </c>
      <c r="T8" s="6" t="s">
        <v>153</v>
      </c>
      <c r="U8" s="6" t="s">
        <v>85</v>
      </c>
      <c r="V8" s="6"/>
      <c r="W8" s="6" t="str">
        <f aca="false">IF(O8="","",INDEX(Lookups!$B$2:$B$20,MATCH(O8,Lookups!$A$2:$A$20,1)))</f>
        <v>Portland</v>
      </c>
      <c r="X8" s="6" t="s">
        <v>140</v>
      </c>
      <c r="Y8" s="6"/>
      <c r="Z8" s="6"/>
      <c r="AA8" s="6"/>
      <c r="AB8" s="6" t="s">
        <v>141</v>
      </c>
      <c r="AC8" s="6"/>
      <c r="AD8" s="6"/>
      <c r="AE8" s="6"/>
      <c r="AF8" s="6"/>
      <c r="AG8" s="6"/>
      <c r="AH8" s="6"/>
      <c r="AI8" s="6" t="s">
        <v>154</v>
      </c>
    </row>
    <row r="9" customFormat="false" ht="57" hidden="false" customHeight="true" outlineLevel="0" collapsed="false">
      <c r="A9" s="6" t="s">
        <v>155</v>
      </c>
      <c r="B9" s="6" t="s">
        <v>130</v>
      </c>
      <c r="C9" s="7" t="s">
        <v>4</v>
      </c>
      <c r="D9" s="6" t="s">
        <v>55</v>
      </c>
      <c r="E9" s="6" t="s">
        <v>94</v>
      </c>
      <c r="F9" s="6" t="s">
        <v>131</v>
      </c>
      <c r="G9" s="6"/>
      <c r="H9" s="6" t="s">
        <v>156</v>
      </c>
      <c r="I9" s="6" t="s">
        <v>59</v>
      </c>
      <c r="J9" s="6"/>
      <c r="K9" s="6" t="s">
        <v>60</v>
      </c>
      <c r="L9" s="6" t="s">
        <v>61</v>
      </c>
      <c r="M9" s="6" t="s">
        <v>157</v>
      </c>
      <c r="N9" s="6" t="s">
        <v>158</v>
      </c>
      <c r="O9" s="8" t="s">
        <v>159</v>
      </c>
      <c r="P9" s="6" t="n">
        <f aca="false">IF(O9="","",VALUE(LEFT(O9,4)))</f>
        <v>1795</v>
      </c>
      <c r="Q9" s="6" t="s">
        <v>160</v>
      </c>
      <c r="R9" s="6" t="s">
        <v>136</v>
      </c>
      <c r="S9" s="6" t="s">
        <v>137</v>
      </c>
      <c r="T9" s="6" t="s">
        <v>161</v>
      </c>
      <c r="U9" s="6" t="s">
        <v>69</v>
      </c>
      <c r="V9" s="6"/>
      <c r="W9" s="6" t="str">
        <f aca="false">IF(O9="","",INDEX(Lookups!$B$2:$B$20,MATCH(O9,Lookups!$A$2:$A$20,1)))</f>
        <v>Portland</v>
      </c>
      <c r="X9" s="6" t="s">
        <v>140</v>
      </c>
      <c r="Y9" s="6" t="s">
        <v>13</v>
      </c>
      <c r="Z9" s="6" t="s">
        <v>88</v>
      </c>
      <c r="AA9" s="6" t="s">
        <v>162</v>
      </c>
      <c r="AB9" s="6" t="s">
        <v>141</v>
      </c>
      <c r="AC9" s="6"/>
      <c r="AD9" s="6"/>
      <c r="AE9" s="6"/>
      <c r="AF9" s="6"/>
      <c r="AG9" s="6"/>
      <c r="AH9" s="6"/>
      <c r="AI9" s="6" t="s">
        <v>163</v>
      </c>
    </row>
    <row r="10" customFormat="false" ht="34.5" hidden="false" customHeight="true" outlineLevel="0" collapsed="false">
      <c r="A10" s="6" t="s">
        <v>164</v>
      </c>
      <c r="B10" s="6" t="s">
        <v>165</v>
      </c>
      <c r="C10" s="9" t="s">
        <v>6</v>
      </c>
      <c r="D10" s="6" t="s">
        <v>55</v>
      </c>
      <c r="E10" s="6" t="s">
        <v>94</v>
      </c>
      <c r="F10" s="6" t="s">
        <v>95</v>
      </c>
      <c r="G10" s="6"/>
      <c r="H10" s="6" t="s">
        <v>166</v>
      </c>
      <c r="I10" s="6" t="s">
        <v>59</v>
      </c>
      <c r="J10" s="6"/>
      <c r="K10" s="6" t="s">
        <v>60</v>
      </c>
      <c r="L10" s="6" t="s">
        <v>61</v>
      </c>
      <c r="M10" s="6" t="s">
        <v>167</v>
      </c>
      <c r="N10" s="6" t="s">
        <v>168</v>
      </c>
      <c r="O10" s="8" t="s">
        <v>169</v>
      </c>
      <c r="P10" s="6" t="n">
        <f aca="false">IF(O10="","",VALUE(LEFT(O10,4)))</f>
        <v>1795</v>
      </c>
      <c r="Q10" s="6" t="s">
        <v>170</v>
      </c>
      <c r="R10" s="6" t="s">
        <v>171</v>
      </c>
      <c r="S10" s="6" t="s">
        <v>172</v>
      </c>
      <c r="T10" s="6" t="s">
        <v>173</v>
      </c>
      <c r="U10" s="6" t="s">
        <v>174</v>
      </c>
      <c r="V10" s="6"/>
      <c r="W10" s="6" t="str">
        <f aca="false">IF(O10="","",INDEX(Lookups!$B$2:$B$20,MATCH(O10,Lookups!$A$2:$A$20,1)))</f>
        <v>Portland</v>
      </c>
      <c r="X10" s="6"/>
      <c r="Y10" s="6"/>
      <c r="Z10" s="6"/>
      <c r="AA10" s="6"/>
      <c r="AB10" s="6"/>
      <c r="AC10" s="6"/>
      <c r="AD10" s="6"/>
      <c r="AE10" s="6"/>
      <c r="AF10" s="6"/>
      <c r="AG10" s="6"/>
      <c r="AH10" s="6"/>
      <c r="AI10" s="6" t="s">
        <v>175</v>
      </c>
    </row>
    <row r="11" customFormat="false" ht="57" hidden="false" customHeight="true" outlineLevel="0" collapsed="false">
      <c r="A11" s="6" t="s">
        <v>176</v>
      </c>
      <c r="B11" s="6" t="s">
        <v>177</v>
      </c>
      <c r="C11" s="9" t="s">
        <v>5</v>
      </c>
      <c r="D11" s="6" t="s">
        <v>88</v>
      </c>
      <c r="E11" s="6" t="s">
        <v>178</v>
      </c>
      <c r="F11" s="6" t="s">
        <v>179</v>
      </c>
      <c r="G11" s="6"/>
      <c r="H11" s="6" t="s">
        <v>180</v>
      </c>
      <c r="I11" s="6" t="s">
        <v>59</v>
      </c>
      <c r="J11" s="6"/>
      <c r="K11" s="6" t="s">
        <v>60</v>
      </c>
      <c r="L11" s="6" t="s">
        <v>116</v>
      </c>
      <c r="M11" s="6" t="s">
        <v>181</v>
      </c>
      <c r="N11" s="6" t="s">
        <v>182</v>
      </c>
      <c r="O11" s="8" t="s">
        <v>183</v>
      </c>
      <c r="P11" s="6" t="n">
        <f aca="false">IF(O11="","",VALUE(LEFT(O11,4)))</f>
        <v>1794</v>
      </c>
      <c r="Q11" s="6" t="s">
        <v>184</v>
      </c>
      <c r="R11" s="6" t="s">
        <v>184</v>
      </c>
      <c r="S11" s="6" t="s">
        <v>185</v>
      </c>
      <c r="T11" s="6" t="s">
        <v>186</v>
      </c>
      <c r="U11" s="6" t="s">
        <v>187</v>
      </c>
      <c r="V11" s="6"/>
      <c r="W11" s="6" t="str">
        <f aca="false">IF(O11="","",INDEX(Lookups!$B$2:$B$20,MATCH(O11,Lookups!$A$2:$A$20,1)))</f>
        <v>Dundas</v>
      </c>
      <c r="X11" s="6" t="s">
        <v>124</v>
      </c>
      <c r="Y11" s="6"/>
      <c r="Z11" s="6"/>
      <c r="AA11" s="6"/>
      <c r="AB11" s="6"/>
      <c r="AC11" s="6"/>
      <c r="AD11" s="6"/>
      <c r="AE11" s="6"/>
      <c r="AF11" s="6"/>
      <c r="AG11" s="6"/>
      <c r="AH11" s="6"/>
      <c r="AI11" s="6" t="s">
        <v>188</v>
      </c>
    </row>
    <row r="12" customFormat="false" ht="45.75" hidden="false" customHeight="true" outlineLevel="0" collapsed="false">
      <c r="A12" s="6" t="s">
        <v>189</v>
      </c>
      <c r="B12" s="6" t="s">
        <v>190</v>
      </c>
      <c r="C12" s="9" t="s">
        <v>5</v>
      </c>
      <c r="D12" s="6" t="s">
        <v>88</v>
      </c>
      <c r="E12" s="6" t="s">
        <v>178</v>
      </c>
      <c r="F12" s="6" t="s">
        <v>179</v>
      </c>
      <c r="G12" s="6"/>
      <c r="H12" s="6" t="s">
        <v>191</v>
      </c>
      <c r="I12" s="6" t="s">
        <v>59</v>
      </c>
      <c r="J12" s="6"/>
      <c r="K12" s="6" t="s">
        <v>60</v>
      </c>
      <c r="L12" s="6" t="s">
        <v>61</v>
      </c>
      <c r="M12" s="6" t="s">
        <v>192</v>
      </c>
      <c r="N12" s="6" t="s">
        <v>193</v>
      </c>
      <c r="O12" s="8" t="s">
        <v>194</v>
      </c>
      <c r="P12" s="6" t="n">
        <f aca="false">IF(O12="","",VALUE(LEFT(O12,4)))</f>
        <v>1794</v>
      </c>
      <c r="Q12" s="6" t="s">
        <v>195</v>
      </c>
      <c r="R12" s="6" t="s">
        <v>195</v>
      </c>
      <c r="S12" s="6" t="s">
        <v>196</v>
      </c>
      <c r="T12" s="6" t="s">
        <v>197</v>
      </c>
      <c r="U12" s="6" t="s">
        <v>187</v>
      </c>
      <c r="V12" s="6"/>
      <c r="W12" s="6" t="str">
        <f aca="false">IF(O12="","",INDEX(Lookups!$B$2:$B$20,MATCH(O12,Lookups!$A$2:$A$20,1)))</f>
        <v>Dundas</v>
      </c>
      <c r="X12" s="6" t="s">
        <v>124</v>
      </c>
      <c r="Y12" s="6"/>
      <c r="Z12" s="6"/>
      <c r="AA12" s="6"/>
      <c r="AB12" s="6"/>
      <c r="AC12" s="6"/>
      <c r="AD12" s="6"/>
      <c r="AE12" s="6"/>
      <c r="AF12" s="6"/>
      <c r="AG12" s="6"/>
      <c r="AH12" s="6"/>
      <c r="AI12" s="6" t="s">
        <v>198</v>
      </c>
    </row>
    <row r="13" customFormat="false" ht="45.75" hidden="false" customHeight="true" outlineLevel="0" collapsed="false">
      <c r="A13" s="6" t="s">
        <v>199</v>
      </c>
      <c r="B13" s="6" t="s">
        <v>200</v>
      </c>
      <c r="C13" s="10" t="s">
        <v>7</v>
      </c>
      <c r="D13" s="6" t="s">
        <v>88</v>
      </c>
      <c r="E13" s="6" t="s">
        <v>178</v>
      </c>
      <c r="F13" s="6" t="s">
        <v>179</v>
      </c>
      <c r="G13" s="6"/>
      <c r="H13" s="6" t="s">
        <v>201</v>
      </c>
      <c r="I13" s="6" t="s">
        <v>59</v>
      </c>
      <c r="J13" s="6"/>
      <c r="K13" s="6" t="s">
        <v>60</v>
      </c>
      <c r="L13" s="6" t="s">
        <v>61</v>
      </c>
      <c r="M13" s="6" t="s">
        <v>202</v>
      </c>
      <c r="N13" s="6" t="s">
        <v>203</v>
      </c>
      <c r="O13" s="8" t="s">
        <v>204</v>
      </c>
      <c r="P13" s="6" t="n">
        <f aca="false">IF(O13="","",VALUE(LEFT(O13,4)))</f>
        <v>1794</v>
      </c>
      <c r="Q13" s="6" t="s">
        <v>120</v>
      </c>
      <c r="R13" s="6" t="s">
        <v>120</v>
      </c>
      <c r="S13" s="6" t="s">
        <v>121</v>
      </c>
      <c r="T13" s="6" t="s">
        <v>205</v>
      </c>
      <c r="U13" s="6" t="s">
        <v>85</v>
      </c>
      <c r="V13" s="6"/>
      <c r="W13" s="6" t="str">
        <f aca="false">IF(O13="","",INDEX(Lookups!$B$2:$B$20,MATCH(O13,Lookups!$A$2:$A$20,1)))</f>
        <v>Dundas</v>
      </c>
      <c r="X13" s="6" t="s">
        <v>206</v>
      </c>
      <c r="Y13" s="6" t="s">
        <v>14</v>
      </c>
      <c r="Z13" s="6"/>
      <c r="AA13" s="6" t="s">
        <v>207</v>
      </c>
      <c r="AB13" s="6" t="s">
        <v>72</v>
      </c>
      <c r="AC13" s="6"/>
      <c r="AD13" s="6"/>
      <c r="AE13" s="6"/>
      <c r="AF13" s="6"/>
      <c r="AG13" s="6"/>
      <c r="AH13" s="6"/>
      <c r="AI13" s="6" t="s">
        <v>208</v>
      </c>
    </row>
    <row r="14" customFormat="false" ht="45.75" hidden="false" customHeight="true" outlineLevel="0" collapsed="false">
      <c r="A14" s="6" t="s">
        <v>209</v>
      </c>
      <c r="B14" s="6" t="s">
        <v>210</v>
      </c>
      <c r="C14" s="10" t="s">
        <v>7</v>
      </c>
      <c r="D14" s="6" t="s">
        <v>55</v>
      </c>
      <c r="E14" s="6" t="s">
        <v>178</v>
      </c>
      <c r="F14" s="6" t="s">
        <v>179</v>
      </c>
      <c r="G14" s="6"/>
      <c r="H14" s="6" t="s">
        <v>211</v>
      </c>
      <c r="I14" s="6" t="s">
        <v>59</v>
      </c>
      <c r="J14" s="6"/>
      <c r="K14" s="6" t="s">
        <v>60</v>
      </c>
      <c r="L14" s="6" t="s">
        <v>61</v>
      </c>
      <c r="M14" s="6" t="s">
        <v>212</v>
      </c>
      <c r="N14" s="6" t="s">
        <v>213</v>
      </c>
      <c r="O14" s="8" t="s">
        <v>214</v>
      </c>
      <c r="P14" s="6" t="n">
        <f aca="false">IF(O14="","",VALUE(LEFT(O14,4)))</f>
        <v>1794</v>
      </c>
      <c r="Q14" s="6" t="s">
        <v>215</v>
      </c>
      <c r="R14" s="6" t="s">
        <v>215</v>
      </c>
      <c r="S14" s="6" t="s">
        <v>67</v>
      </c>
      <c r="T14" s="6" t="s">
        <v>216</v>
      </c>
      <c r="U14" s="6" t="s">
        <v>217</v>
      </c>
      <c r="V14" s="6"/>
      <c r="W14" s="6" t="str">
        <f aca="false">IF(O14="","",INDEX(Lookups!$B$2:$B$20,MATCH(O14,Lookups!$A$2:$A$20,1)))</f>
        <v>Dundas</v>
      </c>
      <c r="X14" s="6" t="s">
        <v>124</v>
      </c>
      <c r="Y14" s="6"/>
      <c r="Z14" s="6"/>
      <c r="AA14" s="6"/>
      <c r="AB14" s="6"/>
      <c r="AC14" s="6"/>
      <c r="AD14" s="6"/>
      <c r="AE14" s="6"/>
      <c r="AF14" s="6"/>
      <c r="AG14" s="6"/>
      <c r="AH14" s="6"/>
      <c r="AI14" s="6" t="s">
        <v>218</v>
      </c>
    </row>
    <row r="15" customFormat="false" ht="45.75" hidden="false" customHeight="true" outlineLevel="0" collapsed="false">
      <c r="A15" s="6" t="s">
        <v>219</v>
      </c>
      <c r="B15" s="6" t="s">
        <v>220</v>
      </c>
      <c r="C15" s="7" t="s">
        <v>4</v>
      </c>
      <c r="D15" s="6" t="s">
        <v>55</v>
      </c>
      <c r="E15" s="6" t="s">
        <v>221</v>
      </c>
      <c r="F15" s="6" t="s">
        <v>222</v>
      </c>
      <c r="G15" s="6"/>
      <c r="H15" s="6" t="s">
        <v>223</v>
      </c>
      <c r="I15" s="6" t="s">
        <v>59</v>
      </c>
      <c r="J15" s="6"/>
      <c r="K15" s="6" t="s">
        <v>60</v>
      </c>
      <c r="L15" s="6" t="s">
        <v>61</v>
      </c>
      <c r="M15" s="6" t="s">
        <v>224</v>
      </c>
      <c r="N15" s="6" t="s">
        <v>225</v>
      </c>
      <c r="O15" s="8" t="s">
        <v>226</v>
      </c>
      <c r="P15" s="6" t="n">
        <f aca="false">IF(O15="","",VALUE(LEFT(O15,4)))</f>
        <v>1794</v>
      </c>
      <c r="Q15" s="6" t="s">
        <v>227</v>
      </c>
      <c r="R15" s="6" t="s">
        <v>227</v>
      </c>
      <c r="S15" s="6" t="s">
        <v>228</v>
      </c>
      <c r="T15" s="6" t="s">
        <v>229</v>
      </c>
      <c r="U15" s="6" t="s">
        <v>85</v>
      </c>
      <c r="V15" s="6" t="s">
        <v>230</v>
      </c>
      <c r="W15" s="6" t="str">
        <f aca="false">IF(O15="","",INDEX(Lookups!$B$2:$B$20,MATCH(O15,Lookups!$A$2:$A$20,1)))</f>
        <v>Portland</v>
      </c>
      <c r="X15" s="6" t="s">
        <v>231</v>
      </c>
      <c r="Y15" s="6" t="s">
        <v>13</v>
      </c>
      <c r="Z15" s="6" t="s">
        <v>88</v>
      </c>
      <c r="AA15" s="6" t="s">
        <v>232</v>
      </c>
      <c r="AB15" s="6" t="s">
        <v>88</v>
      </c>
      <c r="AC15" s="6"/>
      <c r="AD15" s="6"/>
      <c r="AE15" s="6"/>
      <c r="AF15" s="6"/>
      <c r="AG15" s="6"/>
      <c r="AH15" s="6"/>
      <c r="AI15" s="6" t="s">
        <v>233</v>
      </c>
    </row>
    <row r="16" customFormat="false" ht="45.75" hidden="false" customHeight="true" outlineLevel="0" collapsed="false">
      <c r="A16" s="6" t="s">
        <v>234</v>
      </c>
      <c r="B16" s="6" t="s">
        <v>220</v>
      </c>
      <c r="C16" s="11" t="s">
        <v>8</v>
      </c>
      <c r="D16" s="6" t="s">
        <v>55</v>
      </c>
      <c r="E16" s="6" t="s">
        <v>221</v>
      </c>
      <c r="F16" s="6" t="s">
        <v>235</v>
      </c>
      <c r="G16" s="6"/>
      <c r="H16" s="6" t="s">
        <v>236</v>
      </c>
      <c r="I16" s="6" t="s">
        <v>59</v>
      </c>
      <c r="J16" s="6"/>
      <c r="K16" s="6" t="s">
        <v>60</v>
      </c>
      <c r="L16" s="6" t="s">
        <v>61</v>
      </c>
      <c r="M16" s="6" t="s">
        <v>237</v>
      </c>
      <c r="N16" s="6" t="s">
        <v>238</v>
      </c>
      <c r="O16" s="8" t="s">
        <v>239</v>
      </c>
      <c r="P16" s="6" t="n">
        <f aca="false">IF(O16="","",VALUE(LEFT(O16,4)))</f>
        <v>1794</v>
      </c>
      <c r="Q16" s="6" t="s">
        <v>240</v>
      </c>
      <c r="R16" s="6" t="s">
        <v>227</v>
      </c>
      <c r="S16" s="6" t="s">
        <v>241</v>
      </c>
      <c r="T16" s="6" t="s">
        <v>242</v>
      </c>
      <c r="U16" s="6" t="s">
        <v>69</v>
      </c>
      <c r="V16" s="6"/>
      <c r="W16" s="6" t="str">
        <f aca="false">IF(O16="","",INDEX(Lookups!$B$2:$B$20,MATCH(O16,Lookups!$A$2:$A$20,1)))</f>
        <v>Portland</v>
      </c>
      <c r="X16" s="6"/>
      <c r="Y16" s="6"/>
      <c r="Z16" s="6"/>
      <c r="AA16" s="6"/>
      <c r="AB16" s="6"/>
      <c r="AC16" s="6"/>
      <c r="AD16" s="6"/>
      <c r="AE16" s="6"/>
      <c r="AF16" s="6"/>
      <c r="AG16" s="6"/>
      <c r="AH16" s="6"/>
      <c r="AI16" s="6" t="s">
        <v>243</v>
      </c>
    </row>
    <row r="17" customFormat="false" ht="68.25" hidden="false" customHeight="true" outlineLevel="0" collapsed="false">
      <c r="A17" s="6" t="s">
        <v>244</v>
      </c>
      <c r="B17" s="6" t="s">
        <v>245</v>
      </c>
      <c r="C17" s="9" t="s">
        <v>6</v>
      </c>
      <c r="D17" s="6" t="s">
        <v>55</v>
      </c>
      <c r="E17" s="6" t="s">
        <v>178</v>
      </c>
      <c r="F17" s="6" t="s">
        <v>246</v>
      </c>
      <c r="G17" s="6"/>
      <c r="H17" s="6" t="s">
        <v>247</v>
      </c>
      <c r="I17" s="6" t="s">
        <v>59</v>
      </c>
      <c r="J17" s="6"/>
      <c r="K17" s="6" t="s">
        <v>60</v>
      </c>
      <c r="L17" s="6" t="s">
        <v>61</v>
      </c>
      <c r="M17" s="6" t="s">
        <v>248</v>
      </c>
      <c r="N17" s="6" t="s">
        <v>249</v>
      </c>
      <c r="O17" s="8" t="s">
        <v>250</v>
      </c>
      <c r="P17" s="6" t="n">
        <f aca="false">IF(O17="","",VALUE(LEFT(O17,4)))</f>
        <v>1794</v>
      </c>
      <c r="Q17" s="6" t="s">
        <v>251</v>
      </c>
      <c r="R17" s="6" t="s">
        <v>251</v>
      </c>
      <c r="S17" s="6" t="s">
        <v>252</v>
      </c>
      <c r="T17" s="6" t="s">
        <v>253</v>
      </c>
      <c r="U17" s="6" t="s">
        <v>254</v>
      </c>
      <c r="V17" s="6"/>
      <c r="W17" s="6" t="str">
        <f aca="false">IF(O17="","",INDEX(Lookups!$B$2:$B$20,MATCH(O17,Lookups!$A$2:$A$20,1)))</f>
        <v>Dundas</v>
      </c>
      <c r="X17" s="6" t="s">
        <v>124</v>
      </c>
      <c r="Y17" s="6"/>
      <c r="Z17" s="6"/>
      <c r="AA17" s="6"/>
      <c r="AB17" s="6"/>
      <c r="AC17" s="6" t="s">
        <v>255</v>
      </c>
      <c r="AD17" s="6" t="s">
        <v>106</v>
      </c>
      <c r="AE17" s="6"/>
      <c r="AF17" s="6"/>
      <c r="AG17" s="6"/>
      <c r="AH17" s="6" t="s">
        <v>9</v>
      </c>
      <c r="AI17" s="6" t="s">
        <v>256</v>
      </c>
    </row>
    <row r="18" customFormat="false" ht="57" hidden="false" customHeight="true" outlineLevel="0" collapsed="false">
      <c r="A18" s="6" t="s">
        <v>257</v>
      </c>
      <c r="B18" s="6" t="s">
        <v>258</v>
      </c>
      <c r="C18" s="7" t="s">
        <v>4</v>
      </c>
      <c r="D18" s="6" t="s">
        <v>55</v>
      </c>
      <c r="E18" s="6" t="s">
        <v>221</v>
      </c>
      <c r="F18" s="6" t="s">
        <v>259</v>
      </c>
      <c r="G18" s="6"/>
      <c r="H18" s="6" t="s">
        <v>260</v>
      </c>
      <c r="I18" s="6" t="s">
        <v>59</v>
      </c>
      <c r="J18" s="6"/>
      <c r="K18" s="6" t="s">
        <v>60</v>
      </c>
      <c r="L18" s="6" t="s">
        <v>61</v>
      </c>
      <c r="M18" s="6" t="s">
        <v>261</v>
      </c>
      <c r="N18" s="6" t="s">
        <v>262</v>
      </c>
      <c r="O18" s="8" t="s">
        <v>263</v>
      </c>
      <c r="P18" s="6" t="n">
        <f aca="false">IF(O18="","",VALUE(LEFT(O18,4)))</f>
        <v>1794</v>
      </c>
      <c r="Q18" s="6" t="s">
        <v>264</v>
      </c>
      <c r="R18" s="6" t="s">
        <v>227</v>
      </c>
      <c r="S18" s="6" t="s">
        <v>265</v>
      </c>
      <c r="T18" s="6" t="s">
        <v>266</v>
      </c>
      <c r="U18" s="6" t="s">
        <v>85</v>
      </c>
      <c r="V18" s="6"/>
      <c r="W18" s="6" t="str">
        <f aca="false">IF(O18="","",INDEX(Lookups!$B$2:$B$20,MATCH(O18,Lookups!$A$2:$A$20,1)))</f>
        <v>Portland</v>
      </c>
      <c r="X18" s="6" t="s">
        <v>267</v>
      </c>
      <c r="Y18" s="6" t="s">
        <v>16</v>
      </c>
      <c r="Z18" s="6" t="s">
        <v>55</v>
      </c>
      <c r="AA18" s="6" t="s">
        <v>268</v>
      </c>
      <c r="AB18" s="6" t="s">
        <v>88</v>
      </c>
      <c r="AC18" s="6"/>
      <c r="AD18" s="6"/>
      <c r="AE18" s="6"/>
      <c r="AF18" s="6"/>
      <c r="AG18" s="6"/>
      <c r="AH18" s="6"/>
      <c r="AI18" s="6" t="s">
        <v>269</v>
      </c>
    </row>
    <row r="19" customFormat="false" ht="15" hidden="false" customHeight="true" outlineLevel="0" collapsed="false">
      <c r="A19" s="6" t="s">
        <v>270</v>
      </c>
      <c r="B19" s="6" t="s">
        <v>271</v>
      </c>
      <c r="C19" s="7" t="s">
        <v>4</v>
      </c>
      <c r="D19" s="6" t="s">
        <v>55</v>
      </c>
      <c r="E19" s="6" t="s">
        <v>178</v>
      </c>
      <c r="F19" s="6" t="s">
        <v>246</v>
      </c>
      <c r="G19" s="6" t="s">
        <v>272</v>
      </c>
      <c r="H19" s="6" t="s">
        <v>273</v>
      </c>
      <c r="I19" s="6" t="s">
        <v>274</v>
      </c>
      <c r="J19" s="6"/>
      <c r="K19" s="6" t="s">
        <v>60</v>
      </c>
      <c r="L19" s="6" t="s">
        <v>61</v>
      </c>
      <c r="M19" s="6" t="s">
        <v>275</v>
      </c>
      <c r="N19" s="6" t="s">
        <v>276</v>
      </c>
      <c r="O19" s="8" t="s">
        <v>277</v>
      </c>
      <c r="P19" s="6" t="n">
        <f aca="false">IF(O19="","",VALUE(LEFT(O19,4)))</f>
        <v>1794</v>
      </c>
      <c r="Q19" s="6" t="s">
        <v>184</v>
      </c>
      <c r="R19" s="6" t="s">
        <v>184</v>
      </c>
      <c r="S19" s="6" t="s">
        <v>185</v>
      </c>
      <c r="T19" s="6" t="s">
        <v>278</v>
      </c>
      <c r="U19" s="6" t="s">
        <v>279</v>
      </c>
      <c r="V19" s="6" t="s">
        <v>280</v>
      </c>
      <c r="W19" s="6" t="str">
        <f aca="false">IF(O19="","",INDEX(Lookups!$B$2:$B$20,MATCH(O19,Lookups!$A$2:$A$20,1)))</f>
        <v>Dundas</v>
      </c>
      <c r="X19" s="6" t="s">
        <v>267</v>
      </c>
      <c r="Y19" s="6" t="s">
        <v>14</v>
      </c>
      <c r="Z19" s="6" t="s">
        <v>72</v>
      </c>
      <c r="AA19" s="6" t="s">
        <v>281</v>
      </c>
      <c r="AB19" s="6" t="s">
        <v>88</v>
      </c>
      <c r="AC19" s="6"/>
      <c r="AD19" s="6"/>
      <c r="AE19" s="6"/>
      <c r="AF19" s="6"/>
      <c r="AG19" s="6"/>
      <c r="AH19" s="6"/>
      <c r="AI19" s="6" t="s">
        <v>282</v>
      </c>
    </row>
    <row r="20" customFormat="false" ht="15" hidden="false" customHeight="true" outlineLevel="0" collapsed="false">
      <c r="A20" s="6" t="s">
        <v>283</v>
      </c>
      <c r="B20" s="6" t="s">
        <v>284</v>
      </c>
      <c r="C20" s="9" t="s">
        <v>5</v>
      </c>
      <c r="D20" s="6" t="s">
        <v>88</v>
      </c>
      <c r="E20" s="6" t="s">
        <v>178</v>
      </c>
      <c r="F20" s="6" t="s">
        <v>285</v>
      </c>
      <c r="G20" s="6" t="s">
        <v>286</v>
      </c>
      <c r="H20" s="6" t="s">
        <v>287</v>
      </c>
      <c r="I20" s="6" t="s">
        <v>274</v>
      </c>
      <c r="J20" s="6"/>
      <c r="K20" s="6" t="s">
        <v>60</v>
      </c>
      <c r="L20" s="6" t="s">
        <v>61</v>
      </c>
      <c r="M20" s="6" t="s">
        <v>288</v>
      </c>
      <c r="N20" s="6" t="s">
        <v>289</v>
      </c>
      <c r="O20" s="8" t="s">
        <v>290</v>
      </c>
      <c r="P20" s="6" t="n">
        <f aca="false">IF(O20="","",VALUE(LEFT(O20,4)))</f>
        <v>1794</v>
      </c>
      <c r="Q20" s="6" t="s">
        <v>291</v>
      </c>
      <c r="R20" s="6" t="s">
        <v>291</v>
      </c>
      <c r="S20" s="6" t="s">
        <v>196</v>
      </c>
      <c r="T20" s="6" t="s">
        <v>292</v>
      </c>
      <c r="U20" s="6" t="s">
        <v>217</v>
      </c>
      <c r="V20" s="6" t="s">
        <v>293</v>
      </c>
      <c r="W20" s="6" t="str">
        <f aca="false">IF(O20="","",INDEX(Lookups!$B$2:$B$20,MATCH(O20,Lookups!$A$2:$A$20,1)))</f>
        <v>Dundas</v>
      </c>
      <c r="X20" s="6" t="s">
        <v>267</v>
      </c>
      <c r="Y20" s="6"/>
      <c r="Z20" s="6"/>
      <c r="AA20" s="6"/>
      <c r="AB20" s="6"/>
      <c r="AC20" s="6"/>
      <c r="AD20" s="6"/>
      <c r="AE20" s="6"/>
      <c r="AF20" s="6"/>
      <c r="AG20" s="6"/>
      <c r="AH20" s="6"/>
      <c r="AI20" s="6" t="s">
        <v>294</v>
      </c>
    </row>
    <row r="21" customFormat="false" ht="15" hidden="false" customHeight="true" outlineLevel="0" collapsed="false">
      <c r="O21" s="12"/>
    </row>
    <row r="22" customFormat="false" ht="15" hidden="false" customHeight="true" outlineLevel="0" collapsed="false">
      <c r="O22" s="12"/>
    </row>
    <row r="23" customFormat="false" ht="15" hidden="false" customHeight="true" outlineLevel="0" collapsed="false">
      <c r="O23" s="12"/>
    </row>
    <row r="24" customFormat="false" ht="15" hidden="false" customHeight="true" outlineLevel="0" collapsed="false">
      <c r="O24" s="12"/>
    </row>
    <row r="25" customFormat="false" ht="15" hidden="false" customHeight="true" outlineLevel="0" collapsed="false">
      <c r="O25" s="12"/>
    </row>
    <row r="26" customFormat="false" ht="15" hidden="false" customHeight="true" outlineLevel="0" collapsed="false">
      <c r="O26" s="12"/>
    </row>
    <row r="27" customFormat="false" ht="15" hidden="false" customHeight="true" outlineLevel="0" collapsed="false">
      <c r="O27" s="12"/>
    </row>
    <row r="28" customFormat="false" ht="15" hidden="false" customHeight="true" outlineLevel="0" collapsed="false">
      <c r="O28" s="12"/>
    </row>
    <row r="29" customFormat="false" ht="15" hidden="false" customHeight="true" outlineLevel="0" collapsed="false">
      <c r="O29" s="12"/>
    </row>
    <row r="30" customFormat="false" ht="15" hidden="false" customHeight="true" outlineLevel="0" collapsed="false">
      <c r="O30" s="12"/>
    </row>
    <row r="31" customFormat="false" ht="15" hidden="false" customHeight="true" outlineLevel="0" collapsed="false">
      <c r="O31" s="12"/>
    </row>
    <row r="32" customFormat="false" ht="15" hidden="false" customHeight="true" outlineLevel="0" collapsed="false">
      <c r="O32" s="12"/>
    </row>
    <row r="33" customFormat="false" ht="15" hidden="false" customHeight="true" outlineLevel="0" collapsed="false">
      <c r="O33" s="12"/>
    </row>
    <row r="34" customFormat="false" ht="15" hidden="false" customHeight="true" outlineLevel="0" collapsed="false">
      <c r="O34" s="12"/>
    </row>
    <row r="35" customFormat="false" ht="15" hidden="false" customHeight="true" outlineLevel="0" collapsed="false">
      <c r="O35" s="12"/>
    </row>
    <row r="36" customFormat="false" ht="15" hidden="false" customHeight="true" outlineLevel="0" collapsed="false">
      <c r="O36" s="12"/>
    </row>
    <row r="37" customFormat="false" ht="15" hidden="false" customHeight="true" outlineLevel="0" collapsed="false">
      <c r="O37" s="12"/>
    </row>
    <row r="38" customFormat="false" ht="15" hidden="false" customHeight="true" outlineLevel="0" collapsed="false">
      <c r="O38" s="12"/>
    </row>
    <row r="39" customFormat="false" ht="15" hidden="false" customHeight="true" outlineLevel="0" collapsed="false">
      <c r="O39" s="12"/>
    </row>
    <row r="40" customFormat="false" ht="15" hidden="false" customHeight="true" outlineLevel="0" collapsed="false">
      <c r="O40" s="12"/>
    </row>
    <row r="41" customFormat="false" ht="15" hidden="false" customHeight="true" outlineLevel="0" collapsed="false">
      <c r="O41" s="12"/>
    </row>
    <row r="42" customFormat="false" ht="15" hidden="false" customHeight="true" outlineLevel="0" collapsed="false">
      <c r="O42" s="12"/>
    </row>
    <row r="43" customFormat="false" ht="15" hidden="false" customHeight="true" outlineLevel="0" collapsed="false">
      <c r="O43" s="12"/>
    </row>
    <row r="44" customFormat="false" ht="15" hidden="false" customHeight="true" outlineLevel="0" collapsed="false">
      <c r="O44" s="12"/>
    </row>
    <row r="45" customFormat="false" ht="15" hidden="false" customHeight="true" outlineLevel="0" collapsed="false">
      <c r="O45" s="12"/>
    </row>
    <row r="46" customFormat="false" ht="15" hidden="false" customHeight="true" outlineLevel="0" collapsed="false">
      <c r="O46" s="12"/>
    </row>
    <row r="47" customFormat="false" ht="15" hidden="false" customHeight="true" outlineLevel="0" collapsed="false">
      <c r="O47" s="12"/>
    </row>
    <row r="48" customFormat="false" ht="15" hidden="false" customHeight="true" outlineLevel="0" collapsed="false">
      <c r="O48" s="12"/>
    </row>
    <row r="49" customFormat="false" ht="15" hidden="false" customHeight="true" outlineLevel="0" collapsed="false">
      <c r="O49" s="12"/>
    </row>
    <row r="50" customFormat="false" ht="15" hidden="false" customHeight="true" outlineLevel="0" collapsed="false">
      <c r="O50" s="12"/>
    </row>
    <row r="51" customFormat="false" ht="15" hidden="false" customHeight="true" outlineLevel="0" collapsed="false">
      <c r="O51" s="12"/>
    </row>
    <row r="52" customFormat="false" ht="15" hidden="false" customHeight="true" outlineLevel="0" collapsed="false">
      <c r="O52" s="12"/>
    </row>
    <row r="53" customFormat="false" ht="15" hidden="false" customHeight="true" outlineLevel="0" collapsed="false">
      <c r="O53" s="12"/>
    </row>
    <row r="54" customFormat="false" ht="15" hidden="false" customHeight="true" outlineLevel="0" collapsed="false">
      <c r="O54" s="12"/>
    </row>
    <row r="55" customFormat="false" ht="15" hidden="false" customHeight="true" outlineLevel="0" collapsed="false">
      <c r="O55" s="12"/>
    </row>
    <row r="56" customFormat="false" ht="15" hidden="false" customHeight="true" outlineLevel="0" collapsed="false">
      <c r="O56" s="12"/>
    </row>
    <row r="57" customFormat="false" ht="15" hidden="false" customHeight="true" outlineLevel="0" collapsed="false">
      <c r="O57" s="12"/>
    </row>
    <row r="58" customFormat="false" ht="15" hidden="false" customHeight="true" outlineLevel="0" collapsed="false">
      <c r="O58" s="12"/>
    </row>
    <row r="59" customFormat="false" ht="15" hidden="false" customHeight="true" outlineLevel="0" collapsed="false">
      <c r="O59" s="12"/>
    </row>
    <row r="60" customFormat="false" ht="15" hidden="false" customHeight="true" outlineLevel="0" collapsed="false">
      <c r="O60" s="12"/>
    </row>
    <row r="61" customFormat="false" ht="15" hidden="false" customHeight="true" outlineLevel="0" collapsed="false">
      <c r="O61" s="12"/>
    </row>
    <row r="62" customFormat="false" ht="15" hidden="false" customHeight="true" outlineLevel="0" collapsed="false">
      <c r="O62" s="12"/>
    </row>
    <row r="63" customFormat="false" ht="15" hidden="false" customHeight="true" outlineLevel="0" collapsed="false">
      <c r="O63" s="12"/>
    </row>
    <row r="64" customFormat="false" ht="15" hidden="false" customHeight="true" outlineLevel="0" collapsed="false">
      <c r="O64" s="12"/>
    </row>
    <row r="65" customFormat="false" ht="15" hidden="false" customHeight="true" outlineLevel="0" collapsed="false">
      <c r="O65" s="12"/>
    </row>
    <row r="66" customFormat="false" ht="15" hidden="false" customHeight="true" outlineLevel="0" collapsed="false">
      <c r="O66" s="12"/>
    </row>
    <row r="67" customFormat="false" ht="15" hidden="false" customHeight="true" outlineLevel="0" collapsed="false">
      <c r="O67" s="12"/>
    </row>
    <row r="68" customFormat="false" ht="15" hidden="false" customHeight="true" outlineLevel="0" collapsed="false">
      <c r="O68" s="12"/>
    </row>
    <row r="69" customFormat="false" ht="15" hidden="false" customHeight="true" outlineLevel="0" collapsed="false">
      <c r="O69" s="12"/>
    </row>
    <row r="70" customFormat="false" ht="15" hidden="false" customHeight="true" outlineLevel="0" collapsed="false">
      <c r="O70" s="12"/>
    </row>
    <row r="71" customFormat="false" ht="15" hidden="false" customHeight="true" outlineLevel="0" collapsed="false">
      <c r="O71" s="12"/>
    </row>
    <row r="72" customFormat="false" ht="15" hidden="false" customHeight="true" outlineLevel="0" collapsed="false">
      <c r="O72" s="12"/>
    </row>
    <row r="73" customFormat="false" ht="15" hidden="false" customHeight="true" outlineLevel="0" collapsed="false">
      <c r="O73" s="12"/>
    </row>
    <row r="74" customFormat="false" ht="15" hidden="false" customHeight="true" outlineLevel="0" collapsed="false">
      <c r="O74" s="12"/>
    </row>
    <row r="75" customFormat="false" ht="15" hidden="false" customHeight="true" outlineLevel="0" collapsed="false">
      <c r="O75" s="12"/>
    </row>
    <row r="76" customFormat="false" ht="15" hidden="false" customHeight="true" outlineLevel="0" collapsed="false">
      <c r="O76" s="12"/>
    </row>
    <row r="77" customFormat="false" ht="15" hidden="false" customHeight="true" outlineLevel="0" collapsed="false">
      <c r="O77" s="12"/>
    </row>
    <row r="78" customFormat="false" ht="15" hidden="false" customHeight="true" outlineLevel="0" collapsed="false">
      <c r="O78" s="12"/>
    </row>
    <row r="79" customFormat="false" ht="15" hidden="false" customHeight="true" outlineLevel="0" collapsed="false">
      <c r="O79" s="12"/>
    </row>
    <row r="80" customFormat="false" ht="15" hidden="false" customHeight="true" outlineLevel="0" collapsed="false">
      <c r="O80" s="12"/>
    </row>
    <row r="81" customFormat="false" ht="15" hidden="false" customHeight="true" outlineLevel="0" collapsed="false">
      <c r="O81" s="12"/>
    </row>
    <row r="82" customFormat="false" ht="15" hidden="false" customHeight="true" outlineLevel="0" collapsed="false">
      <c r="O82" s="12"/>
    </row>
    <row r="83" customFormat="false" ht="15" hidden="false" customHeight="true" outlineLevel="0" collapsed="false">
      <c r="O83" s="12"/>
    </row>
    <row r="84" customFormat="false" ht="15" hidden="false" customHeight="true" outlineLevel="0" collapsed="false">
      <c r="O84" s="12"/>
    </row>
    <row r="85" customFormat="false" ht="15" hidden="false" customHeight="true" outlineLevel="0" collapsed="false">
      <c r="O85" s="12"/>
    </row>
    <row r="86" customFormat="false" ht="15" hidden="false" customHeight="true" outlineLevel="0" collapsed="false">
      <c r="O86" s="12"/>
    </row>
    <row r="87" customFormat="false" ht="15" hidden="false" customHeight="true" outlineLevel="0" collapsed="false">
      <c r="O87" s="12"/>
    </row>
    <row r="88" customFormat="false" ht="15" hidden="false" customHeight="true" outlineLevel="0" collapsed="false">
      <c r="O88" s="12"/>
    </row>
    <row r="89" customFormat="false" ht="15" hidden="false" customHeight="true" outlineLevel="0" collapsed="false">
      <c r="O89" s="12"/>
    </row>
    <row r="90" customFormat="false" ht="15" hidden="false" customHeight="true" outlineLevel="0" collapsed="false">
      <c r="O90" s="12"/>
    </row>
    <row r="91" customFormat="false" ht="15" hidden="false" customHeight="true" outlineLevel="0" collapsed="false">
      <c r="O91" s="12"/>
    </row>
    <row r="92" customFormat="false" ht="15" hidden="false" customHeight="true" outlineLevel="0" collapsed="false">
      <c r="O92" s="12"/>
    </row>
    <row r="93" customFormat="false" ht="15" hidden="false" customHeight="true" outlineLevel="0" collapsed="false">
      <c r="O93" s="12"/>
    </row>
    <row r="94" customFormat="false" ht="15" hidden="false" customHeight="true" outlineLevel="0" collapsed="false">
      <c r="O94" s="12"/>
    </row>
    <row r="95" customFormat="false" ht="15" hidden="false" customHeight="true" outlineLevel="0" collapsed="false">
      <c r="O95" s="12"/>
    </row>
    <row r="96" customFormat="false" ht="15" hidden="false" customHeight="true" outlineLevel="0" collapsed="false">
      <c r="O96" s="12"/>
    </row>
    <row r="97" customFormat="false" ht="15" hidden="false" customHeight="true" outlineLevel="0" collapsed="false">
      <c r="O97" s="12"/>
    </row>
    <row r="98" customFormat="false" ht="15" hidden="false" customHeight="true" outlineLevel="0" collapsed="false">
      <c r="O98" s="12"/>
    </row>
    <row r="99" customFormat="false" ht="15" hidden="false" customHeight="true" outlineLevel="0" collapsed="false">
      <c r="O99" s="12"/>
    </row>
    <row r="100" customFormat="false" ht="15" hidden="false" customHeight="true" outlineLevel="0" collapsed="false">
      <c r="O100" s="12"/>
    </row>
    <row r="101" customFormat="false" ht="15" hidden="false" customHeight="true" outlineLevel="0" collapsed="false">
      <c r="O101" s="12"/>
    </row>
    <row r="102" customFormat="false" ht="15" hidden="false" customHeight="true" outlineLevel="0" collapsed="false">
      <c r="O102" s="12"/>
    </row>
    <row r="103" customFormat="false" ht="15" hidden="false" customHeight="true" outlineLevel="0" collapsed="false">
      <c r="O103" s="12"/>
    </row>
    <row r="104" customFormat="false" ht="15" hidden="false" customHeight="true" outlineLevel="0" collapsed="false">
      <c r="O104" s="12"/>
    </row>
    <row r="105" customFormat="false" ht="15" hidden="false" customHeight="true" outlineLevel="0" collapsed="false">
      <c r="O105" s="12"/>
    </row>
    <row r="106" customFormat="false" ht="15" hidden="false" customHeight="true" outlineLevel="0" collapsed="false">
      <c r="O106" s="12"/>
    </row>
    <row r="107" customFormat="false" ht="15" hidden="false" customHeight="true" outlineLevel="0" collapsed="false">
      <c r="O107" s="12"/>
    </row>
    <row r="108" customFormat="false" ht="15" hidden="false" customHeight="true" outlineLevel="0" collapsed="false">
      <c r="O108" s="12"/>
    </row>
    <row r="109" customFormat="false" ht="15" hidden="false" customHeight="true" outlineLevel="0" collapsed="false">
      <c r="O109" s="12"/>
    </row>
    <row r="110" customFormat="false" ht="15" hidden="false" customHeight="true" outlineLevel="0" collapsed="false">
      <c r="O110" s="12"/>
    </row>
    <row r="111" customFormat="false" ht="15" hidden="false" customHeight="true" outlineLevel="0" collapsed="false">
      <c r="O111" s="12"/>
    </row>
    <row r="112" customFormat="false" ht="15" hidden="false" customHeight="true" outlineLevel="0" collapsed="false">
      <c r="O112" s="12"/>
    </row>
    <row r="113" customFormat="false" ht="15" hidden="false" customHeight="true" outlineLevel="0" collapsed="false">
      <c r="O113" s="12"/>
    </row>
    <row r="114" customFormat="false" ht="15" hidden="false" customHeight="true" outlineLevel="0" collapsed="false">
      <c r="O114" s="12"/>
    </row>
    <row r="115" customFormat="false" ht="15" hidden="false" customHeight="true" outlineLevel="0" collapsed="false">
      <c r="O115" s="12"/>
    </row>
    <row r="116" customFormat="false" ht="15" hidden="false" customHeight="true" outlineLevel="0" collapsed="false">
      <c r="O116" s="12"/>
    </row>
    <row r="117" customFormat="false" ht="15" hidden="false" customHeight="true" outlineLevel="0" collapsed="false">
      <c r="O117" s="12"/>
    </row>
    <row r="118" customFormat="false" ht="15" hidden="false" customHeight="true" outlineLevel="0" collapsed="false">
      <c r="O118" s="12"/>
    </row>
    <row r="119" customFormat="false" ht="15" hidden="false" customHeight="true" outlineLevel="0" collapsed="false">
      <c r="O119" s="12"/>
    </row>
    <row r="120" customFormat="false" ht="15" hidden="false" customHeight="true" outlineLevel="0" collapsed="false">
      <c r="O120" s="12"/>
    </row>
    <row r="121" customFormat="false" ht="15" hidden="false" customHeight="true" outlineLevel="0" collapsed="false">
      <c r="O121" s="12"/>
    </row>
    <row r="122" customFormat="false" ht="15" hidden="false" customHeight="true" outlineLevel="0" collapsed="false">
      <c r="O122" s="12"/>
    </row>
    <row r="123" customFormat="false" ht="15" hidden="false" customHeight="true" outlineLevel="0" collapsed="false">
      <c r="O123" s="12"/>
    </row>
    <row r="124" customFormat="false" ht="15" hidden="false" customHeight="true" outlineLevel="0" collapsed="false">
      <c r="O124" s="12"/>
    </row>
    <row r="125" customFormat="false" ht="15" hidden="false" customHeight="true" outlineLevel="0" collapsed="false">
      <c r="O125" s="12"/>
    </row>
    <row r="126" customFormat="false" ht="15" hidden="false" customHeight="true" outlineLevel="0" collapsed="false">
      <c r="O126" s="12"/>
    </row>
    <row r="127" customFormat="false" ht="15" hidden="false" customHeight="true" outlineLevel="0" collapsed="false">
      <c r="O127" s="12"/>
    </row>
    <row r="128" customFormat="false" ht="15" hidden="false" customHeight="true" outlineLevel="0" collapsed="false">
      <c r="O128" s="12"/>
    </row>
    <row r="129" customFormat="false" ht="15" hidden="false" customHeight="true" outlineLevel="0" collapsed="false">
      <c r="O129" s="12"/>
    </row>
    <row r="130" customFormat="false" ht="15" hidden="false" customHeight="true" outlineLevel="0" collapsed="false">
      <c r="O130" s="12"/>
    </row>
    <row r="131" customFormat="false" ht="15" hidden="false" customHeight="true" outlineLevel="0" collapsed="false">
      <c r="O131" s="12"/>
    </row>
    <row r="132" customFormat="false" ht="15" hidden="false" customHeight="true" outlineLevel="0" collapsed="false">
      <c r="O132" s="12"/>
    </row>
    <row r="133" customFormat="false" ht="15" hidden="false" customHeight="true" outlineLevel="0" collapsed="false">
      <c r="O133" s="12"/>
    </row>
    <row r="134" customFormat="false" ht="15" hidden="false" customHeight="true" outlineLevel="0" collapsed="false">
      <c r="O134" s="12"/>
    </row>
    <row r="135" customFormat="false" ht="15" hidden="false" customHeight="true" outlineLevel="0" collapsed="false">
      <c r="O135" s="12"/>
    </row>
    <row r="136" customFormat="false" ht="15" hidden="false" customHeight="true" outlineLevel="0" collapsed="false">
      <c r="O136" s="12"/>
    </row>
    <row r="137" customFormat="false" ht="15" hidden="false" customHeight="true" outlineLevel="0" collapsed="false">
      <c r="O137" s="12"/>
    </row>
    <row r="138" customFormat="false" ht="15" hidden="false" customHeight="true" outlineLevel="0" collapsed="false">
      <c r="O138" s="12"/>
    </row>
    <row r="139" customFormat="false" ht="15" hidden="false" customHeight="true" outlineLevel="0" collapsed="false">
      <c r="O139" s="12"/>
    </row>
    <row r="140" customFormat="false" ht="15" hidden="false" customHeight="true" outlineLevel="0" collapsed="false">
      <c r="O140" s="12"/>
    </row>
    <row r="141" customFormat="false" ht="15" hidden="false" customHeight="true" outlineLevel="0" collapsed="false">
      <c r="O141" s="12"/>
    </row>
    <row r="142" customFormat="false" ht="15" hidden="false" customHeight="true" outlineLevel="0" collapsed="false">
      <c r="O142" s="12"/>
    </row>
    <row r="143" customFormat="false" ht="15" hidden="false" customHeight="true" outlineLevel="0" collapsed="false">
      <c r="O143" s="12"/>
    </row>
    <row r="144" customFormat="false" ht="15" hidden="false" customHeight="true" outlineLevel="0" collapsed="false">
      <c r="O144" s="12"/>
    </row>
    <row r="145" customFormat="false" ht="15" hidden="false" customHeight="true" outlineLevel="0" collapsed="false">
      <c r="O145" s="12"/>
    </row>
    <row r="146" customFormat="false" ht="15" hidden="false" customHeight="true" outlineLevel="0" collapsed="false">
      <c r="O146" s="12"/>
    </row>
    <row r="147" customFormat="false" ht="15" hidden="false" customHeight="true" outlineLevel="0" collapsed="false">
      <c r="O147" s="12"/>
    </row>
    <row r="148" customFormat="false" ht="15" hidden="false" customHeight="true" outlineLevel="0" collapsed="false">
      <c r="O148" s="12"/>
    </row>
    <row r="149" customFormat="false" ht="15" hidden="false" customHeight="true" outlineLevel="0" collapsed="false">
      <c r="O149" s="12"/>
    </row>
    <row r="150" customFormat="false" ht="15" hidden="false" customHeight="true" outlineLevel="0" collapsed="false">
      <c r="O150" s="12"/>
    </row>
    <row r="151" customFormat="false" ht="15" hidden="false" customHeight="true" outlineLevel="0" collapsed="false">
      <c r="O151" s="12"/>
    </row>
    <row r="152" customFormat="false" ht="15" hidden="false" customHeight="true" outlineLevel="0" collapsed="false">
      <c r="O152" s="12"/>
    </row>
    <row r="153" customFormat="false" ht="15" hidden="false" customHeight="true" outlineLevel="0" collapsed="false">
      <c r="O153" s="12"/>
    </row>
    <row r="154" customFormat="false" ht="15" hidden="false" customHeight="true" outlineLevel="0" collapsed="false">
      <c r="O154" s="12"/>
    </row>
    <row r="155" customFormat="false" ht="15" hidden="false" customHeight="true" outlineLevel="0" collapsed="false">
      <c r="O155" s="12"/>
    </row>
    <row r="156" customFormat="false" ht="15" hidden="false" customHeight="true" outlineLevel="0" collapsed="false">
      <c r="O156" s="12"/>
    </row>
    <row r="157" customFormat="false" ht="15" hidden="false" customHeight="true" outlineLevel="0" collapsed="false">
      <c r="O157" s="12"/>
    </row>
    <row r="158" customFormat="false" ht="15" hidden="false" customHeight="true" outlineLevel="0" collapsed="false">
      <c r="O158" s="12"/>
    </row>
    <row r="159" customFormat="false" ht="15" hidden="false" customHeight="true" outlineLevel="0" collapsed="false">
      <c r="O159" s="12"/>
    </row>
    <row r="160" customFormat="false" ht="15" hidden="false" customHeight="true" outlineLevel="0" collapsed="false">
      <c r="O160" s="12"/>
    </row>
    <row r="161" customFormat="false" ht="15" hidden="false" customHeight="true" outlineLevel="0" collapsed="false">
      <c r="O161" s="12"/>
    </row>
    <row r="162" customFormat="false" ht="15" hidden="false" customHeight="true" outlineLevel="0" collapsed="false">
      <c r="O162" s="12"/>
    </row>
    <row r="163" customFormat="false" ht="15" hidden="false" customHeight="true" outlineLevel="0" collapsed="false">
      <c r="O163" s="12"/>
    </row>
    <row r="164" customFormat="false" ht="15" hidden="false" customHeight="true" outlineLevel="0" collapsed="false">
      <c r="O164" s="12"/>
    </row>
    <row r="165" customFormat="false" ht="15" hidden="false" customHeight="true" outlineLevel="0" collapsed="false">
      <c r="O165" s="12"/>
    </row>
    <row r="166" customFormat="false" ht="15" hidden="false" customHeight="true" outlineLevel="0" collapsed="false">
      <c r="O166" s="12"/>
    </row>
    <row r="167" customFormat="false" ht="15" hidden="false" customHeight="true" outlineLevel="0" collapsed="false">
      <c r="O167" s="12"/>
    </row>
    <row r="168" customFormat="false" ht="15" hidden="false" customHeight="true" outlineLevel="0" collapsed="false">
      <c r="O168" s="12"/>
    </row>
    <row r="169" customFormat="false" ht="15" hidden="false" customHeight="true" outlineLevel="0" collapsed="false">
      <c r="O169" s="12"/>
    </row>
    <row r="170" customFormat="false" ht="15" hidden="false" customHeight="true" outlineLevel="0" collapsed="false">
      <c r="O170" s="12"/>
    </row>
    <row r="171" customFormat="false" ht="15" hidden="false" customHeight="true" outlineLevel="0" collapsed="false">
      <c r="O171" s="12"/>
    </row>
    <row r="172" customFormat="false" ht="15" hidden="false" customHeight="true" outlineLevel="0" collapsed="false">
      <c r="O172" s="12"/>
    </row>
    <row r="173" customFormat="false" ht="15" hidden="false" customHeight="true" outlineLevel="0" collapsed="false">
      <c r="O173" s="12"/>
    </row>
    <row r="174" customFormat="false" ht="15" hidden="false" customHeight="true" outlineLevel="0" collapsed="false">
      <c r="O174" s="12"/>
    </row>
    <row r="175" customFormat="false" ht="15" hidden="false" customHeight="true" outlineLevel="0" collapsed="false">
      <c r="O175" s="12"/>
    </row>
    <row r="176" customFormat="false" ht="15" hidden="false" customHeight="true" outlineLevel="0" collapsed="false">
      <c r="O176" s="12"/>
    </row>
    <row r="177" customFormat="false" ht="15" hidden="false" customHeight="true" outlineLevel="0" collapsed="false">
      <c r="O177" s="12"/>
    </row>
    <row r="178" customFormat="false" ht="15" hidden="false" customHeight="true" outlineLevel="0" collapsed="false">
      <c r="O178" s="12"/>
    </row>
    <row r="179" customFormat="false" ht="15" hidden="false" customHeight="true" outlineLevel="0" collapsed="false">
      <c r="O179" s="12"/>
    </row>
    <row r="180" customFormat="false" ht="15" hidden="false" customHeight="true" outlineLevel="0" collapsed="false">
      <c r="O180" s="12"/>
    </row>
    <row r="181" customFormat="false" ht="15" hidden="false" customHeight="true" outlineLevel="0" collapsed="false">
      <c r="O181" s="12"/>
    </row>
    <row r="182" customFormat="false" ht="15" hidden="false" customHeight="true" outlineLevel="0" collapsed="false">
      <c r="O182" s="12"/>
    </row>
    <row r="183" customFormat="false" ht="15" hidden="false" customHeight="true" outlineLevel="0" collapsed="false">
      <c r="O183" s="12"/>
    </row>
    <row r="184" customFormat="false" ht="15" hidden="false" customHeight="true" outlineLevel="0" collapsed="false">
      <c r="O184" s="12"/>
    </row>
    <row r="185" customFormat="false" ht="15" hidden="false" customHeight="true" outlineLevel="0" collapsed="false">
      <c r="O185" s="12"/>
    </row>
    <row r="186" customFormat="false" ht="15" hidden="false" customHeight="true" outlineLevel="0" collapsed="false">
      <c r="O186" s="12"/>
    </row>
    <row r="187" customFormat="false" ht="15" hidden="false" customHeight="true" outlineLevel="0" collapsed="false">
      <c r="O187" s="12"/>
    </row>
    <row r="188" customFormat="false" ht="15" hidden="false" customHeight="true" outlineLevel="0" collapsed="false">
      <c r="O188" s="12"/>
    </row>
    <row r="189" customFormat="false" ht="15" hidden="false" customHeight="true" outlineLevel="0" collapsed="false">
      <c r="O189" s="12"/>
    </row>
    <row r="190" customFormat="false" ht="15" hidden="false" customHeight="true" outlineLevel="0" collapsed="false">
      <c r="O190" s="12"/>
    </row>
    <row r="191" customFormat="false" ht="15" hidden="false" customHeight="true" outlineLevel="0" collapsed="false">
      <c r="O191" s="12"/>
    </row>
    <row r="192" customFormat="false" ht="15" hidden="false" customHeight="true" outlineLevel="0" collapsed="false">
      <c r="O192" s="12"/>
    </row>
    <row r="193" customFormat="false" ht="15" hidden="false" customHeight="true" outlineLevel="0" collapsed="false">
      <c r="O193" s="12"/>
    </row>
    <row r="194" customFormat="false" ht="15" hidden="false" customHeight="true" outlineLevel="0" collapsed="false">
      <c r="O194" s="12"/>
    </row>
    <row r="195" customFormat="false" ht="15" hidden="false" customHeight="true" outlineLevel="0" collapsed="false">
      <c r="O195" s="12"/>
    </row>
    <row r="196" customFormat="false" ht="15" hidden="false" customHeight="true" outlineLevel="0" collapsed="false">
      <c r="O196" s="12"/>
    </row>
    <row r="197" customFormat="false" ht="15" hidden="false" customHeight="true" outlineLevel="0" collapsed="false">
      <c r="O197" s="12"/>
    </row>
    <row r="198" customFormat="false" ht="15" hidden="false" customHeight="true" outlineLevel="0" collapsed="false">
      <c r="O198" s="12"/>
    </row>
    <row r="199" customFormat="false" ht="15" hidden="false" customHeight="true" outlineLevel="0" collapsed="false">
      <c r="O199" s="12"/>
    </row>
    <row r="200" customFormat="false" ht="15" hidden="false" customHeight="true" outlineLevel="0" collapsed="false">
      <c r="O200" s="12"/>
    </row>
    <row r="201" customFormat="false" ht="15" hidden="false" customHeight="true" outlineLevel="0" collapsed="false">
      <c r="O201" s="12"/>
    </row>
    <row r="202" customFormat="false" ht="15" hidden="false" customHeight="true" outlineLevel="0" collapsed="false">
      <c r="O202" s="12"/>
    </row>
    <row r="203" customFormat="false" ht="15" hidden="false" customHeight="true" outlineLevel="0" collapsed="false">
      <c r="O203" s="12"/>
    </row>
    <row r="204" customFormat="false" ht="15" hidden="false" customHeight="true" outlineLevel="0" collapsed="false">
      <c r="O204" s="12"/>
    </row>
    <row r="205" customFormat="false" ht="15" hidden="false" customHeight="true" outlineLevel="0" collapsed="false">
      <c r="O205" s="12"/>
    </row>
    <row r="206" customFormat="false" ht="15" hidden="false" customHeight="true" outlineLevel="0" collapsed="false">
      <c r="O206" s="12"/>
    </row>
    <row r="207" customFormat="false" ht="15" hidden="false" customHeight="true" outlineLevel="0" collapsed="false">
      <c r="O207" s="12"/>
    </row>
    <row r="208" customFormat="false" ht="15" hidden="false" customHeight="true" outlineLevel="0" collapsed="false">
      <c r="O208" s="12"/>
    </row>
    <row r="209" customFormat="false" ht="15" hidden="false" customHeight="true" outlineLevel="0" collapsed="false">
      <c r="O209" s="12"/>
    </row>
    <row r="210" customFormat="false" ht="15" hidden="false" customHeight="true" outlineLevel="0" collapsed="false">
      <c r="O210" s="12"/>
    </row>
    <row r="211" customFormat="false" ht="15" hidden="false" customHeight="true" outlineLevel="0" collapsed="false">
      <c r="O211" s="12"/>
    </row>
    <row r="212" customFormat="false" ht="15" hidden="false" customHeight="true" outlineLevel="0" collapsed="false">
      <c r="O212" s="12"/>
    </row>
    <row r="213" customFormat="false" ht="15" hidden="false" customHeight="true" outlineLevel="0" collapsed="false">
      <c r="O213" s="12"/>
    </row>
    <row r="214" customFormat="false" ht="15" hidden="false" customHeight="true" outlineLevel="0" collapsed="false">
      <c r="O214" s="12"/>
    </row>
    <row r="215" customFormat="false" ht="15" hidden="false" customHeight="true" outlineLevel="0" collapsed="false">
      <c r="O215" s="12"/>
    </row>
    <row r="216" customFormat="false" ht="15" hidden="false" customHeight="true" outlineLevel="0" collapsed="false">
      <c r="O216" s="12"/>
    </row>
    <row r="217" customFormat="false" ht="15" hidden="false" customHeight="true" outlineLevel="0" collapsed="false">
      <c r="O217" s="12"/>
    </row>
    <row r="218" customFormat="false" ht="15" hidden="false" customHeight="true" outlineLevel="0" collapsed="false">
      <c r="O218" s="12"/>
    </row>
    <row r="219" customFormat="false" ht="15" hidden="false" customHeight="true" outlineLevel="0" collapsed="false">
      <c r="O219" s="12"/>
    </row>
    <row r="220" customFormat="false" ht="15" hidden="false" customHeight="true" outlineLevel="0" collapsed="false">
      <c r="O220" s="12"/>
    </row>
    <row r="221" customFormat="false" ht="15" hidden="false" customHeight="true" outlineLevel="0" collapsed="false">
      <c r="O221" s="12"/>
    </row>
    <row r="222" customFormat="false" ht="15" hidden="false" customHeight="true" outlineLevel="0" collapsed="false">
      <c r="O222" s="12"/>
    </row>
    <row r="223" customFormat="false" ht="15" hidden="false" customHeight="true" outlineLevel="0" collapsed="false">
      <c r="O223" s="12"/>
    </row>
    <row r="224" customFormat="false" ht="15" hidden="false" customHeight="true" outlineLevel="0" collapsed="false">
      <c r="O224" s="12"/>
    </row>
    <row r="225" customFormat="false" ht="15" hidden="false" customHeight="true" outlineLevel="0" collapsed="false">
      <c r="O225" s="12"/>
    </row>
    <row r="226" customFormat="false" ht="15" hidden="false" customHeight="true" outlineLevel="0" collapsed="false">
      <c r="O226" s="12"/>
    </row>
    <row r="227" customFormat="false" ht="15" hidden="false" customHeight="true" outlineLevel="0" collapsed="false">
      <c r="O227" s="12"/>
    </row>
    <row r="228" customFormat="false" ht="15" hidden="false" customHeight="true" outlineLevel="0" collapsed="false">
      <c r="O228" s="12"/>
    </row>
    <row r="229" customFormat="false" ht="15" hidden="false" customHeight="true" outlineLevel="0" collapsed="false">
      <c r="O229" s="12"/>
    </row>
    <row r="230" customFormat="false" ht="15" hidden="false" customHeight="true" outlineLevel="0" collapsed="false">
      <c r="O230" s="12"/>
    </row>
    <row r="231" customFormat="false" ht="15" hidden="false" customHeight="true" outlineLevel="0" collapsed="false">
      <c r="O231" s="12"/>
    </row>
    <row r="232" customFormat="false" ht="15" hidden="false" customHeight="true" outlineLevel="0" collapsed="false">
      <c r="O232" s="12"/>
    </row>
    <row r="233" customFormat="false" ht="15" hidden="false" customHeight="true" outlineLevel="0" collapsed="false">
      <c r="O233" s="12"/>
    </row>
    <row r="234" customFormat="false" ht="15" hidden="false" customHeight="true" outlineLevel="0" collapsed="false">
      <c r="O234" s="12"/>
    </row>
    <row r="235" customFormat="false" ht="15" hidden="false" customHeight="true" outlineLevel="0" collapsed="false">
      <c r="O235" s="12"/>
    </row>
    <row r="236" customFormat="false" ht="15" hidden="false" customHeight="true" outlineLevel="0" collapsed="false">
      <c r="O236" s="12"/>
    </row>
    <row r="237" customFormat="false" ht="15" hidden="false" customHeight="true" outlineLevel="0" collapsed="false">
      <c r="O237" s="12"/>
    </row>
    <row r="238" customFormat="false" ht="15" hidden="false" customHeight="true" outlineLevel="0" collapsed="false">
      <c r="O238" s="12"/>
    </row>
    <row r="239" customFormat="false" ht="15" hidden="false" customHeight="true" outlineLevel="0" collapsed="false">
      <c r="O239" s="12"/>
    </row>
    <row r="240" customFormat="false" ht="15" hidden="false" customHeight="true" outlineLevel="0" collapsed="false">
      <c r="O240" s="12"/>
    </row>
    <row r="241" customFormat="false" ht="15" hidden="false" customHeight="true" outlineLevel="0" collapsed="false">
      <c r="O241" s="12"/>
    </row>
    <row r="242" customFormat="false" ht="15" hidden="false" customHeight="true" outlineLevel="0" collapsed="false">
      <c r="O242" s="12"/>
    </row>
    <row r="243" customFormat="false" ht="15" hidden="false" customHeight="true" outlineLevel="0" collapsed="false">
      <c r="O243" s="12"/>
    </row>
    <row r="244" customFormat="false" ht="15" hidden="false" customHeight="true" outlineLevel="0" collapsed="false">
      <c r="O244" s="12"/>
    </row>
    <row r="245" customFormat="false" ht="15" hidden="false" customHeight="true" outlineLevel="0" collapsed="false">
      <c r="O245" s="12"/>
    </row>
    <row r="246" customFormat="false" ht="15" hidden="false" customHeight="true" outlineLevel="0" collapsed="false">
      <c r="O246" s="12"/>
    </row>
    <row r="247" customFormat="false" ht="15" hidden="false" customHeight="true" outlineLevel="0" collapsed="false">
      <c r="O247" s="12"/>
    </row>
    <row r="248" customFormat="false" ht="15" hidden="false" customHeight="true" outlineLevel="0" collapsed="false">
      <c r="O248" s="12"/>
    </row>
    <row r="249" customFormat="false" ht="15" hidden="false" customHeight="true" outlineLevel="0" collapsed="false">
      <c r="O249" s="12"/>
    </row>
    <row r="250" customFormat="false" ht="15" hidden="false" customHeight="true" outlineLevel="0" collapsed="false">
      <c r="O250" s="12"/>
    </row>
    <row r="251" customFormat="false" ht="15" hidden="false" customHeight="true" outlineLevel="0" collapsed="false">
      <c r="O251" s="12"/>
    </row>
    <row r="252" customFormat="false" ht="15" hidden="false" customHeight="true" outlineLevel="0" collapsed="false">
      <c r="O252" s="12"/>
    </row>
    <row r="253" customFormat="false" ht="15" hidden="false" customHeight="true" outlineLevel="0" collapsed="false">
      <c r="O253" s="12"/>
    </row>
    <row r="254" customFormat="false" ht="15" hidden="false" customHeight="true" outlineLevel="0" collapsed="false">
      <c r="O254" s="12"/>
    </row>
    <row r="255" customFormat="false" ht="15" hidden="false" customHeight="true" outlineLevel="0" collapsed="false">
      <c r="O255" s="12"/>
    </row>
    <row r="256" customFormat="false" ht="15" hidden="false" customHeight="true" outlineLevel="0" collapsed="false">
      <c r="O256" s="12"/>
    </row>
    <row r="257" customFormat="false" ht="15" hidden="false" customHeight="true" outlineLevel="0" collapsed="false">
      <c r="O257" s="12"/>
    </row>
    <row r="258" customFormat="false" ht="15" hidden="false" customHeight="true" outlineLevel="0" collapsed="false">
      <c r="O258" s="12"/>
    </row>
    <row r="259" customFormat="false" ht="15" hidden="false" customHeight="true" outlineLevel="0" collapsed="false">
      <c r="O259" s="12"/>
    </row>
    <row r="260" customFormat="false" ht="15" hidden="false" customHeight="true" outlineLevel="0" collapsed="false">
      <c r="O260" s="12"/>
    </row>
    <row r="261" customFormat="false" ht="15" hidden="false" customHeight="true" outlineLevel="0" collapsed="false">
      <c r="O261" s="12"/>
    </row>
    <row r="262" customFormat="false" ht="15" hidden="false" customHeight="true" outlineLevel="0" collapsed="false">
      <c r="O262" s="12"/>
    </row>
    <row r="263" customFormat="false" ht="15" hidden="false" customHeight="true" outlineLevel="0" collapsed="false">
      <c r="O263" s="12"/>
    </row>
    <row r="264" customFormat="false" ht="15" hidden="false" customHeight="true" outlineLevel="0" collapsed="false">
      <c r="O264" s="12"/>
    </row>
    <row r="265" customFormat="false" ht="15" hidden="false" customHeight="true" outlineLevel="0" collapsed="false">
      <c r="O265" s="12"/>
    </row>
    <row r="266" customFormat="false" ht="15" hidden="false" customHeight="true" outlineLevel="0" collapsed="false">
      <c r="O266" s="12"/>
    </row>
    <row r="267" customFormat="false" ht="15" hidden="false" customHeight="true" outlineLevel="0" collapsed="false">
      <c r="O267" s="12"/>
    </row>
    <row r="268" customFormat="false" ht="15" hidden="false" customHeight="true" outlineLevel="0" collapsed="false">
      <c r="O268" s="12"/>
    </row>
    <row r="269" customFormat="false" ht="15" hidden="false" customHeight="true" outlineLevel="0" collapsed="false">
      <c r="O269" s="12"/>
    </row>
    <row r="270" customFormat="false" ht="15" hidden="false" customHeight="true" outlineLevel="0" collapsed="false">
      <c r="O270" s="12"/>
    </row>
    <row r="271" customFormat="false" ht="15" hidden="false" customHeight="true" outlineLevel="0" collapsed="false">
      <c r="O271" s="12"/>
    </row>
    <row r="272" customFormat="false" ht="15" hidden="false" customHeight="true" outlineLevel="0" collapsed="false">
      <c r="O272" s="12"/>
    </row>
    <row r="273" customFormat="false" ht="15" hidden="false" customHeight="true" outlineLevel="0" collapsed="false">
      <c r="O273" s="12"/>
    </row>
    <row r="274" customFormat="false" ht="15" hidden="false" customHeight="true" outlineLevel="0" collapsed="false">
      <c r="O274" s="12"/>
    </row>
    <row r="275" customFormat="false" ht="15" hidden="false" customHeight="true" outlineLevel="0" collapsed="false">
      <c r="O275" s="12"/>
    </row>
    <row r="276" customFormat="false" ht="15" hidden="false" customHeight="true" outlineLevel="0" collapsed="false">
      <c r="O276" s="12"/>
    </row>
    <row r="277" customFormat="false" ht="15" hidden="false" customHeight="true" outlineLevel="0" collapsed="false">
      <c r="O277" s="12"/>
    </row>
    <row r="278" customFormat="false" ht="15" hidden="false" customHeight="true" outlineLevel="0" collapsed="false">
      <c r="O278" s="12"/>
    </row>
    <row r="279" customFormat="false" ht="15" hidden="false" customHeight="true" outlineLevel="0" collapsed="false">
      <c r="O279" s="12"/>
    </row>
    <row r="280" customFormat="false" ht="15" hidden="false" customHeight="true" outlineLevel="0" collapsed="false">
      <c r="O280" s="12"/>
    </row>
    <row r="281" customFormat="false" ht="15" hidden="false" customHeight="true" outlineLevel="0" collapsed="false">
      <c r="O281" s="12"/>
    </row>
    <row r="282" customFormat="false" ht="15" hidden="false" customHeight="true" outlineLevel="0" collapsed="false">
      <c r="O282" s="12"/>
    </row>
    <row r="283" customFormat="false" ht="15" hidden="false" customHeight="true" outlineLevel="0" collapsed="false">
      <c r="O283" s="12"/>
    </row>
    <row r="284" customFormat="false" ht="15" hidden="false" customHeight="true" outlineLevel="0" collapsed="false">
      <c r="O284" s="12"/>
    </row>
    <row r="285" customFormat="false" ht="15" hidden="false" customHeight="true" outlineLevel="0" collapsed="false">
      <c r="O285" s="12"/>
    </row>
    <row r="286" customFormat="false" ht="15" hidden="false" customHeight="true" outlineLevel="0" collapsed="false">
      <c r="O286" s="12"/>
    </row>
    <row r="287" customFormat="false" ht="15" hidden="false" customHeight="true" outlineLevel="0" collapsed="false">
      <c r="O287" s="12"/>
    </row>
    <row r="288" customFormat="false" ht="15" hidden="false" customHeight="true" outlineLevel="0" collapsed="false">
      <c r="O288" s="12"/>
    </row>
    <row r="289" customFormat="false" ht="15" hidden="false" customHeight="true" outlineLevel="0" collapsed="false">
      <c r="O289" s="12"/>
    </row>
    <row r="290" customFormat="false" ht="15" hidden="false" customHeight="true" outlineLevel="0" collapsed="false">
      <c r="O290" s="12"/>
    </row>
    <row r="291" customFormat="false" ht="15" hidden="false" customHeight="true" outlineLevel="0" collapsed="false">
      <c r="O291" s="12"/>
    </row>
    <row r="292" customFormat="false" ht="15" hidden="false" customHeight="true" outlineLevel="0" collapsed="false">
      <c r="O292" s="12"/>
    </row>
    <row r="293" customFormat="false" ht="15" hidden="false" customHeight="true" outlineLevel="0" collapsed="false">
      <c r="O293" s="12"/>
    </row>
    <row r="294" customFormat="false" ht="15" hidden="false" customHeight="true" outlineLevel="0" collapsed="false">
      <c r="O294" s="12"/>
    </row>
    <row r="295" customFormat="false" ht="15" hidden="false" customHeight="true" outlineLevel="0" collapsed="false">
      <c r="O295" s="12"/>
    </row>
    <row r="296" customFormat="false" ht="15" hidden="false" customHeight="true" outlineLevel="0" collapsed="false">
      <c r="O296" s="12"/>
    </row>
    <row r="297" customFormat="false" ht="15" hidden="false" customHeight="true" outlineLevel="0" collapsed="false">
      <c r="O297" s="12"/>
    </row>
    <row r="298" customFormat="false" ht="15" hidden="false" customHeight="true" outlineLevel="0" collapsed="false">
      <c r="O298" s="12"/>
    </row>
    <row r="299" customFormat="false" ht="15" hidden="false" customHeight="true" outlineLevel="0" collapsed="false">
      <c r="O299" s="12"/>
    </row>
    <row r="300" customFormat="false" ht="15" hidden="false" customHeight="true" outlineLevel="0" collapsed="false">
      <c r="O300" s="12"/>
    </row>
    <row r="301" customFormat="false" ht="15" hidden="false" customHeight="true" outlineLevel="0" collapsed="false">
      <c r="O301" s="12"/>
    </row>
    <row r="302" customFormat="false" ht="15" hidden="false" customHeight="true" outlineLevel="0" collapsed="false">
      <c r="O302" s="12"/>
    </row>
    <row r="303" customFormat="false" ht="15" hidden="false" customHeight="true" outlineLevel="0" collapsed="false">
      <c r="O303" s="12"/>
    </row>
    <row r="304" customFormat="false" ht="15" hidden="false" customHeight="true" outlineLevel="0" collapsed="false">
      <c r="O304" s="12"/>
    </row>
    <row r="305" customFormat="false" ht="15" hidden="false" customHeight="true" outlineLevel="0" collapsed="false">
      <c r="O305" s="12"/>
    </row>
    <row r="306" customFormat="false" ht="15" hidden="false" customHeight="true" outlineLevel="0" collapsed="false">
      <c r="O306" s="12"/>
    </row>
    <row r="307" customFormat="false" ht="15" hidden="false" customHeight="true" outlineLevel="0" collapsed="false">
      <c r="O307" s="12"/>
    </row>
    <row r="308" customFormat="false" ht="15" hidden="false" customHeight="true" outlineLevel="0" collapsed="false">
      <c r="O308" s="12"/>
    </row>
    <row r="309" customFormat="false" ht="15" hidden="false" customHeight="true" outlineLevel="0" collapsed="false">
      <c r="O309" s="12"/>
    </row>
    <row r="310" customFormat="false" ht="15" hidden="false" customHeight="true" outlineLevel="0" collapsed="false">
      <c r="O310" s="12"/>
    </row>
    <row r="311" customFormat="false" ht="15" hidden="false" customHeight="true" outlineLevel="0" collapsed="false">
      <c r="O311" s="12"/>
    </row>
    <row r="312" customFormat="false" ht="15" hidden="false" customHeight="true" outlineLevel="0" collapsed="false">
      <c r="O312" s="12"/>
    </row>
    <row r="313" customFormat="false" ht="15" hidden="false" customHeight="true" outlineLevel="0" collapsed="false">
      <c r="O313" s="12"/>
    </row>
    <row r="314" customFormat="false" ht="15" hidden="false" customHeight="true" outlineLevel="0" collapsed="false">
      <c r="O314" s="12"/>
    </row>
    <row r="315" customFormat="false" ht="15" hidden="false" customHeight="true" outlineLevel="0" collapsed="false">
      <c r="O315" s="12"/>
    </row>
    <row r="316" customFormat="false" ht="15" hidden="false" customHeight="true" outlineLevel="0" collapsed="false">
      <c r="O316" s="12"/>
    </row>
    <row r="317" customFormat="false" ht="15" hidden="false" customHeight="true" outlineLevel="0" collapsed="false">
      <c r="O317" s="12"/>
    </row>
    <row r="318" customFormat="false" ht="15" hidden="false" customHeight="true" outlineLevel="0" collapsed="false">
      <c r="O318" s="12"/>
    </row>
    <row r="319" customFormat="false" ht="15" hidden="false" customHeight="true" outlineLevel="0" collapsed="false">
      <c r="O319" s="12"/>
    </row>
    <row r="320" customFormat="false" ht="15" hidden="false" customHeight="true" outlineLevel="0" collapsed="false">
      <c r="O320" s="12"/>
    </row>
    <row r="321" customFormat="false" ht="15" hidden="false" customHeight="true" outlineLevel="0" collapsed="false">
      <c r="O321" s="12"/>
    </row>
    <row r="322" customFormat="false" ht="15" hidden="false" customHeight="true" outlineLevel="0" collapsed="false">
      <c r="O322" s="12"/>
    </row>
    <row r="323" customFormat="false" ht="15" hidden="false" customHeight="true" outlineLevel="0" collapsed="false">
      <c r="O323" s="12"/>
    </row>
    <row r="324" customFormat="false" ht="15" hidden="false" customHeight="true" outlineLevel="0" collapsed="false">
      <c r="O324" s="12"/>
    </row>
    <row r="325" customFormat="false" ht="15" hidden="false" customHeight="true" outlineLevel="0" collapsed="false">
      <c r="O325" s="12"/>
    </row>
    <row r="326" customFormat="false" ht="15" hidden="false" customHeight="true" outlineLevel="0" collapsed="false">
      <c r="O326" s="12"/>
    </row>
    <row r="327" customFormat="false" ht="15" hidden="false" customHeight="true" outlineLevel="0" collapsed="false">
      <c r="O327" s="12"/>
    </row>
    <row r="328" customFormat="false" ht="15" hidden="false" customHeight="true" outlineLevel="0" collapsed="false">
      <c r="O328" s="12"/>
    </row>
    <row r="329" customFormat="false" ht="15" hidden="false" customHeight="true" outlineLevel="0" collapsed="false">
      <c r="O329" s="12"/>
    </row>
    <row r="330" customFormat="false" ht="15" hidden="false" customHeight="true" outlineLevel="0" collapsed="false">
      <c r="O330" s="12"/>
    </row>
    <row r="331" customFormat="false" ht="15" hidden="false" customHeight="true" outlineLevel="0" collapsed="false">
      <c r="O331" s="12"/>
    </row>
    <row r="332" customFormat="false" ht="15" hidden="false" customHeight="true" outlineLevel="0" collapsed="false">
      <c r="O332" s="12"/>
    </row>
    <row r="333" customFormat="false" ht="15" hidden="false" customHeight="true" outlineLevel="0" collapsed="false">
      <c r="O333" s="12"/>
    </row>
    <row r="334" customFormat="false" ht="15" hidden="false" customHeight="true" outlineLevel="0" collapsed="false">
      <c r="O334" s="12"/>
    </row>
    <row r="335" customFormat="false" ht="15" hidden="false" customHeight="true" outlineLevel="0" collapsed="false">
      <c r="O335" s="12"/>
    </row>
    <row r="336" customFormat="false" ht="15" hidden="false" customHeight="true" outlineLevel="0" collapsed="false">
      <c r="O336" s="12"/>
    </row>
    <row r="337" customFormat="false" ht="15" hidden="false" customHeight="true" outlineLevel="0" collapsed="false">
      <c r="O337" s="12"/>
    </row>
    <row r="338" customFormat="false" ht="15" hidden="false" customHeight="true" outlineLevel="0" collapsed="false">
      <c r="O338" s="12"/>
    </row>
    <row r="339" customFormat="false" ht="15" hidden="false" customHeight="true" outlineLevel="0" collapsed="false">
      <c r="O339" s="12"/>
    </row>
    <row r="340" customFormat="false" ht="15" hidden="false" customHeight="true" outlineLevel="0" collapsed="false">
      <c r="O340" s="12"/>
    </row>
    <row r="341" customFormat="false" ht="15" hidden="false" customHeight="true" outlineLevel="0" collapsed="false">
      <c r="O341" s="12"/>
    </row>
    <row r="342" customFormat="false" ht="15" hidden="false" customHeight="true" outlineLevel="0" collapsed="false">
      <c r="O342" s="12"/>
    </row>
    <row r="343" customFormat="false" ht="15" hidden="false" customHeight="true" outlineLevel="0" collapsed="false">
      <c r="O343" s="12"/>
    </row>
    <row r="344" customFormat="false" ht="15" hidden="false" customHeight="true" outlineLevel="0" collapsed="false">
      <c r="O344" s="12"/>
    </row>
    <row r="345" customFormat="false" ht="15" hidden="false" customHeight="true" outlineLevel="0" collapsed="false">
      <c r="O345" s="12"/>
    </row>
    <row r="346" customFormat="false" ht="15" hidden="false" customHeight="true" outlineLevel="0" collapsed="false">
      <c r="O346" s="12"/>
    </row>
    <row r="347" customFormat="false" ht="15" hidden="false" customHeight="true" outlineLevel="0" collapsed="false">
      <c r="O347" s="12"/>
    </row>
    <row r="348" customFormat="false" ht="15" hidden="false" customHeight="true" outlineLevel="0" collapsed="false">
      <c r="O348" s="12"/>
    </row>
    <row r="349" customFormat="false" ht="15" hidden="false" customHeight="true" outlineLevel="0" collapsed="false">
      <c r="O349" s="12"/>
    </row>
    <row r="350" customFormat="false" ht="15" hidden="false" customHeight="true" outlineLevel="0" collapsed="false">
      <c r="O350" s="12"/>
    </row>
    <row r="351" customFormat="false" ht="15" hidden="false" customHeight="true" outlineLevel="0" collapsed="false">
      <c r="O351" s="12"/>
    </row>
    <row r="352" customFormat="false" ht="15" hidden="false" customHeight="true" outlineLevel="0" collapsed="false">
      <c r="O352" s="12"/>
    </row>
    <row r="353" customFormat="false" ht="15" hidden="false" customHeight="true" outlineLevel="0" collapsed="false">
      <c r="O353" s="12"/>
    </row>
    <row r="354" customFormat="false" ht="15" hidden="false" customHeight="true" outlineLevel="0" collapsed="false">
      <c r="O354" s="12"/>
    </row>
    <row r="355" customFormat="false" ht="15" hidden="false" customHeight="true" outlineLevel="0" collapsed="false">
      <c r="O355" s="12"/>
    </row>
    <row r="356" customFormat="false" ht="15" hidden="false" customHeight="true" outlineLevel="0" collapsed="false">
      <c r="O356" s="12"/>
    </row>
    <row r="357" customFormat="false" ht="15" hidden="false" customHeight="true" outlineLevel="0" collapsed="false">
      <c r="O357" s="12"/>
    </row>
    <row r="358" customFormat="false" ht="15" hidden="false" customHeight="true" outlineLevel="0" collapsed="false">
      <c r="O358" s="12"/>
    </row>
    <row r="359" customFormat="false" ht="15" hidden="false" customHeight="true" outlineLevel="0" collapsed="false">
      <c r="O359" s="12"/>
    </row>
    <row r="360" customFormat="false" ht="15" hidden="false" customHeight="true" outlineLevel="0" collapsed="false">
      <c r="O360" s="12"/>
    </row>
    <row r="361" customFormat="false" ht="15" hidden="false" customHeight="true" outlineLevel="0" collapsed="false">
      <c r="O361" s="12"/>
    </row>
    <row r="362" customFormat="false" ht="15" hidden="false" customHeight="true" outlineLevel="0" collapsed="false">
      <c r="O362" s="12"/>
    </row>
    <row r="363" customFormat="false" ht="15" hidden="false" customHeight="true" outlineLevel="0" collapsed="false">
      <c r="O363" s="12"/>
    </row>
    <row r="364" customFormat="false" ht="15" hidden="false" customHeight="true" outlineLevel="0" collapsed="false">
      <c r="O364" s="12"/>
    </row>
    <row r="365" customFormat="false" ht="15" hidden="false" customHeight="true" outlineLevel="0" collapsed="false">
      <c r="O365" s="12"/>
    </row>
    <row r="366" customFormat="false" ht="15" hidden="false" customHeight="true" outlineLevel="0" collapsed="false">
      <c r="O366" s="12"/>
    </row>
    <row r="367" customFormat="false" ht="15" hidden="false" customHeight="true" outlineLevel="0" collapsed="false">
      <c r="O367" s="12"/>
    </row>
    <row r="368" customFormat="false" ht="15" hidden="false" customHeight="true" outlineLevel="0" collapsed="false">
      <c r="O368" s="12"/>
    </row>
    <row r="369" customFormat="false" ht="15" hidden="false" customHeight="true" outlineLevel="0" collapsed="false">
      <c r="O369" s="12"/>
    </row>
    <row r="370" customFormat="false" ht="15" hidden="false" customHeight="true" outlineLevel="0" collapsed="false">
      <c r="O370" s="12"/>
    </row>
    <row r="371" customFormat="false" ht="15" hidden="false" customHeight="true" outlineLevel="0" collapsed="false">
      <c r="O371" s="12"/>
    </row>
    <row r="372" customFormat="false" ht="15" hidden="false" customHeight="true" outlineLevel="0" collapsed="false">
      <c r="O372" s="12"/>
    </row>
    <row r="373" customFormat="false" ht="15" hidden="false" customHeight="true" outlineLevel="0" collapsed="false">
      <c r="O373" s="12"/>
    </row>
    <row r="374" customFormat="false" ht="15" hidden="false" customHeight="true" outlineLevel="0" collapsed="false">
      <c r="O374" s="12"/>
    </row>
    <row r="375" customFormat="false" ht="15" hidden="false" customHeight="true" outlineLevel="0" collapsed="false">
      <c r="O375" s="12"/>
    </row>
    <row r="376" customFormat="false" ht="15" hidden="false" customHeight="true" outlineLevel="0" collapsed="false">
      <c r="O376" s="12"/>
    </row>
    <row r="377" customFormat="false" ht="15" hidden="false" customHeight="true" outlineLevel="0" collapsed="false">
      <c r="O377" s="12"/>
    </row>
    <row r="378" customFormat="false" ht="15" hidden="false" customHeight="true" outlineLevel="0" collapsed="false">
      <c r="O378" s="12"/>
    </row>
    <row r="379" customFormat="false" ht="15" hidden="false" customHeight="true" outlineLevel="0" collapsed="false">
      <c r="O379" s="12"/>
    </row>
    <row r="380" customFormat="false" ht="15" hidden="false" customHeight="true" outlineLevel="0" collapsed="false">
      <c r="O380" s="12"/>
    </row>
    <row r="381" customFormat="false" ht="15" hidden="false" customHeight="true" outlineLevel="0" collapsed="false">
      <c r="O381" s="12"/>
    </row>
    <row r="382" customFormat="false" ht="15" hidden="false" customHeight="true" outlineLevel="0" collapsed="false">
      <c r="O382" s="12"/>
    </row>
    <row r="383" customFormat="false" ht="15" hidden="false" customHeight="true" outlineLevel="0" collapsed="false">
      <c r="O383" s="12"/>
    </row>
    <row r="384" customFormat="false" ht="15" hidden="false" customHeight="true" outlineLevel="0" collapsed="false">
      <c r="O384" s="12"/>
    </row>
    <row r="385" customFormat="false" ht="15" hidden="false" customHeight="true" outlineLevel="0" collapsed="false">
      <c r="O385" s="12"/>
    </row>
    <row r="386" customFormat="false" ht="15" hidden="false" customHeight="true" outlineLevel="0" collapsed="false">
      <c r="O386" s="12"/>
    </row>
    <row r="387" customFormat="false" ht="15" hidden="false" customHeight="true" outlineLevel="0" collapsed="false">
      <c r="O387" s="12"/>
    </row>
    <row r="388" customFormat="false" ht="15" hidden="false" customHeight="true" outlineLevel="0" collapsed="false">
      <c r="O388" s="12"/>
    </row>
    <row r="389" customFormat="false" ht="15" hidden="false" customHeight="true" outlineLevel="0" collapsed="false">
      <c r="O389" s="12"/>
    </row>
    <row r="390" customFormat="false" ht="15" hidden="false" customHeight="true" outlineLevel="0" collapsed="false">
      <c r="O390" s="12"/>
    </row>
    <row r="391" customFormat="false" ht="15" hidden="false" customHeight="true" outlineLevel="0" collapsed="false">
      <c r="O391" s="12"/>
    </row>
    <row r="392" customFormat="false" ht="15" hidden="false" customHeight="true" outlineLevel="0" collapsed="false">
      <c r="O392" s="12"/>
    </row>
    <row r="393" customFormat="false" ht="15" hidden="false" customHeight="true" outlineLevel="0" collapsed="false">
      <c r="O393" s="12"/>
    </row>
    <row r="394" customFormat="false" ht="15" hidden="false" customHeight="true" outlineLevel="0" collapsed="false">
      <c r="O394" s="12"/>
    </row>
    <row r="395" customFormat="false" ht="15" hidden="false" customHeight="true" outlineLevel="0" collapsed="false">
      <c r="O395" s="12"/>
    </row>
    <row r="396" customFormat="false" ht="15" hidden="false" customHeight="true" outlineLevel="0" collapsed="false">
      <c r="O396" s="12"/>
    </row>
    <row r="397" customFormat="false" ht="15" hidden="false" customHeight="true" outlineLevel="0" collapsed="false">
      <c r="O397" s="12"/>
    </row>
    <row r="398" customFormat="false" ht="15" hidden="false" customHeight="true" outlineLevel="0" collapsed="false">
      <c r="O398" s="12"/>
    </row>
    <row r="399" customFormat="false" ht="15" hidden="false" customHeight="true" outlineLevel="0" collapsed="false">
      <c r="O399" s="12"/>
    </row>
    <row r="400" customFormat="false" ht="15" hidden="false" customHeight="true" outlineLevel="0" collapsed="false">
      <c r="O400" s="12"/>
    </row>
    <row r="401" customFormat="false" ht="15" hidden="false" customHeight="true" outlineLevel="0" collapsed="false">
      <c r="O401" s="12"/>
    </row>
    <row r="402" customFormat="false" ht="15" hidden="false" customHeight="true" outlineLevel="0" collapsed="false">
      <c r="O402" s="12"/>
    </row>
    <row r="403" customFormat="false" ht="15" hidden="false" customHeight="true" outlineLevel="0" collapsed="false">
      <c r="O403" s="12"/>
    </row>
    <row r="404" customFormat="false" ht="15" hidden="false" customHeight="true" outlineLevel="0" collapsed="false">
      <c r="O404" s="12"/>
    </row>
    <row r="405" customFormat="false" ht="15" hidden="false" customHeight="true" outlineLevel="0" collapsed="false">
      <c r="O405" s="12"/>
    </row>
    <row r="406" customFormat="false" ht="15" hidden="false" customHeight="true" outlineLevel="0" collapsed="false">
      <c r="O406" s="12"/>
    </row>
    <row r="407" customFormat="false" ht="15" hidden="false" customHeight="true" outlineLevel="0" collapsed="false">
      <c r="O407" s="12"/>
    </row>
    <row r="408" customFormat="false" ht="15" hidden="false" customHeight="true" outlineLevel="0" collapsed="false">
      <c r="O408" s="12"/>
    </row>
    <row r="409" customFormat="false" ht="15" hidden="false" customHeight="true" outlineLevel="0" collapsed="false">
      <c r="O409" s="12"/>
    </row>
    <row r="410" customFormat="false" ht="15" hidden="false" customHeight="true" outlineLevel="0" collapsed="false">
      <c r="O410" s="12"/>
    </row>
    <row r="411" customFormat="false" ht="15" hidden="false" customHeight="true" outlineLevel="0" collapsed="false">
      <c r="O411" s="12"/>
    </row>
    <row r="412" customFormat="false" ht="15" hidden="false" customHeight="true" outlineLevel="0" collapsed="false">
      <c r="O412" s="12"/>
    </row>
    <row r="413" customFormat="false" ht="15" hidden="false" customHeight="true" outlineLevel="0" collapsed="false">
      <c r="O413" s="12"/>
    </row>
    <row r="414" customFormat="false" ht="15" hidden="false" customHeight="true" outlineLevel="0" collapsed="false">
      <c r="O414" s="12"/>
    </row>
    <row r="415" customFormat="false" ht="15" hidden="false" customHeight="true" outlineLevel="0" collapsed="false">
      <c r="O415" s="12"/>
    </row>
    <row r="416" customFormat="false" ht="15" hidden="false" customHeight="true" outlineLevel="0" collapsed="false">
      <c r="O416" s="12"/>
    </row>
    <row r="417" customFormat="false" ht="15" hidden="false" customHeight="true" outlineLevel="0" collapsed="false">
      <c r="O417" s="12"/>
    </row>
    <row r="418" customFormat="false" ht="15" hidden="false" customHeight="true" outlineLevel="0" collapsed="false">
      <c r="O418" s="12"/>
    </row>
    <row r="419" customFormat="false" ht="15" hidden="false" customHeight="true" outlineLevel="0" collapsed="false">
      <c r="O419" s="12"/>
    </row>
    <row r="420" customFormat="false" ht="15" hidden="false" customHeight="true" outlineLevel="0" collapsed="false">
      <c r="O420" s="12"/>
    </row>
    <row r="421" customFormat="false" ht="15" hidden="false" customHeight="true" outlineLevel="0" collapsed="false">
      <c r="O421" s="12"/>
    </row>
    <row r="422" customFormat="false" ht="15" hidden="false" customHeight="true" outlineLevel="0" collapsed="false">
      <c r="O422" s="12"/>
    </row>
    <row r="423" customFormat="false" ht="15" hidden="false" customHeight="true" outlineLevel="0" collapsed="false">
      <c r="O423" s="12"/>
    </row>
    <row r="424" customFormat="false" ht="15" hidden="false" customHeight="true" outlineLevel="0" collapsed="false">
      <c r="O424" s="12"/>
    </row>
    <row r="425" customFormat="false" ht="15" hidden="false" customHeight="true" outlineLevel="0" collapsed="false">
      <c r="O425" s="12"/>
    </row>
    <row r="426" customFormat="false" ht="15" hidden="false" customHeight="true" outlineLevel="0" collapsed="false">
      <c r="O426" s="12"/>
    </row>
    <row r="427" customFormat="false" ht="15" hidden="false" customHeight="true" outlineLevel="0" collapsed="false">
      <c r="O427" s="12"/>
    </row>
    <row r="428" customFormat="false" ht="15" hidden="false" customHeight="true" outlineLevel="0" collapsed="false">
      <c r="O428" s="12"/>
    </row>
    <row r="429" customFormat="false" ht="15" hidden="false" customHeight="true" outlineLevel="0" collapsed="false">
      <c r="O429" s="12"/>
    </row>
    <row r="430" customFormat="false" ht="15" hidden="false" customHeight="true" outlineLevel="0" collapsed="false">
      <c r="O430" s="12"/>
    </row>
    <row r="431" customFormat="false" ht="15" hidden="false" customHeight="true" outlineLevel="0" collapsed="false">
      <c r="O431" s="12"/>
    </row>
    <row r="432" customFormat="false" ht="15" hidden="false" customHeight="true" outlineLevel="0" collapsed="false">
      <c r="O432" s="12"/>
    </row>
    <row r="433" customFormat="false" ht="15" hidden="false" customHeight="true" outlineLevel="0" collapsed="false">
      <c r="O433" s="12"/>
    </row>
    <row r="434" customFormat="false" ht="15" hidden="false" customHeight="true" outlineLevel="0" collapsed="false">
      <c r="O434" s="12"/>
    </row>
    <row r="435" customFormat="false" ht="15" hidden="false" customHeight="true" outlineLevel="0" collapsed="false">
      <c r="O435" s="12"/>
    </row>
    <row r="436" customFormat="false" ht="15" hidden="false" customHeight="true" outlineLevel="0" collapsed="false">
      <c r="O436" s="12"/>
    </row>
    <row r="437" customFormat="false" ht="15" hidden="false" customHeight="true" outlineLevel="0" collapsed="false">
      <c r="O437" s="12"/>
    </row>
    <row r="438" customFormat="false" ht="15" hidden="false" customHeight="true" outlineLevel="0" collapsed="false">
      <c r="O438" s="12"/>
    </row>
    <row r="439" customFormat="false" ht="15" hidden="false" customHeight="true" outlineLevel="0" collapsed="false">
      <c r="O439" s="12"/>
    </row>
    <row r="440" customFormat="false" ht="15" hidden="false" customHeight="true" outlineLevel="0" collapsed="false">
      <c r="O440" s="12"/>
    </row>
    <row r="441" customFormat="false" ht="15" hidden="false" customHeight="true" outlineLevel="0" collapsed="false">
      <c r="O441" s="12"/>
    </row>
    <row r="442" customFormat="false" ht="15" hidden="false" customHeight="true" outlineLevel="0" collapsed="false">
      <c r="O442" s="12"/>
    </row>
    <row r="443" customFormat="false" ht="15" hidden="false" customHeight="true" outlineLevel="0" collapsed="false">
      <c r="O443" s="12"/>
    </row>
    <row r="444" customFormat="false" ht="15" hidden="false" customHeight="true" outlineLevel="0" collapsed="false">
      <c r="O444" s="12"/>
    </row>
    <row r="445" customFormat="false" ht="15" hidden="false" customHeight="true" outlineLevel="0" collapsed="false">
      <c r="O445" s="12"/>
    </row>
    <row r="446" customFormat="false" ht="15" hidden="false" customHeight="true" outlineLevel="0" collapsed="false">
      <c r="O446" s="12"/>
    </row>
    <row r="447" customFormat="false" ht="15" hidden="false" customHeight="true" outlineLevel="0" collapsed="false">
      <c r="O447" s="12"/>
    </row>
    <row r="448" customFormat="false" ht="15" hidden="false" customHeight="true" outlineLevel="0" collapsed="false">
      <c r="O448" s="12"/>
    </row>
    <row r="449" customFormat="false" ht="15" hidden="false" customHeight="true" outlineLevel="0" collapsed="false">
      <c r="O449" s="12"/>
    </row>
    <row r="450" customFormat="false" ht="15" hidden="false" customHeight="true" outlineLevel="0" collapsed="false">
      <c r="O450" s="12"/>
    </row>
    <row r="451" customFormat="false" ht="15" hidden="false" customHeight="true" outlineLevel="0" collapsed="false">
      <c r="O451" s="12"/>
    </row>
    <row r="452" customFormat="false" ht="15" hidden="false" customHeight="true" outlineLevel="0" collapsed="false">
      <c r="O452" s="12"/>
    </row>
    <row r="453" customFormat="false" ht="15" hidden="false" customHeight="true" outlineLevel="0" collapsed="false">
      <c r="O453" s="12"/>
    </row>
    <row r="454" customFormat="false" ht="15" hidden="false" customHeight="true" outlineLevel="0" collapsed="false">
      <c r="O454" s="12"/>
    </row>
    <row r="455" customFormat="false" ht="15" hidden="false" customHeight="true" outlineLevel="0" collapsed="false">
      <c r="O455" s="12"/>
    </row>
    <row r="456" customFormat="false" ht="15" hidden="false" customHeight="true" outlineLevel="0" collapsed="false">
      <c r="O456" s="12"/>
    </row>
    <row r="457" customFormat="false" ht="15" hidden="false" customHeight="true" outlineLevel="0" collapsed="false">
      <c r="O457" s="12"/>
    </row>
    <row r="458" customFormat="false" ht="15" hidden="false" customHeight="true" outlineLevel="0" collapsed="false">
      <c r="O458" s="12"/>
    </row>
    <row r="459" customFormat="false" ht="15" hidden="false" customHeight="true" outlineLevel="0" collapsed="false">
      <c r="O459" s="12"/>
    </row>
    <row r="460" customFormat="false" ht="15" hidden="false" customHeight="true" outlineLevel="0" collapsed="false">
      <c r="O460" s="12"/>
    </row>
    <row r="461" customFormat="false" ht="15" hidden="false" customHeight="true" outlineLevel="0" collapsed="false">
      <c r="O461" s="12"/>
    </row>
    <row r="462" customFormat="false" ht="15" hidden="false" customHeight="true" outlineLevel="0" collapsed="false">
      <c r="O462" s="12"/>
    </row>
    <row r="463" customFormat="false" ht="15" hidden="false" customHeight="true" outlineLevel="0" collapsed="false">
      <c r="O463" s="12"/>
    </row>
    <row r="464" customFormat="false" ht="15" hidden="false" customHeight="true" outlineLevel="0" collapsed="false">
      <c r="O464" s="12"/>
    </row>
    <row r="465" customFormat="false" ht="15" hidden="false" customHeight="true" outlineLevel="0" collapsed="false">
      <c r="O465" s="12"/>
    </row>
    <row r="466" customFormat="false" ht="15" hidden="false" customHeight="true" outlineLevel="0" collapsed="false">
      <c r="O466" s="12"/>
    </row>
    <row r="467" customFormat="false" ht="15" hidden="false" customHeight="true" outlineLevel="0" collapsed="false">
      <c r="O467" s="12"/>
    </row>
    <row r="468" customFormat="false" ht="15" hidden="false" customHeight="true" outlineLevel="0" collapsed="false">
      <c r="O468" s="12"/>
    </row>
    <row r="469" customFormat="false" ht="15" hidden="false" customHeight="true" outlineLevel="0" collapsed="false">
      <c r="O469" s="12"/>
    </row>
    <row r="470" customFormat="false" ht="15" hidden="false" customHeight="true" outlineLevel="0" collapsed="false">
      <c r="O470" s="12"/>
    </row>
    <row r="471" customFormat="false" ht="15" hidden="false" customHeight="true" outlineLevel="0" collapsed="false">
      <c r="O471" s="12"/>
    </row>
    <row r="472" customFormat="false" ht="15" hidden="false" customHeight="true" outlineLevel="0" collapsed="false">
      <c r="O472" s="12"/>
    </row>
    <row r="473" customFormat="false" ht="15" hidden="false" customHeight="true" outlineLevel="0" collapsed="false">
      <c r="O473" s="12"/>
    </row>
    <row r="474" customFormat="false" ht="15" hidden="false" customHeight="true" outlineLevel="0" collapsed="false">
      <c r="O474" s="12"/>
    </row>
    <row r="475" customFormat="false" ht="15" hidden="false" customHeight="true" outlineLevel="0" collapsed="false">
      <c r="O475" s="12"/>
    </row>
    <row r="476" customFormat="false" ht="15" hidden="false" customHeight="true" outlineLevel="0" collapsed="false">
      <c r="O476" s="12"/>
    </row>
    <row r="477" customFormat="false" ht="15" hidden="false" customHeight="true" outlineLevel="0" collapsed="false">
      <c r="O477" s="12"/>
    </row>
    <row r="478" customFormat="false" ht="15" hidden="false" customHeight="true" outlineLevel="0" collapsed="false">
      <c r="O478" s="12"/>
    </row>
    <row r="479" customFormat="false" ht="15" hidden="false" customHeight="true" outlineLevel="0" collapsed="false">
      <c r="O479" s="12"/>
    </row>
    <row r="480" customFormat="false" ht="15" hidden="false" customHeight="true" outlineLevel="0" collapsed="false">
      <c r="O480" s="12"/>
    </row>
    <row r="481" customFormat="false" ht="15" hidden="false" customHeight="true" outlineLevel="0" collapsed="false">
      <c r="O481" s="12"/>
    </row>
    <row r="482" customFormat="false" ht="15" hidden="false" customHeight="true" outlineLevel="0" collapsed="false">
      <c r="O482" s="12"/>
    </row>
    <row r="483" customFormat="false" ht="15" hidden="false" customHeight="true" outlineLevel="0" collapsed="false">
      <c r="O483" s="12"/>
    </row>
    <row r="484" customFormat="false" ht="15" hidden="false" customHeight="true" outlineLevel="0" collapsed="false">
      <c r="O484" s="12"/>
    </row>
    <row r="485" customFormat="false" ht="15" hidden="false" customHeight="true" outlineLevel="0" collapsed="false">
      <c r="O485" s="12"/>
    </row>
    <row r="486" customFormat="false" ht="15" hidden="false" customHeight="true" outlineLevel="0" collapsed="false">
      <c r="O486" s="12"/>
    </row>
    <row r="487" customFormat="false" ht="15" hidden="false" customHeight="true" outlineLevel="0" collapsed="false">
      <c r="O487" s="12"/>
    </row>
    <row r="488" customFormat="false" ht="15" hidden="false" customHeight="true" outlineLevel="0" collapsed="false">
      <c r="O488" s="12"/>
    </row>
    <row r="489" customFormat="false" ht="15" hidden="false" customHeight="true" outlineLevel="0" collapsed="false">
      <c r="O489" s="12"/>
    </row>
    <row r="490" customFormat="false" ht="15" hidden="false" customHeight="true" outlineLevel="0" collapsed="false">
      <c r="O490" s="12"/>
    </row>
    <row r="491" customFormat="false" ht="15" hidden="false" customHeight="true" outlineLevel="0" collapsed="false">
      <c r="O491" s="12"/>
    </row>
    <row r="492" customFormat="false" ht="15" hidden="false" customHeight="true" outlineLevel="0" collapsed="false">
      <c r="O492" s="12"/>
    </row>
    <row r="493" customFormat="false" ht="15" hidden="false" customHeight="true" outlineLevel="0" collapsed="false">
      <c r="O493" s="12"/>
    </row>
    <row r="494" customFormat="false" ht="15" hidden="false" customHeight="true" outlineLevel="0" collapsed="false">
      <c r="O494" s="12"/>
    </row>
    <row r="495" customFormat="false" ht="15" hidden="false" customHeight="true" outlineLevel="0" collapsed="false">
      <c r="O495" s="12"/>
    </row>
    <row r="496" customFormat="false" ht="15" hidden="false" customHeight="true" outlineLevel="0" collapsed="false">
      <c r="O496" s="12"/>
    </row>
    <row r="497" customFormat="false" ht="15" hidden="false" customHeight="true" outlineLevel="0" collapsed="false">
      <c r="O497" s="12"/>
    </row>
    <row r="498" customFormat="false" ht="15" hidden="false" customHeight="true" outlineLevel="0" collapsed="false">
      <c r="O498" s="12"/>
    </row>
    <row r="499" customFormat="false" ht="15" hidden="false" customHeight="true" outlineLevel="0" collapsed="false">
      <c r="O499" s="12"/>
    </row>
    <row r="500" customFormat="false" ht="15" hidden="false" customHeight="true" outlineLevel="0" collapsed="false">
      <c r="O500" s="12"/>
    </row>
    <row r="501" customFormat="false" ht="15" hidden="false" customHeight="true" outlineLevel="0" collapsed="false">
      <c r="O501" s="12"/>
    </row>
    <row r="502" customFormat="false" ht="15" hidden="false" customHeight="true" outlineLevel="0" collapsed="false">
      <c r="O502" s="12"/>
    </row>
    <row r="503" customFormat="false" ht="15" hidden="false" customHeight="true" outlineLevel="0" collapsed="false">
      <c r="O503" s="12"/>
    </row>
    <row r="504" customFormat="false" ht="15" hidden="false" customHeight="true" outlineLevel="0" collapsed="false">
      <c r="O504" s="12"/>
    </row>
    <row r="505" customFormat="false" ht="15" hidden="false" customHeight="true" outlineLevel="0" collapsed="false">
      <c r="O505" s="12"/>
    </row>
    <row r="506" customFormat="false" ht="15" hidden="false" customHeight="true" outlineLevel="0" collapsed="false">
      <c r="O506" s="12"/>
    </row>
    <row r="507" customFormat="false" ht="15" hidden="false" customHeight="true" outlineLevel="0" collapsed="false">
      <c r="O507" s="12"/>
    </row>
    <row r="508" customFormat="false" ht="15" hidden="false" customHeight="true" outlineLevel="0" collapsed="false">
      <c r="O508" s="12"/>
    </row>
    <row r="509" customFormat="false" ht="15" hidden="false" customHeight="true" outlineLevel="0" collapsed="false">
      <c r="O509" s="12"/>
    </row>
    <row r="510" customFormat="false" ht="15" hidden="false" customHeight="true" outlineLevel="0" collapsed="false">
      <c r="O510" s="12"/>
    </row>
    <row r="511" customFormat="false" ht="15" hidden="false" customHeight="true" outlineLevel="0" collapsed="false">
      <c r="O511" s="12"/>
    </row>
    <row r="512" customFormat="false" ht="15" hidden="false" customHeight="true" outlineLevel="0" collapsed="false">
      <c r="O512" s="12"/>
    </row>
    <row r="513" customFormat="false" ht="15" hidden="false" customHeight="true" outlineLevel="0" collapsed="false">
      <c r="O513" s="12"/>
    </row>
    <row r="514" customFormat="false" ht="15" hidden="false" customHeight="true" outlineLevel="0" collapsed="false">
      <c r="O514" s="12"/>
    </row>
    <row r="515" customFormat="false" ht="15" hidden="false" customHeight="true" outlineLevel="0" collapsed="false">
      <c r="O515" s="12"/>
    </row>
    <row r="516" customFormat="false" ht="15" hidden="false" customHeight="true" outlineLevel="0" collapsed="false">
      <c r="O516" s="12"/>
    </row>
    <row r="517" customFormat="false" ht="15" hidden="false" customHeight="true" outlineLevel="0" collapsed="false">
      <c r="O517" s="12"/>
    </row>
    <row r="518" customFormat="false" ht="15" hidden="false" customHeight="true" outlineLevel="0" collapsed="false">
      <c r="O518" s="12"/>
    </row>
    <row r="519" customFormat="false" ht="15" hidden="false" customHeight="true" outlineLevel="0" collapsed="false">
      <c r="O519" s="12"/>
    </row>
    <row r="520" customFormat="false" ht="15" hidden="false" customHeight="true" outlineLevel="0" collapsed="false">
      <c r="O520" s="12"/>
    </row>
    <row r="521" customFormat="false" ht="15" hidden="false" customHeight="true" outlineLevel="0" collapsed="false">
      <c r="O521" s="12"/>
    </row>
    <row r="522" customFormat="false" ht="15" hidden="false" customHeight="true" outlineLevel="0" collapsed="false">
      <c r="O522" s="12"/>
    </row>
    <row r="523" customFormat="false" ht="15" hidden="false" customHeight="true" outlineLevel="0" collapsed="false">
      <c r="O523" s="12"/>
    </row>
    <row r="524" customFormat="false" ht="15" hidden="false" customHeight="true" outlineLevel="0" collapsed="false">
      <c r="O524" s="12"/>
    </row>
    <row r="525" customFormat="false" ht="15" hidden="false" customHeight="true" outlineLevel="0" collapsed="false">
      <c r="O525" s="12"/>
    </row>
    <row r="526" customFormat="false" ht="15" hidden="false" customHeight="true" outlineLevel="0" collapsed="false">
      <c r="O526" s="12"/>
    </row>
    <row r="527" customFormat="false" ht="15" hidden="false" customHeight="true" outlineLevel="0" collapsed="false">
      <c r="O527" s="12"/>
    </row>
    <row r="528" customFormat="false" ht="15" hidden="false" customHeight="true" outlineLevel="0" collapsed="false">
      <c r="O528" s="12"/>
    </row>
    <row r="529" customFormat="false" ht="15" hidden="false" customHeight="true" outlineLevel="0" collapsed="false">
      <c r="O529" s="12"/>
    </row>
    <row r="530" customFormat="false" ht="15" hidden="false" customHeight="true" outlineLevel="0" collapsed="false">
      <c r="O530" s="12"/>
    </row>
    <row r="531" customFormat="false" ht="15" hidden="false" customHeight="true" outlineLevel="0" collapsed="false">
      <c r="O531" s="12"/>
    </row>
    <row r="532" customFormat="false" ht="15" hidden="false" customHeight="true" outlineLevel="0" collapsed="false">
      <c r="O532" s="12"/>
    </row>
    <row r="533" customFormat="false" ht="15" hidden="false" customHeight="true" outlineLevel="0" collapsed="false">
      <c r="O533" s="12"/>
    </row>
    <row r="534" customFormat="false" ht="15" hidden="false" customHeight="true" outlineLevel="0" collapsed="false">
      <c r="O534" s="12"/>
    </row>
    <row r="535" customFormat="false" ht="15" hidden="false" customHeight="true" outlineLevel="0" collapsed="false">
      <c r="O535" s="12"/>
    </row>
    <row r="536" customFormat="false" ht="15" hidden="false" customHeight="true" outlineLevel="0" collapsed="false">
      <c r="O536" s="12"/>
    </row>
    <row r="537" customFormat="false" ht="15" hidden="false" customHeight="true" outlineLevel="0" collapsed="false">
      <c r="O537" s="12"/>
    </row>
    <row r="538" customFormat="false" ht="15" hidden="false" customHeight="true" outlineLevel="0" collapsed="false">
      <c r="O538" s="12"/>
    </row>
    <row r="539" customFormat="false" ht="15" hidden="false" customHeight="true" outlineLevel="0" collapsed="false">
      <c r="O539" s="12"/>
    </row>
    <row r="540" customFormat="false" ht="15" hidden="false" customHeight="true" outlineLevel="0" collapsed="false">
      <c r="O540" s="12"/>
    </row>
    <row r="541" customFormat="false" ht="15" hidden="false" customHeight="true" outlineLevel="0" collapsed="false">
      <c r="O541" s="12"/>
    </row>
    <row r="542" customFormat="false" ht="15" hidden="false" customHeight="true" outlineLevel="0" collapsed="false">
      <c r="O542" s="12"/>
    </row>
    <row r="543" customFormat="false" ht="15" hidden="false" customHeight="true" outlineLevel="0" collapsed="false">
      <c r="O543" s="12"/>
    </row>
    <row r="544" customFormat="false" ht="15" hidden="false" customHeight="true" outlineLevel="0" collapsed="false">
      <c r="O544" s="12"/>
    </row>
    <row r="545" customFormat="false" ht="15" hidden="false" customHeight="true" outlineLevel="0" collapsed="false">
      <c r="O545" s="12"/>
    </row>
    <row r="546" customFormat="false" ht="15" hidden="false" customHeight="true" outlineLevel="0" collapsed="false">
      <c r="O546" s="12"/>
    </row>
    <row r="547" customFormat="false" ht="15" hidden="false" customHeight="true" outlineLevel="0" collapsed="false">
      <c r="O547" s="12"/>
    </row>
    <row r="548" customFormat="false" ht="15" hidden="false" customHeight="true" outlineLevel="0" collapsed="false">
      <c r="O548" s="12"/>
    </row>
    <row r="549" customFormat="false" ht="15" hidden="false" customHeight="true" outlineLevel="0" collapsed="false">
      <c r="O549" s="12"/>
    </row>
    <row r="550" customFormat="false" ht="15" hidden="false" customHeight="true" outlineLevel="0" collapsed="false">
      <c r="O550" s="12"/>
    </row>
    <row r="551" customFormat="false" ht="15" hidden="false" customHeight="true" outlineLevel="0" collapsed="false">
      <c r="O551" s="12"/>
    </row>
    <row r="552" customFormat="false" ht="15" hidden="false" customHeight="true" outlineLevel="0" collapsed="false">
      <c r="O552" s="12"/>
    </row>
    <row r="553" customFormat="false" ht="15" hidden="false" customHeight="true" outlineLevel="0" collapsed="false">
      <c r="O553" s="12"/>
    </row>
    <row r="554" customFormat="false" ht="15" hidden="false" customHeight="true" outlineLevel="0" collapsed="false">
      <c r="O554" s="12"/>
    </row>
    <row r="555" customFormat="false" ht="15" hidden="false" customHeight="true" outlineLevel="0" collapsed="false">
      <c r="O555" s="12"/>
    </row>
    <row r="556" customFormat="false" ht="15" hidden="false" customHeight="true" outlineLevel="0" collapsed="false">
      <c r="O556" s="12"/>
    </row>
    <row r="557" customFormat="false" ht="15" hidden="false" customHeight="true" outlineLevel="0" collapsed="false">
      <c r="O557" s="12"/>
    </row>
    <row r="558" customFormat="false" ht="15" hidden="false" customHeight="true" outlineLevel="0" collapsed="false">
      <c r="O558" s="12"/>
    </row>
    <row r="559" customFormat="false" ht="15" hidden="false" customHeight="true" outlineLevel="0" collapsed="false">
      <c r="O559" s="12"/>
    </row>
    <row r="560" customFormat="false" ht="15" hidden="false" customHeight="true" outlineLevel="0" collapsed="false">
      <c r="O560" s="12"/>
    </row>
    <row r="561" customFormat="false" ht="15" hidden="false" customHeight="true" outlineLevel="0" collapsed="false">
      <c r="O561" s="12"/>
    </row>
    <row r="562" customFormat="false" ht="15" hidden="false" customHeight="true" outlineLevel="0" collapsed="false">
      <c r="O562" s="12"/>
    </row>
    <row r="563" customFormat="false" ht="15" hidden="false" customHeight="true" outlineLevel="0" collapsed="false">
      <c r="O563" s="12"/>
    </row>
    <row r="564" customFormat="false" ht="15" hidden="false" customHeight="true" outlineLevel="0" collapsed="false">
      <c r="O564" s="12"/>
    </row>
    <row r="565" customFormat="false" ht="15" hidden="false" customHeight="true" outlineLevel="0" collapsed="false">
      <c r="O565" s="12"/>
    </row>
    <row r="566" customFormat="false" ht="15" hidden="false" customHeight="true" outlineLevel="0" collapsed="false">
      <c r="O566" s="12"/>
    </row>
    <row r="567" customFormat="false" ht="15" hidden="false" customHeight="true" outlineLevel="0" collapsed="false">
      <c r="O567" s="12"/>
    </row>
    <row r="568" customFormat="false" ht="15" hidden="false" customHeight="true" outlineLevel="0" collapsed="false">
      <c r="O568" s="12"/>
    </row>
    <row r="569" customFormat="false" ht="15" hidden="false" customHeight="true" outlineLevel="0" collapsed="false">
      <c r="O569" s="12"/>
    </row>
    <row r="570" customFormat="false" ht="15" hidden="false" customHeight="true" outlineLevel="0" collapsed="false">
      <c r="O570" s="12"/>
    </row>
    <row r="571" customFormat="false" ht="15" hidden="false" customHeight="true" outlineLevel="0" collapsed="false">
      <c r="O571" s="12"/>
    </row>
    <row r="572" customFormat="false" ht="15" hidden="false" customHeight="true" outlineLevel="0" collapsed="false">
      <c r="O572" s="12"/>
    </row>
    <row r="573" customFormat="false" ht="15" hidden="false" customHeight="true" outlineLevel="0" collapsed="false">
      <c r="O573" s="12"/>
    </row>
    <row r="574" customFormat="false" ht="15" hidden="false" customHeight="true" outlineLevel="0" collapsed="false">
      <c r="O574" s="12"/>
    </row>
    <row r="575" customFormat="false" ht="15" hidden="false" customHeight="true" outlineLevel="0" collapsed="false">
      <c r="O575" s="12"/>
    </row>
    <row r="576" customFormat="false" ht="15" hidden="false" customHeight="true" outlineLevel="0" collapsed="false">
      <c r="O576" s="12"/>
    </row>
    <row r="577" customFormat="false" ht="15" hidden="false" customHeight="true" outlineLevel="0" collapsed="false">
      <c r="O577" s="12"/>
    </row>
    <row r="578" customFormat="false" ht="15" hidden="false" customHeight="true" outlineLevel="0" collapsed="false">
      <c r="O578" s="12"/>
    </row>
    <row r="579" customFormat="false" ht="15" hidden="false" customHeight="true" outlineLevel="0" collapsed="false">
      <c r="O579" s="12"/>
    </row>
    <row r="580" customFormat="false" ht="15" hidden="false" customHeight="true" outlineLevel="0" collapsed="false">
      <c r="O580" s="12"/>
    </row>
    <row r="581" customFormat="false" ht="15" hidden="false" customHeight="true" outlineLevel="0" collapsed="false">
      <c r="O581" s="12"/>
    </row>
    <row r="582" customFormat="false" ht="15" hidden="false" customHeight="true" outlineLevel="0" collapsed="false">
      <c r="O582" s="12"/>
    </row>
    <row r="583" customFormat="false" ht="15" hidden="false" customHeight="true" outlineLevel="0" collapsed="false">
      <c r="O583" s="12"/>
    </row>
    <row r="584" customFormat="false" ht="15" hidden="false" customHeight="true" outlineLevel="0" collapsed="false">
      <c r="O584" s="12"/>
    </row>
    <row r="585" customFormat="false" ht="15" hidden="false" customHeight="true" outlineLevel="0" collapsed="false">
      <c r="O585" s="12"/>
    </row>
    <row r="586" customFormat="false" ht="15" hidden="false" customHeight="true" outlineLevel="0" collapsed="false">
      <c r="O586" s="12"/>
    </row>
    <row r="587" customFormat="false" ht="15" hidden="false" customHeight="true" outlineLevel="0" collapsed="false">
      <c r="O587" s="12"/>
    </row>
    <row r="588" customFormat="false" ht="15" hidden="false" customHeight="true" outlineLevel="0" collapsed="false">
      <c r="O588" s="12"/>
    </row>
    <row r="589" customFormat="false" ht="15" hidden="false" customHeight="true" outlineLevel="0" collapsed="false">
      <c r="O589" s="12"/>
    </row>
    <row r="590" customFormat="false" ht="15" hidden="false" customHeight="true" outlineLevel="0" collapsed="false">
      <c r="O590" s="12"/>
    </row>
    <row r="591" customFormat="false" ht="15" hidden="false" customHeight="true" outlineLevel="0" collapsed="false">
      <c r="O591" s="12"/>
    </row>
    <row r="592" customFormat="false" ht="15" hidden="false" customHeight="true" outlineLevel="0" collapsed="false">
      <c r="O592" s="12"/>
    </row>
    <row r="593" customFormat="false" ht="15" hidden="false" customHeight="true" outlineLevel="0" collapsed="false">
      <c r="O593" s="12"/>
    </row>
    <row r="594" customFormat="false" ht="15" hidden="false" customHeight="true" outlineLevel="0" collapsed="false">
      <c r="O594" s="12"/>
    </row>
    <row r="595" customFormat="false" ht="15" hidden="false" customHeight="true" outlineLevel="0" collapsed="false">
      <c r="O595" s="12"/>
    </row>
    <row r="596" customFormat="false" ht="15" hidden="false" customHeight="true" outlineLevel="0" collapsed="false">
      <c r="O596" s="12"/>
    </row>
    <row r="597" customFormat="false" ht="15" hidden="false" customHeight="true" outlineLevel="0" collapsed="false">
      <c r="O597" s="12"/>
    </row>
    <row r="598" customFormat="false" ht="15" hidden="false" customHeight="true" outlineLevel="0" collapsed="false">
      <c r="O598" s="12"/>
    </row>
    <row r="599" customFormat="false" ht="15" hidden="false" customHeight="true" outlineLevel="0" collapsed="false">
      <c r="O599" s="12"/>
    </row>
    <row r="600" customFormat="false" ht="15" hidden="false" customHeight="true" outlineLevel="0" collapsed="false">
      <c r="O600" s="12"/>
    </row>
    <row r="601" customFormat="false" ht="15" hidden="false" customHeight="true" outlineLevel="0" collapsed="false">
      <c r="O601" s="12"/>
    </row>
    <row r="602" customFormat="false" ht="15" hidden="false" customHeight="true" outlineLevel="0" collapsed="false">
      <c r="O602" s="12"/>
    </row>
    <row r="603" customFormat="false" ht="15" hidden="false" customHeight="true" outlineLevel="0" collapsed="false">
      <c r="O603" s="12"/>
    </row>
    <row r="604" customFormat="false" ht="15" hidden="false" customHeight="true" outlineLevel="0" collapsed="false">
      <c r="O604" s="12"/>
    </row>
    <row r="605" customFormat="false" ht="15" hidden="false" customHeight="true" outlineLevel="0" collapsed="false">
      <c r="O605" s="12"/>
    </row>
    <row r="606" customFormat="false" ht="15" hidden="false" customHeight="true" outlineLevel="0" collapsed="false">
      <c r="O606" s="12"/>
    </row>
    <row r="607" customFormat="false" ht="15" hidden="false" customHeight="true" outlineLevel="0" collapsed="false">
      <c r="O607" s="12"/>
    </row>
    <row r="608" customFormat="false" ht="15" hidden="false" customHeight="true" outlineLevel="0" collapsed="false">
      <c r="O608" s="12"/>
    </row>
    <row r="609" customFormat="false" ht="15" hidden="false" customHeight="true" outlineLevel="0" collapsed="false">
      <c r="O609" s="12"/>
    </row>
    <row r="610" customFormat="false" ht="15" hidden="false" customHeight="true" outlineLevel="0" collapsed="false">
      <c r="O610" s="12"/>
    </row>
    <row r="611" customFormat="false" ht="15" hidden="false" customHeight="true" outlineLevel="0" collapsed="false">
      <c r="O611" s="12"/>
    </row>
    <row r="612" customFormat="false" ht="15" hidden="false" customHeight="true" outlineLevel="0" collapsed="false">
      <c r="O612" s="12"/>
    </row>
    <row r="613" customFormat="false" ht="15" hidden="false" customHeight="true" outlineLevel="0" collapsed="false">
      <c r="O613" s="12"/>
    </row>
    <row r="614" customFormat="false" ht="15" hidden="false" customHeight="true" outlineLevel="0" collapsed="false">
      <c r="O614" s="12"/>
    </row>
    <row r="615" customFormat="false" ht="15" hidden="false" customHeight="true" outlineLevel="0" collapsed="false">
      <c r="O615" s="12"/>
    </row>
    <row r="616" customFormat="false" ht="15" hidden="false" customHeight="true" outlineLevel="0" collapsed="false">
      <c r="O616" s="12"/>
    </row>
    <row r="617" customFormat="false" ht="15" hidden="false" customHeight="true" outlineLevel="0" collapsed="false">
      <c r="O617" s="12"/>
    </row>
    <row r="618" customFormat="false" ht="15" hidden="false" customHeight="true" outlineLevel="0" collapsed="false">
      <c r="O618" s="12"/>
    </row>
    <row r="619" customFormat="false" ht="15" hidden="false" customHeight="true" outlineLevel="0" collapsed="false">
      <c r="O619" s="12"/>
    </row>
    <row r="620" customFormat="false" ht="15" hidden="false" customHeight="true" outlineLevel="0" collapsed="false">
      <c r="O620" s="12"/>
    </row>
    <row r="621" customFormat="false" ht="15" hidden="false" customHeight="true" outlineLevel="0" collapsed="false">
      <c r="O621" s="12"/>
    </row>
    <row r="622" customFormat="false" ht="15" hidden="false" customHeight="true" outlineLevel="0" collapsed="false">
      <c r="O622" s="12"/>
    </row>
    <row r="623" customFormat="false" ht="15" hidden="false" customHeight="true" outlineLevel="0" collapsed="false">
      <c r="O623" s="12"/>
    </row>
    <row r="624" customFormat="false" ht="15" hidden="false" customHeight="true" outlineLevel="0" collapsed="false">
      <c r="O624" s="12"/>
    </row>
    <row r="625" customFormat="false" ht="15" hidden="false" customHeight="true" outlineLevel="0" collapsed="false">
      <c r="O625" s="12"/>
    </row>
    <row r="626" customFormat="false" ht="15" hidden="false" customHeight="true" outlineLevel="0" collapsed="false">
      <c r="O626" s="12"/>
    </row>
    <row r="627" customFormat="false" ht="15" hidden="false" customHeight="true" outlineLevel="0" collapsed="false">
      <c r="O627" s="12"/>
    </row>
    <row r="628" customFormat="false" ht="15" hidden="false" customHeight="true" outlineLevel="0" collapsed="false">
      <c r="O628" s="12"/>
    </row>
    <row r="629" customFormat="false" ht="15" hidden="false" customHeight="true" outlineLevel="0" collapsed="false">
      <c r="O629" s="12"/>
    </row>
    <row r="630" customFormat="false" ht="15" hidden="false" customHeight="true" outlineLevel="0" collapsed="false">
      <c r="O630" s="12"/>
    </row>
    <row r="631" customFormat="false" ht="15" hidden="false" customHeight="true" outlineLevel="0" collapsed="false">
      <c r="O631" s="12"/>
    </row>
    <row r="632" customFormat="false" ht="15" hidden="false" customHeight="true" outlineLevel="0" collapsed="false">
      <c r="O632" s="12"/>
    </row>
    <row r="633" customFormat="false" ht="15" hidden="false" customHeight="true" outlineLevel="0" collapsed="false">
      <c r="O633" s="12"/>
    </row>
    <row r="634" customFormat="false" ht="15" hidden="false" customHeight="true" outlineLevel="0" collapsed="false">
      <c r="O634" s="12"/>
    </row>
    <row r="635" customFormat="false" ht="15" hidden="false" customHeight="true" outlineLevel="0" collapsed="false">
      <c r="O635" s="12"/>
    </row>
    <row r="636" customFormat="false" ht="15" hidden="false" customHeight="true" outlineLevel="0" collapsed="false">
      <c r="O636" s="12"/>
    </row>
    <row r="637" customFormat="false" ht="15" hidden="false" customHeight="true" outlineLevel="0" collapsed="false">
      <c r="O637" s="12"/>
    </row>
    <row r="638" customFormat="false" ht="15" hidden="false" customHeight="true" outlineLevel="0" collapsed="false">
      <c r="O638" s="12"/>
    </row>
    <row r="639" customFormat="false" ht="15" hidden="false" customHeight="true" outlineLevel="0" collapsed="false">
      <c r="O639" s="12"/>
    </row>
    <row r="640" customFormat="false" ht="15" hidden="false" customHeight="true" outlineLevel="0" collapsed="false">
      <c r="O640" s="12"/>
    </row>
    <row r="641" customFormat="false" ht="15" hidden="false" customHeight="true" outlineLevel="0" collapsed="false">
      <c r="O641" s="12"/>
    </row>
    <row r="642" customFormat="false" ht="15" hidden="false" customHeight="true" outlineLevel="0" collapsed="false">
      <c r="O642" s="12"/>
    </row>
    <row r="643" customFormat="false" ht="15" hidden="false" customHeight="true" outlineLevel="0" collapsed="false">
      <c r="O643" s="12"/>
    </row>
    <row r="644" customFormat="false" ht="15" hidden="false" customHeight="true" outlineLevel="0" collapsed="false">
      <c r="O644" s="12"/>
    </row>
    <row r="645" customFormat="false" ht="15" hidden="false" customHeight="true" outlineLevel="0" collapsed="false">
      <c r="O645" s="12"/>
    </row>
    <row r="646" customFormat="false" ht="15" hidden="false" customHeight="true" outlineLevel="0" collapsed="false">
      <c r="O646" s="12"/>
    </row>
    <row r="647" customFormat="false" ht="15" hidden="false" customHeight="true" outlineLevel="0" collapsed="false">
      <c r="O647" s="12"/>
    </row>
    <row r="648" customFormat="false" ht="15" hidden="false" customHeight="true" outlineLevel="0" collapsed="false">
      <c r="O648" s="12"/>
    </row>
    <row r="649" customFormat="false" ht="15" hidden="false" customHeight="true" outlineLevel="0" collapsed="false">
      <c r="O649" s="12"/>
    </row>
    <row r="650" customFormat="false" ht="15" hidden="false" customHeight="true" outlineLevel="0" collapsed="false">
      <c r="O650" s="12"/>
    </row>
    <row r="651" customFormat="false" ht="15" hidden="false" customHeight="true" outlineLevel="0" collapsed="false">
      <c r="O651" s="12"/>
    </row>
    <row r="652" customFormat="false" ht="15" hidden="false" customHeight="true" outlineLevel="0" collapsed="false">
      <c r="O652" s="12"/>
    </row>
    <row r="653" customFormat="false" ht="15" hidden="false" customHeight="true" outlineLevel="0" collapsed="false">
      <c r="O653" s="12"/>
    </row>
    <row r="654" customFormat="false" ht="15" hidden="false" customHeight="true" outlineLevel="0" collapsed="false">
      <c r="O654" s="12"/>
    </row>
    <row r="655" customFormat="false" ht="15" hidden="false" customHeight="true" outlineLevel="0" collapsed="false">
      <c r="O655" s="12"/>
    </row>
    <row r="656" customFormat="false" ht="15" hidden="false" customHeight="true" outlineLevel="0" collapsed="false">
      <c r="O656" s="12"/>
    </row>
    <row r="657" customFormat="false" ht="15" hidden="false" customHeight="true" outlineLevel="0" collapsed="false">
      <c r="O657" s="12"/>
    </row>
    <row r="658" customFormat="false" ht="15" hidden="false" customHeight="true" outlineLevel="0" collapsed="false">
      <c r="O658" s="12"/>
    </row>
    <row r="659" customFormat="false" ht="15" hidden="false" customHeight="true" outlineLevel="0" collapsed="false">
      <c r="O659" s="12"/>
    </row>
    <row r="660" customFormat="false" ht="15" hidden="false" customHeight="true" outlineLevel="0" collapsed="false">
      <c r="O660" s="12"/>
    </row>
    <row r="661" customFormat="false" ht="15" hidden="false" customHeight="true" outlineLevel="0" collapsed="false">
      <c r="O661" s="12"/>
    </row>
    <row r="662" customFormat="false" ht="15" hidden="false" customHeight="true" outlineLevel="0" collapsed="false">
      <c r="O662" s="12"/>
    </row>
    <row r="663" customFormat="false" ht="15" hidden="false" customHeight="true" outlineLevel="0" collapsed="false">
      <c r="O663" s="12"/>
    </row>
    <row r="664" customFormat="false" ht="15" hidden="false" customHeight="true" outlineLevel="0" collapsed="false">
      <c r="O664" s="12"/>
    </row>
    <row r="665" customFormat="false" ht="15" hidden="false" customHeight="true" outlineLevel="0" collapsed="false">
      <c r="O665" s="12"/>
    </row>
    <row r="666" customFormat="false" ht="15" hidden="false" customHeight="true" outlineLevel="0" collapsed="false">
      <c r="O666" s="12"/>
    </row>
    <row r="667" customFormat="false" ht="15" hidden="false" customHeight="true" outlineLevel="0" collapsed="false">
      <c r="O667" s="12"/>
    </row>
    <row r="668" customFormat="false" ht="15" hidden="false" customHeight="true" outlineLevel="0" collapsed="false">
      <c r="O668" s="12"/>
    </row>
    <row r="669" customFormat="false" ht="15" hidden="false" customHeight="true" outlineLevel="0" collapsed="false">
      <c r="O669" s="12"/>
    </row>
    <row r="670" customFormat="false" ht="15" hidden="false" customHeight="true" outlineLevel="0" collapsed="false">
      <c r="O670" s="12"/>
    </row>
    <row r="671" customFormat="false" ht="15" hidden="false" customHeight="true" outlineLevel="0" collapsed="false">
      <c r="O671" s="12"/>
    </row>
    <row r="672" customFormat="false" ht="15" hidden="false" customHeight="true" outlineLevel="0" collapsed="false">
      <c r="O672" s="12"/>
    </row>
    <row r="673" customFormat="false" ht="15" hidden="false" customHeight="true" outlineLevel="0" collapsed="false">
      <c r="O673" s="12"/>
    </row>
    <row r="674" customFormat="false" ht="15" hidden="false" customHeight="true" outlineLevel="0" collapsed="false">
      <c r="O674" s="12"/>
    </row>
    <row r="675" customFormat="false" ht="15" hidden="false" customHeight="true" outlineLevel="0" collapsed="false">
      <c r="O675" s="12"/>
    </row>
    <row r="676" customFormat="false" ht="15" hidden="false" customHeight="true" outlineLevel="0" collapsed="false">
      <c r="O676" s="12"/>
    </row>
    <row r="677" customFormat="false" ht="15" hidden="false" customHeight="true" outlineLevel="0" collapsed="false">
      <c r="O677" s="12"/>
    </row>
    <row r="678" customFormat="false" ht="15" hidden="false" customHeight="true" outlineLevel="0" collapsed="false">
      <c r="O678" s="12"/>
    </row>
    <row r="679" customFormat="false" ht="15" hidden="false" customHeight="true" outlineLevel="0" collapsed="false">
      <c r="O679" s="12"/>
    </row>
    <row r="680" customFormat="false" ht="15" hidden="false" customHeight="true" outlineLevel="0" collapsed="false">
      <c r="O680" s="12"/>
    </row>
    <row r="681" customFormat="false" ht="15" hidden="false" customHeight="true" outlineLevel="0" collapsed="false">
      <c r="O681" s="12"/>
    </row>
    <row r="682" customFormat="false" ht="15" hidden="false" customHeight="true" outlineLevel="0" collapsed="false">
      <c r="O682" s="12"/>
    </row>
    <row r="683" customFormat="false" ht="15" hidden="false" customHeight="true" outlineLevel="0" collapsed="false">
      <c r="O683" s="12"/>
    </row>
    <row r="684" customFormat="false" ht="15" hidden="false" customHeight="true" outlineLevel="0" collapsed="false">
      <c r="O684" s="12"/>
    </row>
    <row r="685" customFormat="false" ht="15" hidden="false" customHeight="true" outlineLevel="0" collapsed="false">
      <c r="O685" s="12"/>
    </row>
    <row r="686" customFormat="false" ht="15" hidden="false" customHeight="true" outlineLevel="0" collapsed="false">
      <c r="O686" s="12"/>
    </row>
    <row r="687" customFormat="false" ht="15" hidden="false" customHeight="true" outlineLevel="0" collapsed="false">
      <c r="O687" s="12"/>
    </row>
    <row r="688" customFormat="false" ht="15" hidden="false" customHeight="true" outlineLevel="0" collapsed="false">
      <c r="O688" s="12"/>
    </row>
    <row r="689" customFormat="false" ht="15" hidden="false" customHeight="true" outlineLevel="0" collapsed="false">
      <c r="O689" s="12"/>
    </row>
    <row r="690" customFormat="false" ht="15" hidden="false" customHeight="true" outlineLevel="0" collapsed="false">
      <c r="O690" s="12"/>
    </row>
    <row r="691" customFormat="false" ht="15" hidden="false" customHeight="true" outlineLevel="0" collapsed="false">
      <c r="O691" s="12"/>
    </row>
    <row r="692" customFormat="false" ht="15" hidden="false" customHeight="true" outlineLevel="0" collapsed="false">
      <c r="O692" s="12"/>
    </row>
    <row r="693" customFormat="false" ht="15" hidden="false" customHeight="true" outlineLevel="0" collapsed="false">
      <c r="O693" s="12"/>
    </row>
    <row r="694" customFormat="false" ht="15" hidden="false" customHeight="true" outlineLevel="0" collapsed="false">
      <c r="O694" s="12"/>
    </row>
    <row r="695" customFormat="false" ht="15" hidden="false" customHeight="true" outlineLevel="0" collapsed="false">
      <c r="O695" s="12"/>
    </row>
    <row r="696" customFormat="false" ht="15" hidden="false" customHeight="true" outlineLevel="0" collapsed="false">
      <c r="O696" s="12"/>
    </row>
    <row r="697" customFormat="false" ht="15" hidden="false" customHeight="true" outlineLevel="0" collapsed="false">
      <c r="O697" s="12"/>
    </row>
    <row r="698" customFormat="false" ht="15" hidden="false" customHeight="true" outlineLevel="0" collapsed="false">
      <c r="O698" s="12"/>
    </row>
    <row r="699" customFormat="false" ht="15" hidden="false" customHeight="true" outlineLevel="0" collapsed="false">
      <c r="O699" s="12"/>
    </row>
    <row r="700" customFormat="false" ht="15" hidden="false" customHeight="true" outlineLevel="0" collapsed="false">
      <c r="O700" s="12"/>
    </row>
    <row r="701" customFormat="false" ht="15" hidden="false" customHeight="true" outlineLevel="0" collapsed="false">
      <c r="O701" s="12"/>
    </row>
    <row r="702" customFormat="false" ht="15" hidden="false" customHeight="true" outlineLevel="0" collapsed="false">
      <c r="O702" s="12"/>
    </row>
    <row r="703" customFormat="false" ht="15" hidden="false" customHeight="true" outlineLevel="0" collapsed="false">
      <c r="O703" s="12"/>
    </row>
    <row r="704" customFormat="false" ht="15" hidden="false" customHeight="true" outlineLevel="0" collapsed="false">
      <c r="O704" s="12"/>
    </row>
    <row r="705" customFormat="false" ht="15" hidden="false" customHeight="true" outlineLevel="0" collapsed="false">
      <c r="O705" s="12"/>
    </row>
    <row r="706" customFormat="false" ht="15" hidden="false" customHeight="true" outlineLevel="0" collapsed="false">
      <c r="O706" s="12"/>
    </row>
    <row r="707" customFormat="false" ht="15" hidden="false" customHeight="true" outlineLevel="0" collapsed="false">
      <c r="O707" s="12"/>
    </row>
    <row r="708" customFormat="false" ht="15" hidden="false" customHeight="true" outlineLevel="0" collapsed="false">
      <c r="O708" s="12"/>
    </row>
    <row r="709" customFormat="false" ht="15" hidden="false" customHeight="true" outlineLevel="0" collapsed="false">
      <c r="O709" s="12"/>
    </row>
    <row r="710" customFormat="false" ht="15" hidden="false" customHeight="true" outlineLevel="0" collapsed="false">
      <c r="O710" s="12"/>
    </row>
    <row r="711" customFormat="false" ht="15" hidden="false" customHeight="true" outlineLevel="0" collapsed="false">
      <c r="O711" s="12"/>
    </row>
    <row r="712" customFormat="false" ht="15" hidden="false" customHeight="true" outlineLevel="0" collapsed="false">
      <c r="O712" s="12"/>
    </row>
    <row r="713" customFormat="false" ht="15" hidden="false" customHeight="true" outlineLevel="0" collapsed="false">
      <c r="O713" s="12"/>
    </row>
    <row r="714" customFormat="false" ht="15" hidden="false" customHeight="true" outlineLevel="0" collapsed="false">
      <c r="O714" s="12"/>
    </row>
    <row r="715" customFormat="false" ht="15" hidden="false" customHeight="true" outlineLevel="0" collapsed="false">
      <c r="O715" s="12"/>
    </row>
    <row r="716" customFormat="false" ht="15" hidden="false" customHeight="true" outlineLevel="0" collapsed="false">
      <c r="O716" s="12"/>
    </row>
    <row r="717" customFormat="false" ht="15" hidden="false" customHeight="true" outlineLevel="0" collapsed="false">
      <c r="O717" s="12"/>
    </row>
    <row r="718" customFormat="false" ht="15" hidden="false" customHeight="true" outlineLevel="0" collapsed="false">
      <c r="O718" s="12"/>
    </row>
    <row r="719" customFormat="false" ht="15" hidden="false" customHeight="true" outlineLevel="0" collapsed="false">
      <c r="O719" s="12"/>
    </row>
    <row r="720" customFormat="false" ht="15" hidden="false" customHeight="true" outlineLevel="0" collapsed="false">
      <c r="O720" s="12"/>
    </row>
    <row r="721" customFormat="false" ht="15" hidden="false" customHeight="true" outlineLevel="0" collapsed="false">
      <c r="O721" s="12"/>
    </row>
    <row r="722" customFormat="false" ht="15" hidden="false" customHeight="true" outlineLevel="0" collapsed="false">
      <c r="O722" s="12"/>
    </row>
    <row r="723" customFormat="false" ht="15" hidden="false" customHeight="true" outlineLevel="0" collapsed="false">
      <c r="O723" s="12"/>
    </row>
    <row r="724" customFormat="false" ht="15" hidden="false" customHeight="true" outlineLevel="0" collapsed="false">
      <c r="O724" s="12"/>
    </row>
    <row r="725" customFormat="false" ht="15" hidden="false" customHeight="true" outlineLevel="0" collapsed="false">
      <c r="O725" s="12"/>
    </row>
    <row r="726" customFormat="false" ht="15" hidden="false" customHeight="true" outlineLevel="0" collapsed="false">
      <c r="O726" s="12"/>
    </row>
    <row r="727" customFormat="false" ht="15" hidden="false" customHeight="true" outlineLevel="0" collapsed="false">
      <c r="O727" s="12"/>
    </row>
    <row r="728" customFormat="false" ht="15" hidden="false" customHeight="true" outlineLevel="0" collapsed="false">
      <c r="O728" s="12"/>
    </row>
    <row r="729" customFormat="false" ht="15" hidden="false" customHeight="true" outlineLevel="0" collapsed="false">
      <c r="O729" s="12"/>
    </row>
    <row r="730" customFormat="false" ht="15" hidden="false" customHeight="true" outlineLevel="0" collapsed="false">
      <c r="O730" s="12"/>
    </row>
    <row r="731" customFormat="false" ht="15" hidden="false" customHeight="true" outlineLevel="0" collapsed="false">
      <c r="O731" s="12"/>
    </row>
    <row r="732" customFormat="false" ht="15" hidden="false" customHeight="true" outlineLevel="0" collapsed="false">
      <c r="O732" s="12"/>
    </row>
    <row r="733" customFormat="false" ht="15" hidden="false" customHeight="true" outlineLevel="0" collapsed="false">
      <c r="O733" s="12"/>
    </row>
    <row r="734" customFormat="false" ht="15" hidden="false" customHeight="true" outlineLevel="0" collapsed="false">
      <c r="O734" s="12"/>
    </row>
    <row r="735" customFormat="false" ht="15" hidden="false" customHeight="true" outlineLevel="0" collapsed="false">
      <c r="O735" s="12"/>
    </row>
    <row r="736" customFormat="false" ht="15" hidden="false" customHeight="true" outlineLevel="0" collapsed="false">
      <c r="O736" s="12"/>
    </row>
    <row r="737" customFormat="false" ht="15" hidden="false" customHeight="true" outlineLevel="0" collapsed="false">
      <c r="O737" s="12"/>
    </row>
    <row r="738" customFormat="false" ht="15" hidden="false" customHeight="true" outlineLevel="0" collapsed="false">
      <c r="O738" s="12"/>
    </row>
    <row r="739" customFormat="false" ht="15" hidden="false" customHeight="true" outlineLevel="0" collapsed="false">
      <c r="O739" s="12"/>
    </row>
    <row r="740" customFormat="false" ht="15" hidden="false" customHeight="true" outlineLevel="0" collapsed="false">
      <c r="O740" s="12"/>
    </row>
    <row r="741" customFormat="false" ht="15" hidden="false" customHeight="true" outlineLevel="0" collapsed="false">
      <c r="O741" s="12"/>
    </row>
    <row r="742" customFormat="false" ht="15" hidden="false" customHeight="true" outlineLevel="0" collapsed="false">
      <c r="O742" s="12"/>
    </row>
    <row r="743" customFormat="false" ht="15" hidden="false" customHeight="true" outlineLevel="0" collapsed="false">
      <c r="O743" s="12"/>
    </row>
    <row r="744" customFormat="false" ht="15" hidden="false" customHeight="true" outlineLevel="0" collapsed="false">
      <c r="O744" s="12"/>
    </row>
    <row r="745" customFormat="false" ht="15" hidden="false" customHeight="true" outlineLevel="0" collapsed="false">
      <c r="O745" s="12"/>
    </row>
    <row r="746" customFormat="false" ht="15" hidden="false" customHeight="true" outlineLevel="0" collapsed="false">
      <c r="O746" s="12"/>
    </row>
    <row r="747" customFormat="false" ht="15" hidden="false" customHeight="true" outlineLevel="0" collapsed="false">
      <c r="O747" s="12"/>
    </row>
    <row r="748" customFormat="false" ht="15" hidden="false" customHeight="true" outlineLevel="0" collapsed="false">
      <c r="O748" s="12"/>
    </row>
    <row r="749" customFormat="false" ht="15" hidden="false" customHeight="true" outlineLevel="0" collapsed="false">
      <c r="O749" s="12"/>
    </row>
    <row r="750" customFormat="false" ht="15" hidden="false" customHeight="true" outlineLevel="0" collapsed="false">
      <c r="O750" s="12"/>
    </row>
    <row r="751" customFormat="false" ht="15" hidden="false" customHeight="true" outlineLevel="0" collapsed="false">
      <c r="O751" s="12"/>
    </row>
    <row r="752" customFormat="false" ht="15" hidden="false" customHeight="true" outlineLevel="0" collapsed="false">
      <c r="O752" s="12"/>
    </row>
    <row r="753" customFormat="false" ht="15" hidden="false" customHeight="true" outlineLevel="0" collapsed="false">
      <c r="O753" s="12"/>
    </row>
    <row r="754" customFormat="false" ht="15" hidden="false" customHeight="true" outlineLevel="0" collapsed="false">
      <c r="O754" s="12"/>
    </row>
    <row r="755" customFormat="false" ht="15" hidden="false" customHeight="true" outlineLevel="0" collapsed="false">
      <c r="O755" s="12"/>
    </row>
    <row r="756" customFormat="false" ht="15" hidden="false" customHeight="true" outlineLevel="0" collapsed="false">
      <c r="O756" s="12"/>
    </row>
    <row r="757" customFormat="false" ht="15" hidden="false" customHeight="true" outlineLevel="0" collapsed="false">
      <c r="O757" s="12"/>
    </row>
    <row r="758" customFormat="false" ht="15" hidden="false" customHeight="true" outlineLevel="0" collapsed="false">
      <c r="O758" s="12"/>
    </row>
    <row r="759" customFormat="false" ht="15" hidden="false" customHeight="true" outlineLevel="0" collapsed="false">
      <c r="O759" s="12"/>
    </row>
    <row r="760" customFormat="false" ht="15" hidden="false" customHeight="true" outlineLevel="0" collapsed="false">
      <c r="O760" s="12"/>
    </row>
    <row r="761" customFormat="false" ht="15" hidden="false" customHeight="true" outlineLevel="0" collapsed="false">
      <c r="O761" s="12"/>
    </row>
    <row r="762" customFormat="false" ht="15" hidden="false" customHeight="true" outlineLevel="0" collapsed="false">
      <c r="O762" s="12"/>
    </row>
    <row r="763" customFormat="false" ht="15" hidden="false" customHeight="true" outlineLevel="0" collapsed="false">
      <c r="O763" s="12"/>
    </row>
    <row r="764" customFormat="false" ht="15" hidden="false" customHeight="true" outlineLevel="0" collapsed="false">
      <c r="O764" s="12"/>
    </row>
    <row r="765" customFormat="false" ht="15" hidden="false" customHeight="true" outlineLevel="0" collapsed="false">
      <c r="O765" s="12"/>
    </row>
    <row r="766" customFormat="false" ht="15" hidden="false" customHeight="true" outlineLevel="0" collapsed="false">
      <c r="O766" s="12"/>
    </row>
    <row r="767" customFormat="false" ht="15" hidden="false" customHeight="true" outlineLevel="0" collapsed="false">
      <c r="O767" s="12"/>
    </row>
    <row r="768" customFormat="false" ht="15" hidden="false" customHeight="true" outlineLevel="0" collapsed="false">
      <c r="O768" s="12"/>
    </row>
    <row r="769" customFormat="false" ht="15" hidden="false" customHeight="true" outlineLevel="0" collapsed="false">
      <c r="O769" s="12"/>
    </row>
    <row r="770" customFormat="false" ht="15" hidden="false" customHeight="true" outlineLevel="0" collapsed="false">
      <c r="O770" s="12"/>
    </row>
    <row r="771" customFormat="false" ht="15" hidden="false" customHeight="true" outlineLevel="0" collapsed="false">
      <c r="O771" s="12"/>
    </row>
    <row r="772" customFormat="false" ht="15" hidden="false" customHeight="true" outlineLevel="0" collapsed="false">
      <c r="O772" s="12"/>
    </row>
    <row r="773" customFormat="false" ht="15" hidden="false" customHeight="true" outlineLevel="0" collapsed="false">
      <c r="O773" s="12"/>
    </row>
    <row r="774" customFormat="false" ht="15" hidden="false" customHeight="true" outlineLevel="0" collapsed="false">
      <c r="O774" s="12"/>
    </row>
    <row r="775" customFormat="false" ht="15" hidden="false" customHeight="true" outlineLevel="0" collapsed="false">
      <c r="O775" s="12"/>
    </row>
    <row r="776" customFormat="false" ht="15" hidden="false" customHeight="true" outlineLevel="0" collapsed="false">
      <c r="O776" s="12"/>
    </row>
    <row r="777" customFormat="false" ht="15" hidden="false" customHeight="true" outlineLevel="0" collapsed="false">
      <c r="O777" s="12"/>
    </row>
    <row r="778" customFormat="false" ht="15" hidden="false" customHeight="true" outlineLevel="0" collapsed="false">
      <c r="O778" s="12"/>
    </row>
    <row r="779" customFormat="false" ht="15" hidden="false" customHeight="true" outlineLevel="0" collapsed="false">
      <c r="O779" s="12"/>
    </row>
    <row r="780" customFormat="false" ht="15" hidden="false" customHeight="true" outlineLevel="0" collapsed="false">
      <c r="O780" s="12"/>
    </row>
    <row r="781" customFormat="false" ht="15" hidden="false" customHeight="true" outlineLevel="0" collapsed="false">
      <c r="O781" s="12"/>
    </row>
    <row r="782" customFormat="false" ht="15" hidden="false" customHeight="true" outlineLevel="0" collapsed="false">
      <c r="O782" s="12"/>
    </row>
    <row r="783" customFormat="false" ht="15" hidden="false" customHeight="true" outlineLevel="0" collapsed="false">
      <c r="O783" s="12"/>
    </row>
    <row r="784" customFormat="false" ht="15" hidden="false" customHeight="true" outlineLevel="0" collapsed="false">
      <c r="O784" s="12"/>
    </row>
    <row r="785" customFormat="false" ht="15" hidden="false" customHeight="true" outlineLevel="0" collapsed="false">
      <c r="O785" s="12"/>
    </row>
    <row r="786" customFormat="false" ht="15" hidden="false" customHeight="true" outlineLevel="0" collapsed="false">
      <c r="O786" s="12"/>
    </row>
    <row r="787" customFormat="false" ht="15" hidden="false" customHeight="true" outlineLevel="0" collapsed="false">
      <c r="O787" s="12"/>
    </row>
    <row r="788" customFormat="false" ht="15" hidden="false" customHeight="true" outlineLevel="0" collapsed="false">
      <c r="O788" s="12"/>
    </row>
    <row r="789" customFormat="false" ht="15" hidden="false" customHeight="true" outlineLevel="0" collapsed="false">
      <c r="O789" s="12"/>
    </row>
    <row r="790" customFormat="false" ht="15" hidden="false" customHeight="true" outlineLevel="0" collapsed="false">
      <c r="O790" s="12"/>
    </row>
    <row r="791" customFormat="false" ht="15" hidden="false" customHeight="true" outlineLevel="0" collapsed="false">
      <c r="O791" s="12"/>
    </row>
    <row r="792" customFormat="false" ht="15" hidden="false" customHeight="true" outlineLevel="0" collapsed="false">
      <c r="O792" s="12"/>
    </row>
    <row r="793" customFormat="false" ht="15" hidden="false" customHeight="true" outlineLevel="0" collapsed="false">
      <c r="O793" s="12"/>
    </row>
    <row r="794" customFormat="false" ht="15" hidden="false" customHeight="true" outlineLevel="0" collapsed="false">
      <c r="O794" s="12"/>
    </row>
    <row r="795" customFormat="false" ht="15" hidden="false" customHeight="true" outlineLevel="0" collapsed="false">
      <c r="O795" s="12"/>
    </row>
    <row r="796" customFormat="false" ht="15" hidden="false" customHeight="true" outlineLevel="0" collapsed="false">
      <c r="O796" s="12"/>
    </row>
    <row r="797" customFormat="false" ht="15" hidden="false" customHeight="true" outlineLevel="0" collapsed="false">
      <c r="O797" s="12"/>
    </row>
    <row r="798" customFormat="false" ht="15" hidden="false" customHeight="true" outlineLevel="0" collapsed="false">
      <c r="O798" s="12"/>
    </row>
    <row r="799" customFormat="false" ht="15" hidden="false" customHeight="true" outlineLevel="0" collapsed="false">
      <c r="O799" s="12"/>
    </row>
    <row r="800" customFormat="false" ht="15" hidden="false" customHeight="true" outlineLevel="0" collapsed="false">
      <c r="O800" s="12"/>
    </row>
    <row r="801" customFormat="false" ht="15" hidden="false" customHeight="true" outlineLevel="0" collapsed="false">
      <c r="O801" s="12"/>
    </row>
    <row r="802" customFormat="false" ht="15" hidden="false" customHeight="true" outlineLevel="0" collapsed="false">
      <c r="O802" s="12"/>
    </row>
    <row r="803" customFormat="false" ht="15" hidden="false" customHeight="true" outlineLevel="0" collapsed="false">
      <c r="O803" s="12"/>
    </row>
    <row r="804" customFormat="false" ht="15" hidden="false" customHeight="true" outlineLevel="0" collapsed="false">
      <c r="O804" s="12"/>
    </row>
    <row r="805" customFormat="false" ht="15" hidden="false" customHeight="true" outlineLevel="0" collapsed="false">
      <c r="O805" s="12"/>
    </row>
    <row r="806" customFormat="false" ht="15" hidden="false" customHeight="true" outlineLevel="0" collapsed="false">
      <c r="O806" s="12"/>
    </row>
    <row r="807" customFormat="false" ht="15" hidden="false" customHeight="true" outlineLevel="0" collapsed="false">
      <c r="O807" s="12"/>
    </row>
    <row r="808" customFormat="false" ht="15" hidden="false" customHeight="true" outlineLevel="0" collapsed="false">
      <c r="O808" s="12"/>
    </row>
    <row r="809" customFormat="false" ht="15" hidden="false" customHeight="true" outlineLevel="0" collapsed="false">
      <c r="O809" s="12"/>
    </row>
    <row r="810" customFormat="false" ht="15" hidden="false" customHeight="true" outlineLevel="0" collapsed="false">
      <c r="O810" s="12"/>
    </row>
    <row r="811" customFormat="false" ht="15" hidden="false" customHeight="true" outlineLevel="0" collapsed="false">
      <c r="O811" s="12"/>
    </row>
    <row r="812" customFormat="false" ht="15" hidden="false" customHeight="true" outlineLevel="0" collapsed="false">
      <c r="O812" s="12"/>
    </row>
    <row r="813" customFormat="false" ht="15" hidden="false" customHeight="true" outlineLevel="0" collapsed="false">
      <c r="O813" s="12"/>
    </row>
    <row r="814" customFormat="false" ht="15" hidden="false" customHeight="true" outlineLevel="0" collapsed="false">
      <c r="O814" s="12"/>
    </row>
    <row r="815" customFormat="false" ht="15" hidden="false" customHeight="true" outlineLevel="0" collapsed="false">
      <c r="O815" s="12"/>
    </row>
    <row r="816" customFormat="false" ht="15" hidden="false" customHeight="true" outlineLevel="0" collapsed="false">
      <c r="O816" s="12"/>
    </row>
    <row r="817" customFormat="false" ht="15" hidden="false" customHeight="true" outlineLevel="0" collapsed="false">
      <c r="O817" s="12"/>
    </row>
    <row r="818" customFormat="false" ht="15" hidden="false" customHeight="true" outlineLevel="0" collapsed="false">
      <c r="O818" s="12"/>
    </row>
    <row r="819" customFormat="false" ht="15" hidden="false" customHeight="true" outlineLevel="0" collapsed="false">
      <c r="O819" s="12"/>
    </row>
    <row r="820" customFormat="false" ht="15" hidden="false" customHeight="true" outlineLevel="0" collapsed="false">
      <c r="O820" s="12"/>
    </row>
    <row r="821" customFormat="false" ht="15" hidden="false" customHeight="true" outlineLevel="0" collapsed="false">
      <c r="O821" s="12"/>
    </row>
    <row r="822" customFormat="false" ht="15" hidden="false" customHeight="true" outlineLevel="0" collapsed="false">
      <c r="O822" s="12"/>
    </row>
    <row r="823" customFormat="false" ht="15" hidden="false" customHeight="true" outlineLevel="0" collapsed="false">
      <c r="O823" s="12"/>
    </row>
    <row r="824" customFormat="false" ht="15" hidden="false" customHeight="true" outlineLevel="0" collapsed="false">
      <c r="O824" s="12"/>
    </row>
    <row r="825" customFormat="false" ht="15" hidden="false" customHeight="true" outlineLevel="0" collapsed="false">
      <c r="O825" s="12"/>
    </row>
    <row r="826" customFormat="false" ht="15" hidden="false" customHeight="true" outlineLevel="0" collapsed="false">
      <c r="O826" s="12"/>
    </row>
    <row r="827" customFormat="false" ht="15" hidden="false" customHeight="true" outlineLevel="0" collapsed="false">
      <c r="O827" s="12"/>
    </row>
    <row r="828" customFormat="false" ht="15" hidden="false" customHeight="true" outlineLevel="0" collapsed="false">
      <c r="O828" s="12"/>
    </row>
    <row r="829" customFormat="false" ht="15" hidden="false" customHeight="true" outlineLevel="0" collapsed="false">
      <c r="O829" s="12"/>
    </row>
    <row r="830" customFormat="false" ht="15" hidden="false" customHeight="true" outlineLevel="0" collapsed="false">
      <c r="O830" s="12"/>
    </row>
    <row r="831" customFormat="false" ht="15" hidden="false" customHeight="true" outlineLevel="0" collapsed="false">
      <c r="O831" s="12"/>
    </row>
    <row r="832" customFormat="false" ht="15" hidden="false" customHeight="true" outlineLevel="0" collapsed="false">
      <c r="O832" s="12"/>
    </row>
    <row r="833" customFormat="false" ht="15" hidden="false" customHeight="true" outlineLevel="0" collapsed="false">
      <c r="O833" s="12"/>
    </row>
    <row r="834" customFormat="false" ht="15" hidden="false" customHeight="true" outlineLevel="0" collapsed="false">
      <c r="O834" s="12"/>
    </row>
    <row r="835" customFormat="false" ht="15" hidden="false" customHeight="true" outlineLevel="0" collapsed="false">
      <c r="O835" s="12"/>
    </row>
    <row r="836" customFormat="false" ht="15" hidden="false" customHeight="true" outlineLevel="0" collapsed="false">
      <c r="O836" s="12"/>
    </row>
    <row r="837" customFormat="false" ht="15" hidden="false" customHeight="true" outlineLevel="0" collapsed="false">
      <c r="O837" s="12"/>
    </row>
    <row r="838" customFormat="false" ht="15" hidden="false" customHeight="true" outlineLevel="0" collapsed="false">
      <c r="O838" s="12"/>
    </row>
    <row r="839" customFormat="false" ht="15" hidden="false" customHeight="true" outlineLevel="0" collapsed="false">
      <c r="O839" s="12"/>
    </row>
    <row r="840" customFormat="false" ht="15" hidden="false" customHeight="true" outlineLevel="0" collapsed="false">
      <c r="O840" s="12"/>
    </row>
    <row r="841" customFormat="false" ht="15" hidden="false" customHeight="true" outlineLevel="0" collapsed="false">
      <c r="O841" s="12"/>
    </row>
    <row r="842" customFormat="false" ht="15" hidden="false" customHeight="true" outlineLevel="0" collapsed="false">
      <c r="O842" s="12"/>
    </row>
    <row r="843" customFormat="false" ht="15" hidden="false" customHeight="true" outlineLevel="0" collapsed="false">
      <c r="O843" s="12"/>
    </row>
    <row r="844" customFormat="false" ht="15" hidden="false" customHeight="true" outlineLevel="0" collapsed="false">
      <c r="O844" s="12"/>
    </row>
    <row r="845" customFormat="false" ht="15" hidden="false" customHeight="true" outlineLevel="0" collapsed="false">
      <c r="O845" s="12"/>
    </row>
    <row r="846" customFormat="false" ht="15" hidden="false" customHeight="true" outlineLevel="0" collapsed="false">
      <c r="O846" s="12"/>
    </row>
    <row r="847" customFormat="false" ht="15" hidden="false" customHeight="true" outlineLevel="0" collapsed="false">
      <c r="O847" s="12"/>
    </row>
    <row r="848" customFormat="false" ht="15" hidden="false" customHeight="true" outlineLevel="0" collapsed="false">
      <c r="O848" s="12"/>
    </row>
    <row r="849" customFormat="false" ht="15" hidden="false" customHeight="true" outlineLevel="0" collapsed="false">
      <c r="O849" s="12"/>
    </row>
    <row r="850" customFormat="false" ht="15" hidden="false" customHeight="true" outlineLevel="0" collapsed="false">
      <c r="O850" s="12"/>
    </row>
    <row r="851" customFormat="false" ht="15" hidden="false" customHeight="true" outlineLevel="0" collapsed="false">
      <c r="O851" s="12"/>
    </row>
    <row r="852" customFormat="false" ht="15" hidden="false" customHeight="true" outlineLevel="0" collapsed="false">
      <c r="O852" s="12"/>
    </row>
    <row r="853" customFormat="false" ht="15" hidden="false" customHeight="true" outlineLevel="0" collapsed="false">
      <c r="O853" s="12"/>
    </row>
    <row r="854" customFormat="false" ht="15" hidden="false" customHeight="true" outlineLevel="0" collapsed="false">
      <c r="O854" s="12"/>
    </row>
    <row r="855" customFormat="false" ht="15" hidden="false" customHeight="true" outlineLevel="0" collapsed="false">
      <c r="O855" s="12"/>
    </row>
    <row r="856" customFormat="false" ht="15" hidden="false" customHeight="true" outlineLevel="0" collapsed="false">
      <c r="O856" s="12"/>
    </row>
    <row r="857" customFormat="false" ht="15" hidden="false" customHeight="true" outlineLevel="0" collapsed="false">
      <c r="O857" s="12"/>
    </row>
    <row r="858" customFormat="false" ht="15" hidden="false" customHeight="true" outlineLevel="0" collapsed="false">
      <c r="O858" s="12"/>
    </row>
    <row r="859" customFormat="false" ht="15" hidden="false" customHeight="true" outlineLevel="0" collapsed="false">
      <c r="O859" s="12"/>
    </row>
    <row r="860" customFormat="false" ht="15" hidden="false" customHeight="true" outlineLevel="0" collapsed="false">
      <c r="O860" s="12"/>
    </row>
    <row r="861" customFormat="false" ht="15" hidden="false" customHeight="true" outlineLevel="0" collapsed="false">
      <c r="O861" s="12"/>
    </row>
    <row r="862" customFormat="false" ht="15" hidden="false" customHeight="true" outlineLevel="0" collapsed="false">
      <c r="O862" s="12"/>
    </row>
    <row r="863" customFormat="false" ht="15" hidden="false" customHeight="true" outlineLevel="0" collapsed="false">
      <c r="O863" s="12"/>
    </row>
    <row r="864" customFormat="false" ht="15" hidden="false" customHeight="true" outlineLevel="0" collapsed="false">
      <c r="O864" s="12"/>
    </row>
    <row r="865" customFormat="false" ht="15" hidden="false" customHeight="true" outlineLevel="0" collapsed="false">
      <c r="O865" s="12"/>
    </row>
    <row r="866" customFormat="false" ht="15" hidden="false" customHeight="true" outlineLevel="0" collapsed="false">
      <c r="O866" s="12"/>
    </row>
    <row r="867" customFormat="false" ht="15" hidden="false" customHeight="true" outlineLevel="0" collapsed="false">
      <c r="O867" s="12"/>
    </row>
    <row r="868" customFormat="false" ht="15" hidden="false" customHeight="true" outlineLevel="0" collapsed="false">
      <c r="O868" s="12"/>
    </row>
    <row r="869" customFormat="false" ht="15" hidden="false" customHeight="true" outlineLevel="0" collapsed="false">
      <c r="O869" s="12"/>
    </row>
    <row r="870" customFormat="false" ht="15" hidden="false" customHeight="true" outlineLevel="0" collapsed="false">
      <c r="O870" s="12"/>
    </row>
    <row r="871" customFormat="false" ht="15" hidden="false" customHeight="true" outlineLevel="0" collapsed="false">
      <c r="O871" s="12"/>
    </row>
    <row r="872" customFormat="false" ht="15" hidden="false" customHeight="true" outlineLevel="0" collapsed="false">
      <c r="O872" s="12"/>
    </row>
    <row r="873" customFormat="false" ht="15" hidden="false" customHeight="true" outlineLevel="0" collapsed="false">
      <c r="O873" s="12"/>
    </row>
    <row r="874" customFormat="false" ht="15" hidden="false" customHeight="true" outlineLevel="0" collapsed="false">
      <c r="O874" s="12"/>
    </row>
    <row r="875" customFormat="false" ht="15" hidden="false" customHeight="true" outlineLevel="0" collapsed="false">
      <c r="O875" s="12"/>
    </row>
    <row r="876" customFormat="false" ht="15" hidden="false" customHeight="true" outlineLevel="0" collapsed="false">
      <c r="O876" s="12"/>
    </row>
    <row r="877" customFormat="false" ht="15" hidden="false" customHeight="true" outlineLevel="0" collapsed="false">
      <c r="O877" s="12"/>
    </row>
    <row r="878" customFormat="false" ht="15" hidden="false" customHeight="true" outlineLevel="0" collapsed="false">
      <c r="O878" s="12"/>
    </row>
    <row r="879" customFormat="false" ht="15" hidden="false" customHeight="true" outlineLevel="0" collapsed="false">
      <c r="O879" s="12"/>
    </row>
    <row r="880" customFormat="false" ht="15" hidden="false" customHeight="true" outlineLevel="0" collapsed="false">
      <c r="O880" s="12"/>
    </row>
    <row r="881" customFormat="false" ht="15" hidden="false" customHeight="true" outlineLevel="0" collapsed="false">
      <c r="O881" s="12"/>
    </row>
    <row r="882" customFormat="false" ht="15" hidden="false" customHeight="true" outlineLevel="0" collapsed="false">
      <c r="O882" s="12"/>
    </row>
    <row r="883" customFormat="false" ht="15" hidden="false" customHeight="true" outlineLevel="0" collapsed="false">
      <c r="O883" s="12"/>
    </row>
    <row r="884" customFormat="false" ht="15" hidden="false" customHeight="true" outlineLevel="0" collapsed="false">
      <c r="O884" s="12"/>
    </row>
    <row r="885" customFormat="false" ht="15" hidden="false" customHeight="true" outlineLevel="0" collapsed="false">
      <c r="O885" s="12"/>
    </row>
    <row r="886" customFormat="false" ht="15" hidden="false" customHeight="true" outlineLevel="0" collapsed="false">
      <c r="O886" s="12"/>
    </row>
    <row r="887" customFormat="false" ht="15" hidden="false" customHeight="true" outlineLevel="0" collapsed="false">
      <c r="O887" s="12"/>
    </row>
    <row r="888" customFormat="false" ht="15" hidden="false" customHeight="true" outlineLevel="0" collapsed="false">
      <c r="O888" s="12"/>
    </row>
    <row r="889" customFormat="false" ht="15" hidden="false" customHeight="true" outlineLevel="0" collapsed="false">
      <c r="O889" s="12"/>
    </row>
    <row r="890" customFormat="false" ht="15" hidden="false" customHeight="true" outlineLevel="0" collapsed="false">
      <c r="O890" s="12"/>
    </row>
    <row r="891" customFormat="false" ht="15" hidden="false" customHeight="true" outlineLevel="0" collapsed="false">
      <c r="O891" s="12"/>
    </row>
    <row r="892" customFormat="false" ht="15" hidden="false" customHeight="true" outlineLevel="0" collapsed="false">
      <c r="O892" s="12"/>
    </row>
    <row r="893" customFormat="false" ht="15" hidden="false" customHeight="true" outlineLevel="0" collapsed="false">
      <c r="O893" s="12"/>
    </row>
    <row r="894" customFormat="false" ht="15" hidden="false" customHeight="true" outlineLevel="0" collapsed="false">
      <c r="O894" s="12"/>
    </row>
    <row r="895" customFormat="false" ht="15" hidden="false" customHeight="true" outlineLevel="0" collapsed="false">
      <c r="O895" s="12"/>
    </row>
    <row r="896" customFormat="false" ht="15" hidden="false" customHeight="true" outlineLevel="0" collapsed="false">
      <c r="O896" s="12"/>
    </row>
    <row r="897" customFormat="false" ht="15" hidden="false" customHeight="true" outlineLevel="0" collapsed="false">
      <c r="O897" s="12"/>
    </row>
    <row r="898" customFormat="false" ht="15" hidden="false" customHeight="true" outlineLevel="0" collapsed="false">
      <c r="O898" s="12"/>
    </row>
    <row r="899" customFormat="false" ht="15" hidden="false" customHeight="true" outlineLevel="0" collapsed="false">
      <c r="O899" s="12"/>
    </row>
    <row r="900" customFormat="false" ht="15" hidden="false" customHeight="true" outlineLevel="0" collapsed="false">
      <c r="O900" s="12"/>
    </row>
    <row r="901" customFormat="false" ht="15" hidden="false" customHeight="true" outlineLevel="0" collapsed="false">
      <c r="O901" s="12"/>
    </row>
    <row r="902" customFormat="false" ht="15" hidden="false" customHeight="true" outlineLevel="0" collapsed="false">
      <c r="O902" s="12"/>
    </row>
    <row r="903" customFormat="false" ht="15" hidden="false" customHeight="true" outlineLevel="0" collapsed="false">
      <c r="O903" s="12"/>
    </row>
    <row r="904" customFormat="false" ht="15" hidden="false" customHeight="true" outlineLevel="0" collapsed="false">
      <c r="O904" s="12"/>
    </row>
    <row r="905" customFormat="false" ht="15" hidden="false" customHeight="true" outlineLevel="0" collapsed="false">
      <c r="O905" s="12"/>
    </row>
    <row r="906" customFormat="false" ht="15" hidden="false" customHeight="true" outlineLevel="0" collapsed="false">
      <c r="O906" s="12"/>
    </row>
    <row r="907" customFormat="false" ht="15" hidden="false" customHeight="true" outlineLevel="0" collapsed="false">
      <c r="O907" s="12"/>
    </row>
    <row r="908" customFormat="false" ht="15" hidden="false" customHeight="true" outlineLevel="0" collapsed="false">
      <c r="O908" s="12"/>
    </row>
    <row r="909" customFormat="false" ht="15" hidden="false" customHeight="true" outlineLevel="0" collapsed="false">
      <c r="O909" s="12"/>
    </row>
    <row r="910" customFormat="false" ht="15" hidden="false" customHeight="true" outlineLevel="0" collapsed="false">
      <c r="O910" s="12"/>
    </row>
    <row r="911" customFormat="false" ht="15" hidden="false" customHeight="true" outlineLevel="0" collapsed="false">
      <c r="O911" s="12"/>
    </row>
    <row r="912" customFormat="false" ht="15" hidden="false" customHeight="true" outlineLevel="0" collapsed="false">
      <c r="O912" s="12"/>
    </row>
    <row r="913" customFormat="false" ht="15" hidden="false" customHeight="true" outlineLevel="0" collapsed="false">
      <c r="O913" s="12"/>
    </row>
    <row r="914" customFormat="false" ht="15" hidden="false" customHeight="true" outlineLevel="0" collapsed="false">
      <c r="O914" s="12"/>
    </row>
    <row r="915" customFormat="false" ht="15" hidden="false" customHeight="true" outlineLevel="0" collapsed="false">
      <c r="O915" s="12"/>
    </row>
    <row r="916" customFormat="false" ht="15" hidden="false" customHeight="true" outlineLevel="0" collapsed="false">
      <c r="O916" s="12"/>
    </row>
    <row r="917" customFormat="false" ht="15" hidden="false" customHeight="true" outlineLevel="0" collapsed="false">
      <c r="O917" s="12"/>
    </row>
    <row r="918" customFormat="false" ht="15" hidden="false" customHeight="true" outlineLevel="0" collapsed="false">
      <c r="O918" s="12"/>
    </row>
    <row r="919" customFormat="false" ht="15" hidden="false" customHeight="true" outlineLevel="0" collapsed="false">
      <c r="O919" s="12"/>
    </row>
    <row r="920" customFormat="false" ht="15" hidden="false" customHeight="true" outlineLevel="0" collapsed="false">
      <c r="O920" s="12"/>
    </row>
    <row r="921" customFormat="false" ht="15" hidden="false" customHeight="true" outlineLevel="0" collapsed="false">
      <c r="O921" s="12"/>
    </row>
    <row r="922" customFormat="false" ht="15" hidden="false" customHeight="true" outlineLevel="0" collapsed="false">
      <c r="O922" s="12"/>
    </row>
    <row r="923" customFormat="false" ht="15" hidden="false" customHeight="true" outlineLevel="0" collapsed="false">
      <c r="O923" s="12"/>
    </row>
    <row r="924" customFormat="false" ht="15" hidden="false" customHeight="true" outlineLevel="0" collapsed="false">
      <c r="O924" s="12"/>
    </row>
    <row r="925" customFormat="false" ht="15" hidden="false" customHeight="true" outlineLevel="0" collapsed="false">
      <c r="O925" s="12"/>
    </row>
    <row r="926" customFormat="false" ht="15" hidden="false" customHeight="true" outlineLevel="0" collapsed="false">
      <c r="O926" s="12"/>
    </row>
    <row r="927" customFormat="false" ht="15" hidden="false" customHeight="true" outlineLevel="0" collapsed="false">
      <c r="O927" s="12"/>
    </row>
    <row r="928" customFormat="false" ht="15" hidden="false" customHeight="true" outlineLevel="0" collapsed="false">
      <c r="O928" s="12"/>
    </row>
    <row r="929" customFormat="false" ht="15" hidden="false" customHeight="true" outlineLevel="0" collapsed="false">
      <c r="O929" s="12"/>
    </row>
    <row r="930" customFormat="false" ht="15" hidden="false" customHeight="true" outlineLevel="0" collapsed="false">
      <c r="O930" s="12"/>
    </row>
    <row r="931" customFormat="false" ht="15" hidden="false" customHeight="true" outlineLevel="0" collapsed="false">
      <c r="O931" s="12"/>
    </row>
    <row r="932" customFormat="false" ht="15" hidden="false" customHeight="true" outlineLevel="0" collapsed="false">
      <c r="O932" s="12"/>
    </row>
    <row r="933" customFormat="false" ht="15" hidden="false" customHeight="true" outlineLevel="0" collapsed="false">
      <c r="O933" s="12"/>
    </row>
    <row r="934" customFormat="false" ht="15" hidden="false" customHeight="true" outlineLevel="0" collapsed="false">
      <c r="O934" s="12"/>
    </row>
    <row r="935" customFormat="false" ht="15" hidden="false" customHeight="true" outlineLevel="0" collapsed="false">
      <c r="O935" s="12"/>
    </row>
    <row r="936" customFormat="false" ht="15" hidden="false" customHeight="true" outlineLevel="0" collapsed="false">
      <c r="O936" s="12"/>
    </row>
    <row r="937" customFormat="false" ht="15" hidden="false" customHeight="true" outlineLevel="0" collapsed="false">
      <c r="O937" s="12"/>
    </row>
    <row r="938" customFormat="false" ht="15" hidden="false" customHeight="true" outlineLevel="0" collapsed="false">
      <c r="O938" s="12"/>
    </row>
    <row r="939" customFormat="false" ht="15" hidden="false" customHeight="true" outlineLevel="0" collapsed="false">
      <c r="O939" s="12"/>
    </row>
    <row r="940" customFormat="false" ht="15" hidden="false" customHeight="true" outlineLevel="0" collapsed="false">
      <c r="O940" s="12"/>
    </row>
    <row r="941" customFormat="false" ht="15" hidden="false" customHeight="true" outlineLevel="0" collapsed="false">
      <c r="O941" s="12"/>
    </row>
    <row r="942" customFormat="false" ht="15" hidden="false" customHeight="true" outlineLevel="0" collapsed="false">
      <c r="O942" s="12"/>
    </row>
    <row r="943" customFormat="false" ht="15" hidden="false" customHeight="true" outlineLevel="0" collapsed="false">
      <c r="O943" s="12"/>
    </row>
    <row r="944" customFormat="false" ht="15" hidden="false" customHeight="true" outlineLevel="0" collapsed="false">
      <c r="O944" s="12"/>
    </row>
    <row r="945" customFormat="false" ht="15" hidden="false" customHeight="true" outlineLevel="0" collapsed="false">
      <c r="O945" s="12"/>
    </row>
    <row r="946" customFormat="false" ht="15" hidden="false" customHeight="true" outlineLevel="0" collapsed="false">
      <c r="O946" s="12"/>
    </row>
    <row r="947" customFormat="false" ht="15" hidden="false" customHeight="true" outlineLevel="0" collapsed="false">
      <c r="O947" s="12"/>
    </row>
    <row r="948" customFormat="false" ht="15" hidden="false" customHeight="true" outlineLevel="0" collapsed="false">
      <c r="O948" s="12"/>
    </row>
    <row r="949" customFormat="false" ht="15" hidden="false" customHeight="true" outlineLevel="0" collapsed="false">
      <c r="O949" s="12"/>
    </row>
    <row r="950" customFormat="false" ht="15" hidden="false" customHeight="true" outlineLevel="0" collapsed="false">
      <c r="O950" s="12"/>
    </row>
    <row r="951" customFormat="false" ht="15" hidden="false" customHeight="true" outlineLevel="0" collapsed="false">
      <c r="O951" s="12"/>
    </row>
    <row r="952" customFormat="false" ht="15" hidden="false" customHeight="true" outlineLevel="0" collapsed="false">
      <c r="O952" s="12"/>
    </row>
    <row r="953" customFormat="false" ht="15" hidden="false" customHeight="true" outlineLevel="0" collapsed="false">
      <c r="O953" s="12"/>
    </row>
    <row r="954" customFormat="false" ht="15" hidden="false" customHeight="true" outlineLevel="0" collapsed="false">
      <c r="O954" s="12"/>
    </row>
    <row r="955" customFormat="false" ht="15" hidden="false" customHeight="true" outlineLevel="0" collapsed="false">
      <c r="O955" s="12"/>
    </row>
    <row r="956" customFormat="false" ht="15" hidden="false" customHeight="true" outlineLevel="0" collapsed="false">
      <c r="O956" s="12"/>
    </row>
    <row r="957" customFormat="false" ht="15" hidden="false" customHeight="true" outlineLevel="0" collapsed="false">
      <c r="O957" s="12"/>
    </row>
    <row r="958" customFormat="false" ht="15" hidden="false" customHeight="true" outlineLevel="0" collapsed="false">
      <c r="O958" s="12"/>
    </row>
    <row r="959" customFormat="false" ht="15" hidden="false" customHeight="true" outlineLevel="0" collapsed="false">
      <c r="O959" s="12"/>
    </row>
    <row r="960" customFormat="false" ht="15" hidden="false" customHeight="true" outlineLevel="0" collapsed="false">
      <c r="O960" s="12"/>
    </row>
    <row r="961" customFormat="false" ht="15" hidden="false" customHeight="true" outlineLevel="0" collapsed="false">
      <c r="O961" s="12"/>
    </row>
    <row r="962" customFormat="false" ht="15" hidden="false" customHeight="true" outlineLevel="0" collapsed="false">
      <c r="O962" s="12"/>
    </row>
    <row r="963" customFormat="false" ht="15" hidden="false" customHeight="true" outlineLevel="0" collapsed="false">
      <c r="O963" s="12"/>
    </row>
    <row r="964" customFormat="false" ht="15" hidden="false" customHeight="true" outlineLevel="0" collapsed="false">
      <c r="O964" s="12"/>
    </row>
    <row r="965" customFormat="false" ht="15" hidden="false" customHeight="true" outlineLevel="0" collapsed="false">
      <c r="O965" s="12"/>
    </row>
    <row r="966" customFormat="false" ht="15" hidden="false" customHeight="true" outlineLevel="0" collapsed="false">
      <c r="O966" s="12"/>
    </row>
    <row r="967" customFormat="false" ht="15" hidden="false" customHeight="true" outlineLevel="0" collapsed="false">
      <c r="O967" s="12"/>
    </row>
    <row r="968" customFormat="false" ht="15" hidden="false" customHeight="true" outlineLevel="0" collapsed="false">
      <c r="O968" s="12"/>
    </row>
    <row r="969" customFormat="false" ht="15" hidden="false" customHeight="true" outlineLevel="0" collapsed="false">
      <c r="O969" s="12"/>
    </row>
    <row r="970" customFormat="false" ht="15" hidden="false" customHeight="true" outlineLevel="0" collapsed="false">
      <c r="O970" s="12"/>
    </row>
    <row r="971" customFormat="false" ht="15" hidden="false" customHeight="true" outlineLevel="0" collapsed="false">
      <c r="O971" s="12"/>
    </row>
    <row r="972" customFormat="false" ht="15" hidden="false" customHeight="true" outlineLevel="0" collapsed="false">
      <c r="O972" s="12"/>
    </row>
    <row r="973" customFormat="false" ht="15" hidden="false" customHeight="true" outlineLevel="0" collapsed="false">
      <c r="O973" s="12"/>
    </row>
    <row r="974" customFormat="false" ht="15" hidden="false" customHeight="true" outlineLevel="0" collapsed="false">
      <c r="O974" s="12"/>
    </row>
    <row r="975" customFormat="false" ht="15" hidden="false" customHeight="true" outlineLevel="0" collapsed="false">
      <c r="O975" s="12"/>
    </row>
    <row r="976" customFormat="false" ht="15" hidden="false" customHeight="true" outlineLevel="0" collapsed="false">
      <c r="O976" s="12"/>
    </row>
    <row r="977" customFormat="false" ht="15" hidden="false" customHeight="true" outlineLevel="0" collapsed="false">
      <c r="O977" s="12"/>
    </row>
    <row r="978" customFormat="false" ht="15" hidden="false" customHeight="true" outlineLevel="0" collapsed="false">
      <c r="O978" s="12"/>
    </row>
    <row r="979" customFormat="false" ht="15" hidden="false" customHeight="true" outlineLevel="0" collapsed="false">
      <c r="O979" s="12"/>
    </row>
    <row r="980" customFormat="false" ht="15" hidden="false" customHeight="true" outlineLevel="0" collapsed="false">
      <c r="O980" s="12"/>
    </row>
    <row r="981" customFormat="false" ht="15" hidden="false" customHeight="true" outlineLevel="0" collapsed="false">
      <c r="O981" s="12"/>
    </row>
    <row r="982" customFormat="false" ht="15" hidden="false" customHeight="true" outlineLevel="0" collapsed="false">
      <c r="O982" s="12"/>
    </row>
    <row r="983" customFormat="false" ht="15" hidden="false" customHeight="true" outlineLevel="0" collapsed="false">
      <c r="O983" s="12"/>
    </row>
    <row r="984" customFormat="false" ht="15" hidden="false" customHeight="true" outlineLevel="0" collapsed="false">
      <c r="O984" s="12"/>
    </row>
    <row r="985" customFormat="false" ht="15" hidden="false" customHeight="true" outlineLevel="0" collapsed="false">
      <c r="O985" s="12"/>
    </row>
    <row r="986" customFormat="false" ht="15" hidden="false" customHeight="true" outlineLevel="0" collapsed="false">
      <c r="O986" s="12"/>
    </row>
    <row r="987" customFormat="false" ht="15" hidden="false" customHeight="true" outlineLevel="0" collapsed="false">
      <c r="O987" s="12"/>
    </row>
    <row r="988" customFormat="false" ht="15" hidden="false" customHeight="true" outlineLevel="0" collapsed="false">
      <c r="O988" s="12"/>
    </row>
    <row r="989" customFormat="false" ht="15" hidden="false" customHeight="true" outlineLevel="0" collapsed="false">
      <c r="O989" s="12"/>
    </row>
    <row r="990" customFormat="false" ht="15" hidden="false" customHeight="true" outlineLevel="0" collapsed="false">
      <c r="O990" s="12"/>
    </row>
    <row r="991" customFormat="false" ht="15" hidden="false" customHeight="true" outlineLevel="0" collapsed="false">
      <c r="O991" s="12"/>
    </row>
    <row r="992" customFormat="false" ht="15" hidden="false" customHeight="true" outlineLevel="0" collapsed="false">
      <c r="O992" s="12"/>
    </row>
    <row r="993" customFormat="false" ht="15" hidden="false" customHeight="true" outlineLevel="0" collapsed="false">
      <c r="O993" s="12"/>
    </row>
    <row r="994" customFormat="false" ht="15" hidden="false" customHeight="true" outlineLevel="0" collapsed="false">
      <c r="O994" s="12"/>
    </row>
    <row r="995" customFormat="false" ht="15" hidden="false" customHeight="true" outlineLevel="0" collapsed="false">
      <c r="O995" s="12"/>
    </row>
    <row r="996" customFormat="false" ht="15" hidden="false" customHeight="true" outlineLevel="0" collapsed="false">
      <c r="O996" s="12"/>
    </row>
    <row r="997" customFormat="false" ht="15" hidden="false" customHeight="true" outlineLevel="0" collapsed="false">
      <c r="O997" s="12"/>
    </row>
    <row r="998" customFormat="false" ht="15" hidden="false" customHeight="true" outlineLevel="0" collapsed="false">
      <c r="O998" s="12"/>
    </row>
    <row r="999" customFormat="false" ht="15" hidden="false" customHeight="true" outlineLevel="0" collapsed="false">
      <c r="O999" s="12"/>
    </row>
    <row r="1000" customFormat="false" ht="15" hidden="false" customHeight="true" outlineLevel="0" collapsed="false">
      <c r="O1000" s="12"/>
    </row>
  </sheetData>
  <autoFilter ref="A1:AI20"/>
  <dataValidations count="12">
    <dataValidation allowBlank="true" errorStyle="stop" operator="between" showDropDown="false" showErrorMessage="false" showInputMessage="false" sqref="C2:C1000" type="list">
      <formula1>Lookups!$D$2:$D$7</formula1>
      <formula2>0</formula2>
    </dataValidation>
    <dataValidation allowBlank="true" errorStyle="stop" operator="between" showDropDown="false" showErrorMessage="false" showInputMessage="false" sqref="D2:D1000" type="list">
      <formula1>Lookups!$E$2:$E$3</formula1>
      <formula2>0</formula2>
    </dataValidation>
    <dataValidation allowBlank="true" errorStyle="stop" operator="between" showDropDown="false" showErrorMessage="false" showInputMessage="false" sqref="I2:I1000" type="list">
      <formula1>Lookups!$F$2:$F$4</formula1>
      <formula2>0</formula2>
    </dataValidation>
    <dataValidation allowBlank="true" errorStyle="stop" operator="between" showDropDown="false" showErrorMessage="false" showInputMessage="false" sqref="K2:K1000" type="list">
      <formula1>Lookups!$G$2:$G$5</formula1>
      <formula2>0</formula2>
    </dataValidation>
    <dataValidation allowBlank="true" errorStyle="stop" operator="between" showDropDown="false" showErrorMessage="false" showInputMessage="false" sqref="L2:L1000" type="list">
      <formula1>Lookups!$H$2:$H$6</formula1>
      <formula2>0</formula2>
    </dataValidation>
    <dataValidation allowBlank="true" errorStyle="stop" operator="between" showDropDown="false" showErrorMessage="false" showInputMessage="false" sqref="U2:U1000" type="list">
      <formula1>Lookups!$I$2:$I$10</formula1>
      <formula2>0</formula2>
    </dataValidation>
    <dataValidation allowBlank="true" errorStyle="stop" operator="between" showDropDown="false" showErrorMessage="false" showInputMessage="false" sqref="X2:X1000" type="list">
      <formula1>Lookups!$J$2:$J$10</formula1>
      <formula2>0</formula2>
    </dataValidation>
    <dataValidation allowBlank="true" errorStyle="stop" operator="between" showDropDown="false" showErrorMessage="false" showInputMessage="false" sqref="Y2:Y1000" type="list">
      <formula1>Lookups!$K$2:$K$5</formula1>
      <formula2>0</formula2>
    </dataValidation>
    <dataValidation allowBlank="true" errorStyle="stop" operator="between" showDropDown="false" showErrorMessage="false" showInputMessage="false" sqref="Z2:Z1000" type="list">
      <formula1>Lookups!$L$2:$L$4</formula1>
      <formula2>0</formula2>
    </dataValidation>
    <dataValidation allowBlank="true" errorStyle="stop" operator="between" showDropDown="false" showErrorMessage="false" showInputMessage="false" sqref="AB2:AB1000" type="list">
      <formula1>Lookups!$M$2:$M$5</formula1>
      <formula2>0</formula2>
    </dataValidation>
    <dataValidation allowBlank="true" errorStyle="stop" operator="between" showDropDown="false" showErrorMessage="false" showInputMessage="false" sqref="AD2:AD1000" type="list">
      <formula1>Lookups!$N$2:$N$7</formula1>
      <formula2>0</formula2>
    </dataValidation>
    <dataValidation allowBlank="true" errorStyle="stop" operator="between" showDropDown="false" showErrorMessage="false" showInputMessage="false" sqref="AH2:AH1000" type="list">
      <formula1>Lookups!$O$2:$O$5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20"/>
    <col collapsed="false" customWidth="true" hidden="false" outlineLevel="0" max="3" min="3" style="1" width="16"/>
    <col collapsed="false" customWidth="true" hidden="false" outlineLevel="0" max="4" min="4" style="1" width="14"/>
    <col collapsed="false" customWidth="true" hidden="false" outlineLevel="0" max="5" min="5" style="1" width="11"/>
    <col collapsed="false" customWidth="true" hidden="false" outlineLevel="0" max="6" min="6" style="1" width="50"/>
    <col collapsed="false" customWidth="true" hidden="false" outlineLevel="0" max="7" min="7" style="1" width="30"/>
    <col collapsed="false" customWidth="true" hidden="false" outlineLevel="0" max="8" min="8" style="1" width="18"/>
    <col collapsed="false" customWidth="true" hidden="false" outlineLevel="0" max="9" min="9" style="1" width="11"/>
    <col collapsed="false" customWidth="true" hidden="false" outlineLevel="0" max="10" min="10" style="1" width="9"/>
    <col collapsed="false" customWidth="true" hidden="false" outlineLevel="0" max="11" min="11" style="1" width="40"/>
  </cols>
  <sheetData>
    <row r="1" customFormat="false" ht="34.5" hidden="false" customHeight="true" outlineLevel="0" collapsed="false">
      <c r="A1" s="5" t="s">
        <v>295</v>
      </c>
      <c r="B1" s="5" t="s">
        <v>2</v>
      </c>
      <c r="C1" s="5" t="s">
        <v>296</v>
      </c>
      <c r="D1" s="5" t="s">
        <v>37</v>
      </c>
      <c r="E1" s="5" t="s">
        <v>34</v>
      </c>
      <c r="F1" s="5" t="s">
        <v>297</v>
      </c>
      <c r="G1" s="5" t="s">
        <v>298</v>
      </c>
      <c r="H1" s="5" t="s">
        <v>299</v>
      </c>
      <c r="I1" s="5" t="s">
        <v>300</v>
      </c>
      <c r="J1" s="5" t="s">
        <v>301</v>
      </c>
      <c r="K1" s="5" t="s">
        <v>302</v>
      </c>
    </row>
    <row r="2" customFormat="false" ht="57" hidden="false" customHeight="true" outlineLevel="0" collapsed="false">
      <c r="A2" s="6" t="s">
        <v>303</v>
      </c>
      <c r="B2" s="6" t="s">
        <v>4</v>
      </c>
      <c r="C2" s="6" t="s">
        <v>304</v>
      </c>
      <c r="D2" s="6" t="s">
        <v>305</v>
      </c>
      <c r="E2" s="8" t="s">
        <v>306</v>
      </c>
      <c r="F2" s="6" t="s">
        <v>307</v>
      </c>
      <c r="G2" s="6" t="s">
        <v>308</v>
      </c>
      <c r="H2" s="6" t="s">
        <v>309</v>
      </c>
      <c r="I2" s="6" t="s">
        <v>55</v>
      </c>
      <c r="J2" s="6" t="s">
        <v>310</v>
      </c>
      <c r="K2" s="6" t="s">
        <v>311</v>
      </c>
    </row>
    <row r="3" customFormat="false" ht="23.25" hidden="false" customHeight="true" outlineLevel="0" collapsed="false">
      <c r="A3" s="6" t="s">
        <v>312</v>
      </c>
      <c r="B3" s="6" t="s">
        <v>4</v>
      </c>
      <c r="C3" s="6" t="s">
        <v>313</v>
      </c>
      <c r="D3" s="6" t="s">
        <v>305</v>
      </c>
      <c r="E3" s="8" t="s">
        <v>314</v>
      </c>
      <c r="F3" s="6" t="s">
        <v>315</v>
      </c>
      <c r="G3" s="6" t="s">
        <v>316</v>
      </c>
      <c r="H3" s="6" t="s">
        <v>317</v>
      </c>
      <c r="I3" s="6" t="s">
        <v>55</v>
      </c>
      <c r="J3" s="6" t="s">
        <v>310</v>
      </c>
      <c r="K3" s="6" t="s">
        <v>318</v>
      </c>
    </row>
    <row r="4" customFormat="false" ht="23.25" hidden="false" customHeight="true" outlineLevel="0" collapsed="false">
      <c r="A4" s="6" t="s">
        <v>319</v>
      </c>
      <c r="B4" s="6" t="s">
        <v>4</v>
      </c>
      <c r="C4" s="6" t="s">
        <v>184</v>
      </c>
      <c r="D4" s="6" t="s">
        <v>185</v>
      </c>
      <c r="E4" s="8" t="s">
        <v>320</v>
      </c>
      <c r="F4" s="6" t="s">
        <v>321</v>
      </c>
      <c r="G4" s="6" t="s">
        <v>322</v>
      </c>
      <c r="H4" s="6" t="s">
        <v>323</v>
      </c>
      <c r="I4" s="6" t="s">
        <v>55</v>
      </c>
      <c r="J4" s="6" t="s">
        <v>324</v>
      </c>
      <c r="K4" s="6" t="s">
        <v>325</v>
      </c>
    </row>
    <row r="5" customFormat="false" ht="34.5" hidden="false" customHeight="true" outlineLevel="0" collapsed="false">
      <c r="A5" s="6" t="s">
        <v>326</v>
      </c>
      <c r="B5" s="6" t="s">
        <v>9</v>
      </c>
      <c r="C5" s="6" t="s">
        <v>327</v>
      </c>
      <c r="D5" s="6" t="s">
        <v>328</v>
      </c>
      <c r="E5" s="8" t="s">
        <v>329</v>
      </c>
      <c r="F5" s="6" t="s">
        <v>330</v>
      </c>
      <c r="G5" s="6" t="s">
        <v>331</v>
      </c>
      <c r="H5" s="6" t="s">
        <v>323</v>
      </c>
      <c r="I5" s="6" t="s">
        <v>55</v>
      </c>
      <c r="J5" s="6" t="s">
        <v>332</v>
      </c>
      <c r="K5" s="6" t="s">
        <v>333</v>
      </c>
    </row>
    <row r="6" customFormat="false" ht="23.25" hidden="false" customHeight="true" outlineLevel="0" collapsed="false">
      <c r="A6" s="6" t="s">
        <v>334</v>
      </c>
      <c r="B6" s="6" t="s">
        <v>6</v>
      </c>
      <c r="C6" s="6" t="s">
        <v>335</v>
      </c>
      <c r="D6" s="6" t="s">
        <v>305</v>
      </c>
      <c r="E6" s="8" t="s">
        <v>314</v>
      </c>
      <c r="F6" s="6" t="s">
        <v>336</v>
      </c>
      <c r="G6" s="6" t="s">
        <v>337</v>
      </c>
      <c r="H6" s="6" t="s">
        <v>317</v>
      </c>
      <c r="I6" s="6" t="s">
        <v>55</v>
      </c>
      <c r="J6" s="6" t="s">
        <v>324</v>
      </c>
      <c r="K6" s="6"/>
    </row>
    <row r="7" customFormat="false" ht="34.5" hidden="false" customHeight="true" outlineLevel="0" collapsed="false">
      <c r="A7" s="6" t="s">
        <v>338</v>
      </c>
      <c r="B7" s="6" t="s">
        <v>6</v>
      </c>
      <c r="C7" s="6" t="s">
        <v>339</v>
      </c>
      <c r="D7" s="6" t="s">
        <v>252</v>
      </c>
      <c r="E7" s="8" t="s">
        <v>340</v>
      </c>
      <c r="F7" s="6" t="s">
        <v>341</v>
      </c>
      <c r="G7" s="6" t="s">
        <v>342</v>
      </c>
      <c r="H7" s="6" t="s">
        <v>317</v>
      </c>
      <c r="I7" s="6" t="s">
        <v>55</v>
      </c>
      <c r="J7" s="6" t="s">
        <v>324</v>
      </c>
      <c r="K7" s="6" t="s">
        <v>343</v>
      </c>
    </row>
    <row r="8" customFormat="false" ht="23.25" hidden="false" customHeight="true" outlineLevel="0" collapsed="false">
      <c r="A8" s="6" t="s">
        <v>344</v>
      </c>
      <c r="B8" s="6" t="s">
        <v>4</v>
      </c>
      <c r="C8" s="6" t="s">
        <v>345</v>
      </c>
      <c r="D8" s="6" t="s">
        <v>346</v>
      </c>
      <c r="E8" s="8" t="s">
        <v>347</v>
      </c>
      <c r="F8" s="6" t="s">
        <v>348</v>
      </c>
      <c r="G8" s="6" t="s">
        <v>349</v>
      </c>
      <c r="H8" s="6" t="s">
        <v>317</v>
      </c>
      <c r="I8" s="6" t="s">
        <v>55</v>
      </c>
      <c r="J8" s="6" t="s">
        <v>310</v>
      </c>
      <c r="K8" s="6" t="s">
        <v>350</v>
      </c>
    </row>
    <row r="9" customFormat="false" ht="23.25" hidden="false" customHeight="true" outlineLevel="0" collapsed="false">
      <c r="A9" s="6" t="s">
        <v>351</v>
      </c>
      <c r="B9" s="6" t="s">
        <v>4</v>
      </c>
      <c r="C9" s="6" t="s">
        <v>352</v>
      </c>
      <c r="D9" s="6" t="s">
        <v>172</v>
      </c>
      <c r="E9" s="8" t="s">
        <v>353</v>
      </c>
      <c r="F9" s="6" t="s">
        <v>354</v>
      </c>
      <c r="G9" s="6" t="s">
        <v>355</v>
      </c>
      <c r="H9" s="6" t="s">
        <v>317</v>
      </c>
      <c r="I9" s="6" t="s">
        <v>55</v>
      </c>
      <c r="J9" s="6" t="s">
        <v>310</v>
      </c>
      <c r="K9" s="6"/>
    </row>
    <row r="10" customFormat="false" ht="23.25" hidden="false" customHeight="true" outlineLevel="0" collapsed="false">
      <c r="A10" s="6" t="s">
        <v>356</v>
      </c>
      <c r="B10" s="6" t="s">
        <v>9</v>
      </c>
      <c r="C10" s="6" t="s">
        <v>195</v>
      </c>
      <c r="D10" s="6" t="s">
        <v>196</v>
      </c>
      <c r="E10" s="8" t="s">
        <v>357</v>
      </c>
      <c r="F10" s="6" t="s">
        <v>358</v>
      </c>
      <c r="G10" s="6" t="s">
        <v>359</v>
      </c>
      <c r="H10" s="6" t="s">
        <v>317</v>
      </c>
      <c r="I10" s="6" t="s">
        <v>55</v>
      </c>
      <c r="J10" s="6" t="s">
        <v>324</v>
      </c>
      <c r="K10" s="6" t="s">
        <v>360</v>
      </c>
    </row>
    <row r="11" customFormat="false" ht="34.5" hidden="false" customHeight="true" outlineLevel="0" collapsed="false">
      <c r="A11" s="6" t="s">
        <v>361</v>
      </c>
      <c r="B11" s="6" t="s">
        <v>5</v>
      </c>
      <c r="C11" s="6" t="s">
        <v>362</v>
      </c>
      <c r="D11" s="6" t="s">
        <v>363</v>
      </c>
      <c r="E11" s="8" t="s">
        <v>364</v>
      </c>
      <c r="F11" s="6" t="s">
        <v>365</v>
      </c>
      <c r="G11" s="6" t="s">
        <v>366</v>
      </c>
      <c r="H11" s="6" t="s">
        <v>317</v>
      </c>
      <c r="I11" s="6" t="s">
        <v>55</v>
      </c>
      <c r="J11" s="6" t="s">
        <v>324</v>
      </c>
      <c r="K11" s="6" t="s">
        <v>367</v>
      </c>
    </row>
    <row r="12" customFormat="false" ht="23.25" hidden="false" customHeight="true" outlineLevel="0" collapsed="false">
      <c r="A12" s="6" t="s">
        <v>368</v>
      </c>
      <c r="B12" s="6" t="s">
        <v>5</v>
      </c>
      <c r="C12" s="6" t="s">
        <v>369</v>
      </c>
      <c r="D12" s="6" t="s">
        <v>252</v>
      </c>
      <c r="E12" s="8" t="s">
        <v>370</v>
      </c>
      <c r="F12" s="6" t="s">
        <v>371</v>
      </c>
      <c r="G12" s="6" t="s">
        <v>372</v>
      </c>
      <c r="H12" s="6" t="s">
        <v>317</v>
      </c>
      <c r="I12" s="6" t="s">
        <v>55</v>
      </c>
      <c r="J12" s="6" t="s">
        <v>324</v>
      </c>
      <c r="K12" s="6" t="s">
        <v>373</v>
      </c>
    </row>
    <row r="13" customFormat="false" ht="23.25" hidden="false" customHeight="true" outlineLevel="0" collapsed="false">
      <c r="A13" s="6" t="s">
        <v>374</v>
      </c>
      <c r="B13" s="6" t="s">
        <v>6</v>
      </c>
      <c r="C13" s="6" t="s">
        <v>375</v>
      </c>
      <c r="D13" s="6" t="s">
        <v>376</v>
      </c>
      <c r="E13" s="8" t="s">
        <v>377</v>
      </c>
      <c r="F13" s="6" t="s">
        <v>378</v>
      </c>
      <c r="G13" s="6" t="s">
        <v>379</v>
      </c>
      <c r="H13" s="6" t="s">
        <v>317</v>
      </c>
      <c r="I13" s="6" t="s">
        <v>55</v>
      </c>
      <c r="J13" s="6" t="s">
        <v>332</v>
      </c>
      <c r="K13" s="6" t="s">
        <v>380</v>
      </c>
    </row>
    <row r="14" customFormat="false" ht="23.25" hidden="false" customHeight="true" outlineLevel="0" collapsed="false">
      <c r="A14" s="6" t="s">
        <v>381</v>
      </c>
      <c r="B14" s="6" t="s">
        <v>6</v>
      </c>
      <c r="C14" s="6" t="s">
        <v>382</v>
      </c>
      <c r="D14" s="6" t="s">
        <v>185</v>
      </c>
      <c r="E14" s="8" t="s">
        <v>383</v>
      </c>
      <c r="F14" s="6" t="s">
        <v>384</v>
      </c>
      <c r="G14" s="6" t="s">
        <v>385</v>
      </c>
      <c r="H14" s="6" t="s">
        <v>317</v>
      </c>
      <c r="I14" s="6" t="s">
        <v>55</v>
      </c>
      <c r="J14" s="6" t="s">
        <v>332</v>
      </c>
      <c r="K14" s="6" t="s">
        <v>386</v>
      </c>
    </row>
    <row r="15" customFormat="false" ht="34.5" hidden="false" customHeight="true" outlineLevel="0" collapsed="false">
      <c r="A15" s="6" t="s">
        <v>387</v>
      </c>
      <c r="B15" s="6" t="s">
        <v>9</v>
      </c>
      <c r="C15" s="6" t="s">
        <v>388</v>
      </c>
      <c r="D15" s="6" t="s">
        <v>389</v>
      </c>
      <c r="E15" s="8" t="s">
        <v>390</v>
      </c>
      <c r="F15" s="6" t="s">
        <v>391</v>
      </c>
      <c r="G15" s="6" t="s">
        <v>392</v>
      </c>
      <c r="H15" s="6" t="s">
        <v>317</v>
      </c>
      <c r="I15" s="6" t="s">
        <v>55</v>
      </c>
      <c r="J15" s="6" t="s">
        <v>324</v>
      </c>
      <c r="K15" s="6" t="s">
        <v>393</v>
      </c>
    </row>
    <row r="16" customFormat="false" ht="34.5" hidden="false" customHeight="true" outlineLevel="0" collapsed="false">
      <c r="A16" s="6" t="s">
        <v>394</v>
      </c>
      <c r="B16" s="6" t="s">
        <v>9</v>
      </c>
      <c r="C16" s="6" t="s">
        <v>388</v>
      </c>
      <c r="D16" s="6" t="s">
        <v>389</v>
      </c>
      <c r="E16" s="8" t="s">
        <v>395</v>
      </c>
      <c r="F16" s="6" t="s">
        <v>396</v>
      </c>
      <c r="G16" s="6" t="s">
        <v>397</v>
      </c>
      <c r="H16" s="6" t="s">
        <v>317</v>
      </c>
      <c r="I16" s="6" t="s">
        <v>55</v>
      </c>
      <c r="J16" s="6" t="s">
        <v>324</v>
      </c>
      <c r="K16" s="6" t="s">
        <v>398</v>
      </c>
    </row>
    <row r="17" customFormat="false" ht="34.5" hidden="false" customHeight="true" outlineLevel="0" collapsed="false">
      <c r="A17" s="6" t="s">
        <v>399</v>
      </c>
      <c r="B17" s="6" t="s">
        <v>4</v>
      </c>
      <c r="C17" s="6" t="s">
        <v>227</v>
      </c>
      <c r="D17" s="6" t="s">
        <v>228</v>
      </c>
      <c r="E17" s="8" t="s">
        <v>400</v>
      </c>
      <c r="F17" s="6" t="s">
        <v>401</v>
      </c>
      <c r="G17" s="6" t="s">
        <v>402</v>
      </c>
      <c r="H17" s="6" t="s">
        <v>317</v>
      </c>
      <c r="I17" s="6" t="s">
        <v>55</v>
      </c>
      <c r="J17" s="6" t="s">
        <v>310</v>
      </c>
      <c r="K17" s="6" t="s">
        <v>403</v>
      </c>
    </row>
    <row r="18" customFormat="false" ht="45.75" hidden="false" customHeight="true" outlineLevel="0" collapsed="false">
      <c r="A18" s="6" t="s">
        <v>404</v>
      </c>
      <c r="B18" s="6" t="s">
        <v>4</v>
      </c>
      <c r="C18" s="6" t="s">
        <v>227</v>
      </c>
      <c r="D18" s="6" t="s">
        <v>241</v>
      </c>
      <c r="E18" s="8" t="s">
        <v>405</v>
      </c>
      <c r="F18" s="6" t="s">
        <v>406</v>
      </c>
      <c r="G18" s="6" t="s">
        <v>407</v>
      </c>
      <c r="H18" s="6" t="s">
        <v>317</v>
      </c>
      <c r="I18" s="6" t="s">
        <v>55</v>
      </c>
      <c r="J18" s="6" t="s">
        <v>324</v>
      </c>
      <c r="K18" s="6" t="s">
        <v>408</v>
      </c>
    </row>
    <row r="19" customFormat="false" ht="23.25" hidden="false" customHeight="true" outlineLevel="0" collapsed="false">
      <c r="A19" s="6" t="s">
        <v>409</v>
      </c>
      <c r="B19" s="6" t="s">
        <v>9</v>
      </c>
      <c r="C19" s="6" t="s">
        <v>410</v>
      </c>
      <c r="D19" s="6" t="s">
        <v>389</v>
      </c>
      <c r="E19" s="8" t="s">
        <v>411</v>
      </c>
      <c r="F19" s="6" t="s">
        <v>412</v>
      </c>
      <c r="G19" s="6" t="s">
        <v>413</v>
      </c>
      <c r="H19" s="6" t="s">
        <v>317</v>
      </c>
      <c r="I19" s="6" t="s">
        <v>55</v>
      </c>
      <c r="J19" s="6" t="s">
        <v>310</v>
      </c>
      <c r="K19" s="6" t="s">
        <v>414</v>
      </c>
    </row>
    <row r="20" customFormat="false" ht="35.05" hidden="false" customHeight="false" outlineLevel="0" collapsed="false">
      <c r="A20" s="6" t="s">
        <v>415</v>
      </c>
      <c r="B20" s="6" t="s">
        <v>9</v>
      </c>
      <c r="C20" s="6" t="s">
        <v>352</v>
      </c>
      <c r="D20" s="6" t="s">
        <v>172</v>
      </c>
      <c r="E20" s="8" t="s">
        <v>416</v>
      </c>
      <c r="F20" s="6" t="s">
        <v>417</v>
      </c>
      <c r="G20" s="6" t="s">
        <v>418</v>
      </c>
      <c r="H20" s="6" t="s">
        <v>419</v>
      </c>
      <c r="I20" s="6" t="s">
        <v>420</v>
      </c>
      <c r="J20" s="6" t="s">
        <v>324</v>
      </c>
      <c r="K20" s="6" t="s">
        <v>421</v>
      </c>
    </row>
  </sheetData>
  <autoFilter ref="A1:K20"/>
  <dataValidations count="3">
    <dataValidation allowBlank="true" errorStyle="stop" operator="between" showDropDown="false" showErrorMessage="false" showInputMessage="false" sqref="B2:B500" type="list">
      <formula1>Lookups!$D$2:$D$7</formula1>
      <formula2>0</formula2>
    </dataValidation>
    <dataValidation allowBlank="true" errorStyle="stop" operator="between" showDropDown="false" showErrorMessage="false" showInputMessage="false" sqref="I2:I500" type="list">
      <formula1>"Y,N"</formula1>
      <formula2>0</formula2>
    </dataValidation>
    <dataValidation allowBlank="true" errorStyle="stop" operator="between" showDropDown="false" showErrorMessage="false" showInputMessage="false" sqref="J2:J500" type="list">
      <formula1>"High,Medium,Low"</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100"/>
  </cols>
  <sheetData>
    <row r="1" customFormat="false" ht="15" hidden="false" customHeight="true" outlineLevel="0" collapsed="false">
      <c r="A1" s="13" t="s">
        <v>422</v>
      </c>
      <c r="B1" s="14"/>
    </row>
    <row r="2" customFormat="false" ht="15" hidden="false" customHeight="true" outlineLevel="0" collapsed="false">
      <c r="A2" s="15"/>
      <c r="B2" s="14"/>
    </row>
    <row r="3" customFormat="false" ht="15" hidden="false" customHeight="true" outlineLevel="0" collapsed="false">
      <c r="A3" s="15" t="s">
        <v>423</v>
      </c>
      <c r="B3" s="14" t="s">
        <v>424</v>
      </c>
    </row>
    <row r="4" customFormat="false" ht="23.25" hidden="false" customHeight="true" outlineLevel="0" collapsed="false">
      <c r="A4" s="15" t="s">
        <v>301</v>
      </c>
      <c r="B4" s="14" t="s">
        <v>425</v>
      </c>
    </row>
    <row r="5" customFormat="false" ht="23.25" hidden="false" customHeight="true" outlineLevel="0" collapsed="false">
      <c r="A5" s="15" t="s">
        <v>426</v>
      </c>
      <c r="B5" s="14" t="s">
        <v>427</v>
      </c>
    </row>
    <row r="6" customFormat="false" ht="15" hidden="false" customHeight="true" outlineLevel="0" collapsed="false">
      <c r="A6" s="15" t="s">
        <v>428</v>
      </c>
      <c r="B6" s="14" t="s">
        <v>429</v>
      </c>
    </row>
    <row r="7" customFormat="false" ht="15" hidden="false" customHeight="true" outlineLevel="0" collapsed="false">
      <c r="A7" s="15"/>
      <c r="B7" s="14"/>
    </row>
    <row r="8" customFormat="false" ht="15" hidden="false" customHeight="true" outlineLevel="0" collapsed="false">
      <c r="A8" s="15" t="s">
        <v>430</v>
      </c>
      <c r="B8" s="14"/>
    </row>
    <row r="9" customFormat="false" ht="15" hidden="false" customHeight="true" outlineLevel="0" collapsed="false">
      <c r="A9" s="15" t="s">
        <v>4</v>
      </c>
      <c r="B9" s="14" t="s">
        <v>431</v>
      </c>
    </row>
    <row r="10" customFormat="false" ht="15" hidden="false" customHeight="true" outlineLevel="0" collapsed="false">
      <c r="A10" s="15" t="s">
        <v>5</v>
      </c>
      <c r="B10" s="14" t="s">
        <v>432</v>
      </c>
    </row>
    <row r="11" customFormat="false" ht="15" hidden="false" customHeight="true" outlineLevel="0" collapsed="false">
      <c r="A11" s="15" t="s">
        <v>6</v>
      </c>
      <c r="B11" s="14" t="s">
        <v>433</v>
      </c>
    </row>
    <row r="12" customFormat="false" ht="15" hidden="false" customHeight="true" outlineLevel="0" collapsed="false">
      <c r="A12" s="15" t="s">
        <v>7</v>
      </c>
      <c r="B12" s="14" t="s">
        <v>434</v>
      </c>
    </row>
    <row r="13" customFormat="false" ht="15" hidden="false" customHeight="true" outlineLevel="0" collapsed="false">
      <c r="A13" s="15" t="s">
        <v>8</v>
      </c>
      <c r="B13" s="14" t="s">
        <v>435</v>
      </c>
    </row>
    <row r="14" customFormat="false" ht="15" hidden="false" customHeight="true" outlineLevel="0" collapsed="false">
      <c r="A14" s="15"/>
      <c r="B14" s="14"/>
    </row>
    <row r="15" customFormat="false" ht="15" hidden="false" customHeight="true" outlineLevel="0" collapsed="false">
      <c r="A15" s="15" t="s">
        <v>436</v>
      </c>
      <c r="B15" s="14"/>
    </row>
    <row r="16" customFormat="false" ht="15" hidden="false" customHeight="true" outlineLevel="0" collapsed="false">
      <c r="A16" s="15" t="s">
        <v>437</v>
      </c>
      <c r="B16" s="14" t="s">
        <v>438</v>
      </c>
    </row>
    <row r="17" customFormat="false" ht="15" hidden="false" customHeight="true" outlineLevel="0" collapsed="false">
      <c r="A17" s="15" t="s">
        <v>439</v>
      </c>
      <c r="B17" s="14" t="s">
        <v>440</v>
      </c>
    </row>
    <row r="18" customFormat="false" ht="15" hidden="false" customHeight="true" outlineLevel="0" collapsed="false">
      <c r="A18" s="15" t="s">
        <v>441</v>
      </c>
      <c r="B18" s="14" t="s">
        <v>442</v>
      </c>
    </row>
    <row r="19" customFormat="false" ht="15" hidden="false" customHeight="true" outlineLevel="0" collapsed="false">
      <c r="A19" s="15" t="s">
        <v>443</v>
      </c>
      <c r="B19" s="14" t="s">
        <v>444</v>
      </c>
    </row>
    <row r="20" customFormat="false" ht="15" hidden="false" customHeight="true" outlineLevel="0" collapsed="false">
      <c r="A20" s="15" t="s">
        <v>445</v>
      </c>
      <c r="B20" s="14" t="s">
        <v>446</v>
      </c>
    </row>
    <row r="21" customFormat="false" ht="15" hidden="false" customHeight="true" outlineLevel="0" collapsed="false">
      <c r="A21" s="15" t="s">
        <v>447</v>
      </c>
      <c r="B21" s="14" t="s">
        <v>448</v>
      </c>
    </row>
    <row r="22" customFormat="false" ht="15" hidden="false" customHeight="true" outlineLevel="0" collapsed="false">
      <c r="A22" s="15" t="s">
        <v>449</v>
      </c>
      <c r="B22" s="14" t="s">
        <v>450</v>
      </c>
    </row>
    <row r="23" customFormat="false" ht="15" hidden="false" customHeight="true" outlineLevel="0" collapsed="false">
      <c r="A23" s="15"/>
      <c r="B23" s="14"/>
    </row>
    <row r="24" customFormat="false" ht="15" hidden="false" customHeight="true" outlineLevel="0" collapsed="false">
      <c r="A24" s="15" t="s">
        <v>451</v>
      </c>
      <c r="B24" s="14" t="s">
        <v>452</v>
      </c>
    </row>
    <row r="25" customFormat="false" ht="23.25" hidden="false" customHeight="true" outlineLevel="0" collapsed="false">
      <c r="A25" s="15" t="s">
        <v>453</v>
      </c>
      <c r="B25" s="14" t="s">
        <v>454</v>
      </c>
    </row>
    <row r="26" customFormat="false" ht="15" hidden="false" customHeight="true" outlineLevel="0" collapsed="false">
      <c r="A26" s="15" t="s">
        <v>455</v>
      </c>
      <c r="B26" s="14" t="s">
        <v>456</v>
      </c>
    </row>
    <row r="27" customFormat="false" ht="23.25" hidden="false" customHeight="true" outlineLevel="0" collapsed="false">
      <c r="A27" s="15" t="s">
        <v>457</v>
      </c>
      <c r="B27" s="14" t="s">
        <v>458</v>
      </c>
    </row>
    <row r="28" customFormat="false" ht="23.25" hidden="false" customHeight="true" outlineLevel="0" collapsed="false">
      <c r="A28" s="15" t="s">
        <v>459</v>
      </c>
      <c r="B28" s="14" t="s">
        <v>460</v>
      </c>
    </row>
    <row r="29" customFormat="false" ht="15" hidden="false" customHeight="true" outlineLevel="0" collapsed="false">
      <c r="A29" s="15"/>
      <c r="B29" s="14"/>
    </row>
    <row r="30" customFormat="false" ht="15" hidden="false" customHeight="true" outlineLevel="0" collapsed="false">
      <c r="A30" s="15" t="s">
        <v>461</v>
      </c>
      <c r="B30" s="14"/>
    </row>
    <row r="31" customFormat="false" ht="15" hidden="false" customHeight="true" outlineLevel="0" collapsed="false">
      <c r="A31" s="15" t="s">
        <v>462</v>
      </c>
      <c r="B31" s="14" t="s">
        <v>463</v>
      </c>
    </row>
    <row r="32" customFormat="false" ht="34.5" hidden="false" customHeight="true" outlineLevel="0" collapsed="false">
      <c r="A32" s="15" t="s">
        <v>464</v>
      </c>
      <c r="B32" s="14" t="s">
        <v>465</v>
      </c>
    </row>
    <row r="34" customFormat="false" ht="23.25" hidden="false" customHeight="true" outlineLevel="0" collapsed="false">
      <c r="A34" s="3" t="s">
        <v>466</v>
      </c>
      <c r="B34" s="14" t="s">
        <v>467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5" min="1" style="1" width="20"/>
  </cols>
  <sheetData>
    <row r="1" customFormat="false" ht="15" hidden="false" customHeight="true" outlineLevel="0" collapsed="false">
      <c r="A1" s="3" t="s">
        <v>468</v>
      </c>
      <c r="B1" s="3" t="s">
        <v>469</v>
      </c>
      <c r="C1" s="3"/>
      <c r="D1" s="3" t="s">
        <v>2</v>
      </c>
      <c r="E1" s="3" t="s">
        <v>23</v>
      </c>
      <c r="F1" s="3" t="s">
        <v>28</v>
      </c>
      <c r="G1" s="3" t="s">
        <v>30</v>
      </c>
      <c r="H1" s="3" t="s">
        <v>31</v>
      </c>
      <c r="I1" s="3" t="s">
        <v>39</v>
      </c>
      <c r="J1" s="3" t="s">
        <v>42</v>
      </c>
      <c r="K1" s="3" t="s">
        <v>12</v>
      </c>
      <c r="L1" s="3" t="s">
        <v>43</v>
      </c>
      <c r="M1" s="3" t="s">
        <v>45</v>
      </c>
      <c r="N1" s="3" t="s">
        <v>47</v>
      </c>
      <c r="O1" s="3" t="s">
        <v>51</v>
      </c>
    </row>
    <row r="2" customFormat="false" ht="15" hidden="false" customHeight="true" outlineLevel="0" collapsed="false">
      <c r="A2" s="16" t="s">
        <v>470</v>
      </c>
      <c r="B2" s="4" t="s">
        <v>471</v>
      </c>
      <c r="C2" s="4"/>
      <c r="D2" s="4" t="s">
        <v>4</v>
      </c>
      <c r="E2" s="4" t="s">
        <v>88</v>
      </c>
      <c r="F2" s="4" t="s">
        <v>274</v>
      </c>
      <c r="G2" s="4" t="s">
        <v>60</v>
      </c>
      <c r="H2" s="4" t="s">
        <v>61</v>
      </c>
      <c r="I2" s="4" t="s">
        <v>69</v>
      </c>
      <c r="J2" s="4" t="s">
        <v>103</v>
      </c>
      <c r="K2" s="4" t="s">
        <v>13</v>
      </c>
      <c r="L2" s="4" t="s">
        <v>88</v>
      </c>
      <c r="M2" s="4" t="s">
        <v>88</v>
      </c>
      <c r="N2" s="4" t="s">
        <v>106</v>
      </c>
      <c r="O2" s="4" t="s">
        <v>110</v>
      </c>
    </row>
    <row r="3" customFormat="false" ht="15" hidden="false" customHeight="true" outlineLevel="0" collapsed="false">
      <c r="A3" s="16" t="s">
        <v>472</v>
      </c>
      <c r="B3" s="4" t="s">
        <v>473</v>
      </c>
      <c r="C3" s="4"/>
      <c r="D3" s="4" t="s">
        <v>5</v>
      </c>
      <c r="E3" s="4" t="s">
        <v>55</v>
      </c>
      <c r="F3" s="4" t="s">
        <v>474</v>
      </c>
      <c r="G3" s="4" t="s">
        <v>475</v>
      </c>
      <c r="H3" s="4" t="s">
        <v>116</v>
      </c>
      <c r="I3" s="4" t="s">
        <v>85</v>
      </c>
      <c r="J3" s="4" t="s">
        <v>206</v>
      </c>
      <c r="K3" s="4" t="s">
        <v>14</v>
      </c>
      <c r="L3" s="4" t="s">
        <v>55</v>
      </c>
      <c r="M3" s="4" t="s">
        <v>55</v>
      </c>
      <c r="N3" s="4" t="s">
        <v>476</v>
      </c>
      <c r="O3" s="4" t="s">
        <v>477</v>
      </c>
    </row>
    <row r="4" customFormat="false" ht="15" hidden="false" customHeight="true" outlineLevel="0" collapsed="false">
      <c r="A4" s="16" t="s">
        <v>478</v>
      </c>
      <c r="B4" s="4" t="s">
        <v>479</v>
      </c>
      <c r="C4" s="4"/>
      <c r="D4" s="4" t="s">
        <v>6</v>
      </c>
      <c r="E4" s="4"/>
      <c r="F4" s="4" t="s">
        <v>59</v>
      </c>
      <c r="G4" s="4" t="s">
        <v>480</v>
      </c>
      <c r="H4" s="4" t="s">
        <v>481</v>
      </c>
      <c r="I4" s="4" t="s">
        <v>482</v>
      </c>
      <c r="J4" s="4" t="s">
        <v>70</v>
      </c>
      <c r="K4" s="4" t="s">
        <v>15</v>
      </c>
      <c r="L4" s="4" t="s">
        <v>72</v>
      </c>
      <c r="M4" s="4" t="s">
        <v>141</v>
      </c>
      <c r="N4" s="4" t="s">
        <v>483</v>
      </c>
      <c r="O4" s="4" t="s">
        <v>9</v>
      </c>
    </row>
    <row r="5" customFormat="false" ht="15" hidden="false" customHeight="true" outlineLevel="0" collapsed="false">
      <c r="A5" s="16" t="s">
        <v>484</v>
      </c>
      <c r="B5" s="4" t="s">
        <v>485</v>
      </c>
      <c r="C5" s="4"/>
      <c r="D5" s="4" t="s">
        <v>7</v>
      </c>
      <c r="E5" s="4"/>
      <c r="F5" s="4"/>
      <c r="G5" s="4" t="s">
        <v>73</v>
      </c>
      <c r="H5" s="4" t="s">
        <v>486</v>
      </c>
      <c r="I5" s="4" t="s">
        <v>174</v>
      </c>
      <c r="J5" s="4" t="s">
        <v>87</v>
      </c>
      <c r="K5" s="4" t="s">
        <v>16</v>
      </c>
      <c r="L5" s="4"/>
      <c r="M5" s="4" t="s">
        <v>72</v>
      </c>
      <c r="N5" s="4" t="s">
        <v>90</v>
      </c>
      <c r="O5" s="4" t="s">
        <v>487</v>
      </c>
    </row>
    <row r="6" customFormat="false" ht="15" hidden="false" customHeight="true" outlineLevel="0" collapsed="false">
      <c r="A6" s="16" t="s">
        <v>488</v>
      </c>
      <c r="B6" s="4" t="s">
        <v>489</v>
      </c>
      <c r="C6" s="4"/>
      <c r="D6" s="4" t="s">
        <v>8</v>
      </c>
      <c r="E6" s="4"/>
      <c r="F6" s="4"/>
      <c r="G6" s="4"/>
      <c r="H6" s="4" t="s">
        <v>490</v>
      </c>
      <c r="I6" s="4" t="s">
        <v>139</v>
      </c>
      <c r="J6" s="4" t="s">
        <v>267</v>
      </c>
      <c r="K6" s="4"/>
      <c r="L6" s="4"/>
      <c r="M6" s="4"/>
      <c r="N6" s="4" t="s">
        <v>73</v>
      </c>
      <c r="O6" s="4"/>
    </row>
    <row r="7" customFormat="false" ht="15" hidden="false" customHeight="true" outlineLevel="0" collapsed="false">
      <c r="A7" s="16" t="s">
        <v>491</v>
      </c>
      <c r="B7" s="4" t="s">
        <v>492</v>
      </c>
      <c r="C7" s="4"/>
      <c r="D7" s="4" t="s">
        <v>9</v>
      </c>
      <c r="E7" s="4"/>
      <c r="F7" s="4"/>
      <c r="G7" s="4"/>
      <c r="H7" s="4"/>
      <c r="I7" s="4" t="s">
        <v>187</v>
      </c>
      <c r="J7" s="4" t="s">
        <v>231</v>
      </c>
      <c r="K7" s="4"/>
      <c r="L7" s="4"/>
      <c r="M7" s="4"/>
      <c r="N7" s="4" t="s">
        <v>493</v>
      </c>
      <c r="O7" s="4"/>
    </row>
    <row r="8" customFormat="false" ht="15" hidden="false" customHeight="true" outlineLevel="0" collapsed="false">
      <c r="A8" s="16" t="s">
        <v>494</v>
      </c>
      <c r="B8" s="4" t="s">
        <v>495</v>
      </c>
      <c r="C8" s="4"/>
      <c r="D8" s="4"/>
      <c r="E8" s="4"/>
      <c r="F8" s="4"/>
      <c r="G8" s="4"/>
      <c r="H8" s="4"/>
      <c r="I8" s="4" t="s">
        <v>279</v>
      </c>
      <c r="J8" s="4" t="s">
        <v>496</v>
      </c>
      <c r="K8" s="4"/>
      <c r="L8" s="4"/>
      <c r="M8" s="4"/>
      <c r="N8" s="4"/>
      <c r="O8" s="4"/>
    </row>
    <row r="9" customFormat="false" ht="15" hidden="false" customHeight="true" outlineLevel="0" collapsed="false">
      <c r="A9" s="16" t="s">
        <v>497</v>
      </c>
      <c r="B9" s="4" t="s">
        <v>492</v>
      </c>
      <c r="C9" s="4"/>
      <c r="D9" s="4"/>
      <c r="E9" s="4"/>
      <c r="F9" s="4"/>
      <c r="G9" s="4"/>
      <c r="H9" s="4"/>
      <c r="I9" s="4" t="s">
        <v>254</v>
      </c>
      <c r="J9" s="4" t="s">
        <v>124</v>
      </c>
      <c r="K9" s="4"/>
      <c r="L9" s="4"/>
      <c r="M9" s="4"/>
      <c r="N9" s="4"/>
      <c r="O9" s="4"/>
    </row>
    <row r="10" customFormat="false" ht="15" hidden="false" customHeight="true" outlineLevel="0" collapsed="false">
      <c r="A10" s="16" t="s">
        <v>498</v>
      </c>
      <c r="B10" s="4" t="s">
        <v>499</v>
      </c>
      <c r="C10" s="4"/>
      <c r="D10" s="4"/>
      <c r="E10" s="4"/>
      <c r="F10" s="4"/>
      <c r="G10" s="4"/>
      <c r="H10" s="4"/>
      <c r="I10" s="4" t="s">
        <v>217</v>
      </c>
      <c r="J10" s="4" t="s">
        <v>140</v>
      </c>
      <c r="K10" s="4"/>
      <c r="L10" s="4"/>
      <c r="M10" s="4"/>
      <c r="N10" s="4"/>
      <c r="O10" s="4"/>
    </row>
    <row r="11" customFormat="false" ht="15" hidden="false" customHeight="true" outlineLevel="0" collapsed="false">
      <c r="A11" s="16" t="s">
        <v>500</v>
      </c>
      <c r="B11" s="4" t="s">
        <v>501</v>
      </c>
      <c r="C11" s="4"/>
      <c r="D11" s="4"/>
      <c r="E11" s="4"/>
      <c r="F11" s="4"/>
      <c r="G11" s="4"/>
      <c r="H11" s="4"/>
      <c r="I11" s="4"/>
      <c r="J11" s="4"/>
      <c r="K11" s="4"/>
      <c r="L11" s="4"/>
      <c r="M11" s="4"/>
      <c r="N11" s="4"/>
      <c r="O11" s="4"/>
    </row>
    <row r="12" customFormat="false" ht="15" hidden="false" customHeight="true" outlineLevel="0" collapsed="false">
      <c r="A12" s="16" t="s">
        <v>502</v>
      </c>
      <c r="B12" s="4" t="s">
        <v>503</v>
      </c>
      <c r="C12" s="4"/>
      <c r="D12" s="4"/>
      <c r="E12" s="4"/>
      <c r="F12" s="4"/>
      <c r="G12" s="4"/>
      <c r="H12" s="4"/>
      <c r="I12" s="4"/>
      <c r="J12" s="4"/>
      <c r="K12" s="4"/>
      <c r="L12" s="4"/>
      <c r="M12" s="4"/>
      <c r="N12" s="4"/>
      <c r="O12" s="4"/>
    </row>
    <row r="13" customFormat="false" ht="15" hidden="false" customHeight="true" outlineLevel="0" collapsed="false">
      <c r="A13" s="4"/>
      <c r="B13" s="4"/>
      <c r="C13" s="4"/>
      <c r="D13" s="4"/>
      <c r="E13" s="4"/>
      <c r="F13" s="4"/>
      <c r="G13" s="4"/>
      <c r="H13" s="4"/>
      <c r="I13" s="4"/>
      <c r="J13" s="4"/>
      <c r="K13" s="4"/>
      <c r="L13" s="4"/>
      <c r="M13" s="4"/>
      <c r="N13" s="4"/>
      <c r="O13" s="4"/>
    </row>
    <row r="14" customFormat="false" ht="15" hidden="false" customHeight="true" outlineLevel="0" collapsed="false">
      <c r="A14" s="4" t="s">
        <v>504</v>
      </c>
      <c r="B14" s="4"/>
      <c r="C14" s="4"/>
      <c r="D14" s="4"/>
      <c r="E14" s="4"/>
      <c r="F14" s="4"/>
      <c r="G14" s="4"/>
      <c r="H14" s="4"/>
      <c r="I14" s="4"/>
      <c r="J14" s="4"/>
      <c r="K14" s="4"/>
      <c r="L14" s="4"/>
      <c r="M14" s="4"/>
      <c r="N14" s="4"/>
      <c r="O14" s="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2026-10-07T14:07:47Z</dcterms:created>
  <dc:creator>openpyxl</dc:creator>
  <dc:description/>
  <dc:language>en-US</dc:language>
  <cp:lastModifiedBy/>
  <dcterms:modified xsi:type="dcterms:W3CDTF">2026-10-07T14:59:34Z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